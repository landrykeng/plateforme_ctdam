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K\Downloads\ctdam\"/>
    </mc:Choice>
  </mc:AlternateContent>
  <xr:revisionPtr revIDLastSave="0" documentId="13_ncr:1_{2F6FA974-5646-4352-9F86-781D8237FDC4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README" sheetId="1" r:id="rId1"/>
    <sheet name="EMISSIONS" sheetId="2" r:id="rId2"/>
    <sheet name="REMBOURSEMENTS" sheetId="3" r:id="rId3"/>
    <sheet name="SVT" sheetId="4" r:id="rId4"/>
    <sheet name="SGP" sheetId="5" r:id="rId5"/>
    <sheet name="SDB" sheetId="6" r:id="rId6"/>
    <sheet name="INVESTISSEURS_INST" sheetId="7" r:id="rId7"/>
    <sheet name="UTILISATEURS" sheetId="8" r:id="rId8"/>
    <sheet name="PAYS_MACRO" sheetId="9" r:id="rId9"/>
    <sheet name="ENCOURS_MENSUEL" sheetId="10" r:id="rId10"/>
    <sheet name="CALENDRIER_EMISSIONS" sheetId="11" r:id="rId11"/>
    <sheet name="COURBE_TAUX" sheetId="12" r:id="rId12"/>
    <sheet name="CALCULS_MARCHE" sheetId="13" r:id="rId13"/>
    <sheet name="DETENTEURS" sheetId="14" r:id="rId14"/>
    <sheet name="DOCUMENTS_META" sheetId="15" r:id="rId15"/>
    <sheet name="ALERTES_ABONNEMENTS" sheetId="16" r:id="rId16"/>
    <sheet name="PARAMETRES" sheetId="17" r:id="rId17"/>
    <sheet name="KPIs_ACCUEIL" sheetId="18" r:id="rId18"/>
  </sheets>
  <definedNames>
    <definedName name="_xlnm._FilterDatabase" localSheetId="1" hidden="1">EMISSIONS!$A$3:$X$3351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51" i="2" l="1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11" i="18" l="1"/>
  <c r="B10" i="18"/>
  <c r="B9" i="18"/>
  <c r="B8" i="18"/>
  <c r="B7" i="18"/>
  <c r="B6" i="18"/>
  <c r="B5" i="18"/>
  <c r="B4" i="18"/>
  <c r="E9" i="14"/>
  <c r="D9" i="14"/>
  <c r="G4" i="10"/>
  <c r="K11" i="9"/>
  <c r="H11" i="9"/>
  <c r="D11" i="9"/>
</calcChain>
</file>

<file path=xl/sharedStrings.xml><?xml version="1.0" encoding="utf-8"?>
<sst xmlns="http://schemas.openxmlformats.org/spreadsheetml/2006/main" count="17788" uniqueCount="3788">
  <si>
    <t>CTDAM-CEMAC — Base de données de la plateforme</t>
  </si>
  <si>
    <t>Feuille</t>
  </si>
  <si>
    <t>Contenu</t>
  </si>
  <si>
    <t>Alimente l'onglet</t>
  </si>
  <si>
    <t>EMISSIONS</t>
  </si>
  <si>
    <t>Tableau de suivi des émissions (adjudications)</t>
  </si>
  <si>
    <t>Accueil, Statistiques, Données hist.</t>
  </si>
  <si>
    <t>REMBOURSEMENTS</t>
  </si>
  <si>
    <t>Suivi des coupon + remboursements principal</t>
  </si>
  <si>
    <t>Tombée des échéances, Statistiques</t>
  </si>
  <si>
    <t>SVT</t>
  </si>
  <si>
    <t>Spécialistes en Valeurs du Trésor</t>
  </si>
  <si>
    <t>Bottin, Accueil</t>
  </si>
  <si>
    <t>SGP</t>
  </si>
  <si>
    <t>Sociétés de Gestion et de Portefeuille</t>
  </si>
  <si>
    <t>Bottin</t>
  </si>
  <si>
    <t>SDB</t>
  </si>
  <si>
    <t>Sociétés de Bourse</t>
  </si>
  <si>
    <t>INVESTISSEURS_INST</t>
  </si>
  <si>
    <t>Investisseurs institutionnels enregistrés</t>
  </si>
  <si>
    <t>UTILISATEURS</t>
  </si>
  <si>
    <t>Comptes plateforme (statut, profil)</t>
  </si>
  <si>
    <t>Admin</t>
  </si>
  <si>
    <t>PAYS_MACRO</t>
  </si>
  <si>
    <t>PIB, dette, inflation, solde budgétaire par pays/an</t>
  </si>
  <si>
    <t>Macro, Statistiques</t>
  </si>
  <si>
    <t>ENCOURS_MENSUEL</t>
  </si>
  <si>
    <t>Encours OTA+BTA par pays et mois</t>
  </si>
  <si>
    <t>Accueil, Statistiques</t>
  </si>
  <si>
    <t>CALENDRIER_EMISSIONS</t>
  </si>
  <si>
    <t>Prévisionnel des futures émissions</t>
  </si>
  <si>
    <t>Calendrier</t>
  </si>
  <si>
    <t>COURBE_TAUX</t>
  </si>
  <si>
    <t>Courbe des taux par maturité et date</t>
  </si>
  <si>
    <t>Statistiques, Calculs</t>
  </si>
  <si>
    <t>CALCULS_MARCHE</t>
  </si>
  <si>
    <t>Duration, convexité, spread, prix, rendement</t>
  </si>
  <si>
    <t>Outils de simulation</t>
  </si>
  <si>
    <t>DETENTEURS</t>
  </si>
  <si>
    <t>Répartition des encours par catégorie</t>
  </si>
  <si>
    <t>Statistiques</t>
  </si>
  <si>
    <t>DOCUMENTS_META</t>
  </si>
  <si>
    <t>Métadonnées des documents (règlementation, publications)</t>
  </si>
  <si>
    <t>Espace doc.</t>
  </si>
  <si>
    <t>ALERTES_ABONNEMENTS</t>
  </si>
  <si>
    <t>Alertes email paramétrées par utilisateur</t>
  </si>
  <si>
    <t>Alertes</t>
  </si>
  <si>
    <t>PARAMETRES</t>
  </si>
  <si>
    <t>Paramètres globaux de la plateforme</t>
  </si>
  <si>
    <t>Système</t>
  </si>
  <si>
    <t>TABLEAU DE SUIVI DES ÉMISSIONS — CTDAM-CEMAC</t>
  </si>
  <si>
    <t>Code Long</t>
  </si>
  <si>
    <t>Code Court</t>
  </si>
  <si>
    <t>Pays</t>
  </si>
  <si>
    <t>Instrument</t>
  </si>
  <si>
    <t>Maturité</t>
  </si>
  <si>
    <t>Montant Émis (M XAF)</t>
  </si>
  <si>
    <t>Jour Souscription</t>
  </si>
  <si>
    <t>Date Remboursement</t>
  </si>
  <si>
    <t>SVT Locaux (M)</t>
  </si>
  <si>
    <t>SVT Déplacés (M)</t>
  </si>
  <si>
    <t>Montant Levé (M)</t>
  </si>
  <si>
    <t>Nb SVT Émetteurs</t>
  </si>
  <si>
    <t>Nb SVT Participés</t>
  </si>
  <si>
    <t>Taux Participation (%)</t>
  </si>
  <si>
    <t>TRMP (%)</t>
  </si>
  <si>
    <t>Taux Souscription (%)</t>
  </si>
  <si>
    <t>Taux Limite (%)</t>
  </si>
  <si>
    <t>Min BTA/OTA (%)</t>
  </si>
  <si>
    <t>Max BTA/OTA (%)</t>
  </si>
  <si>
    <t>PMP / Rendement (%)</t>
  </si>
  <si>
    <t>Taux Facial (%)</t>
  </si>
  <si>
    <t>Taux Couverture</t>
  </si>
  <si>
    <t>Statut</t>
  </si>
  <si>
    <t>XACMRBTA2026013</t>
  </si>
  <si>
    <t>CMRBTA13W</t>
  </si>
  <si>
    <t>CMR</t>
  </si>
  <si>
    <t>BTA</t>
  </si>
  <si>
    <t>13 semaines</t>
  </si>
  <si>
    <t>2026-01-15</t>
  </si>
  <si>
    <t>2026-04-16</t>
  </si>
  <si>
    <t>GAB</t>
  </si>
  <si>
    <t>26 semaines</t>
  </si>
  <si>
    <t>XACMROTA20265</t>
  </si>
  <si>
    <t>CMROTA5A</t>
  </si>
  <si>
    <t>OTA</t>
  </si>
  <si>
    <t>5 ans</t>
  </si>
  <si>
    <t>2026-02-10</t>
  </si>
  <si>
    <t>2031-02-10</t>
  </si>
  <si>
    <t>7.00%</t>
  </si>
  <si>
    <t>TABLEAU DE SUIVI DES REMBOURSEMENTS — CTDAM-CEMAC</t>
  </si>
  <si>
    <t>Nature (Coupon/Principal)</t>
  </si>
  <si>
    <t>Montant Dû (M XAF)</t>
  </si>
  <si>
    <t>Montant Payé (M XAF)</t>
  </si>
  <si>
    <t>Date Paiement Effectif</t>
  </si>
  <si>
    <t>Principal</t>
  </si>
  <si>
    <t>Coupon</t>
  </si>
  <si>
    <t>2027-02-10</t>
  </si>
  <si>
    <t>RÉPERTOIRE DES SVT — Spécialistes en Valeurs du Trésor</t>
  </si>
  <si>
    <t>Raison Sociale</t>
  </si>
  <si>
    <t>Code SVT</t>
  </si>
  <si>
    <t>Région/Ville</t>
  </si>
  <si>
    <t>Date Convention</t>
  </si>
  <si>
    <t>N° Agrément</t>
  </si>
  <si>
    <t>Capital Social (M XAF)</t>
  </si>
  <si>
    <t>Email Front Office</t>
  </si>
  <si>
    <t>Email Middle Office</t>
  </si>
  <si>
    <t>Email Back Office</t>
  </si>
  <si>
    <t>Téléphone</t>
  </si>
  <si>
    <t>Site Web</t>
  </si>
  <si>
    <t>Représentant légal</t>
  </si>
  <si>
    <t>Nb Adjudications</t>
  </si>
  <si>
    <t>Encours Détenu (M XAF)</t>
  </si>
  <si>
    <t>Société Générale Cameroun</t>
  </si>
  <si>
    <t>SGC-CMR-001</t>
  </si>
  <si>
    <t>Yaoundé</t>
  </si>
  <si>
    <t>2023-01-15</t>
  </si>
  <si>
    <t>CMF-SVT-001</t>
  </si>
  <si>
    <t>Actif</t>
  </si>
  <si>
    <t>s.mbarga@sgcam.cm</t>
  </si>
  <si>
    <t>operations@sgcam.cm</t>
  </si>
  <si>
    <t>backoffice@sgcam.cm</t>
  </si>
  <si>
    <t>+237 222 23 40</t>
  </si>
  <si>
    <t>www.sgcam.cm</t>
  </si>
  <si>
    <t>Jean MBARGA</t>
  </si>
  <si>
    <t>Afriland First Bank</t>
  </si>
  <si>
    <t>AFB-CMR-001</t>
  </si>
  <si>
    <t>2022-06-10</t>
  </si>
  <si>
    <t>CMF-SVT-002</t>
  </si>
  <si>
    <t>trading@afriland.cm</t>
  </si>
  <si>
    <t>midoff@afriland.cm</t>
  </si>
  <si>
    <t>back@afriland.cm</t>
  </si>
  <si>
    <t>+237 233 50 31</t>
  </si>
  <si>
    <t>www.afriland.com</t>
  </si>
  <si>
    <t>Paul NDJODO</t>
  </si>
  <si>
    <t>BGFI Bank Gabon</t>
  </si>
  <si>
    <t>BGFI-GAB-001</t>
  </si>
  <si>
    <t>Libreville</t>
  </si>
  <si>
    <t>2022-09-05</t>
  </si>
  <si>
    <t>COB-SVT-001</t>
  </si>
  <si>
    <t>tresor@bgfi.ga</t>
  </si>
  <si>
    <t>middle@bgfi.ga</t>
  </si>
  <si>
    <t>back@bgfi.ga</t>
  </si>
  <si>
    <t>+241 01 76 22 00</t>
  </si>
  <si>
    <t>www.bgfi.com</t>
  </si>
  <si>
    <t>Marie NGUEMA</t>
  </si>
  <si>
    <t>RÉPERTOIRE DES SGP — Sociétés de Gestion et de Portefeuille</t>
  </si>
  <si>
    <t>Dénomination</t>
  </si>
  <si>
    <t>Code SGP</t>
  </si>
  <si>
    <t>Ville</t>
  </si>
  <si>
    <t>N° Agrément Régulateur</t>
  </si>
  <si>
    <t>Date Agrément</t>
  </si>
  <si>
    <t>AUM (M XAF)</t>
  </si>
  <si>
    <t>Contact Principal</t>
  </si>
  <si>
    <t>Email</t>
  </si>
  <si>
    <t>CGF Bourse</t>
  </si>
  <si>
    <t>CGF-CMR-001</t>
  </si>
  <si>
    <t>Douala</t>
  </si>
  <si>
    <t>CMF-SGP-001</t>
  </si>
  <si>
    <t>2021-03-10</t>
  </si>
  <si>
    <t>M. TCHAMBA</t>
  </si>
  <si>
    <t>info@cgfbourse.cm</t>
  </si>
  <si>
    <t>+237 233 42 20</t>
  </si>
  <si>
    <t>www.cgfbourse.cm</t>
  </si>
  <si>
    <t>EDC Investments</t>
  </si>
  <si>
    <t>EDC-CMR-002</t>
  </si>
  <si>
    <t>CMF-SGP-002</t>
  </si>
  <si>
    <t>2022-07-15</t>
  </si>
  <si>
    <t>M. FOUDA</t>
  </si>
  <si>
    <t>invest@edcgroup.cm</t>
  </si>
  <si>
    <t>+237 222 00 11</t>
  </si>
  <si>
    <t>www.edcgroup.cm</t>
  </si>
  <si>
    <t>RÉPERTOIRE DES SDB — Sociétés de Bourse</t>
  </si>
  <si>
    <t>Code SDB</t>
  </si>
  <si>
    <t>Douala Stock Exchange</t>
  </si>
  <si>
    <t>DSX-CMR-001</t>
  </si>
  <si>
    <t>DSX-001</t>
  </si>
  <si>
    <t>2001-04-23</t>
  </si>
  <si>
    <t>info@douala-stock-exchange.com</t>
  </si>
  <si>
    <t>+237 233 42 77</t>
  </si>
  <si>
    <t>www.douala-stock-exchange.com</t>
  </si>
  <si>
    <t>BVMAC</t>
  </si>
  <si>
    <t>BVMAC-GAB-001</t>
  </si>
  <si>
    <t>BVMAC-001</t>
  </si>
  <si>
    <t>2003-06-15</t>
  </si>
  <si>
    <t>contact@bvmac.org</t>
  </si>
  <si>
    <t>+241 01 76 40 50</t>
  </si>
  <si>
    <t>www.bvmac.org</t>
  </si>
  <si>
    <t>RÉPERTOIRE DES INVESTISSEURS INSTITUTIONNELS</t>
  </si>
  <si>
    <t>Type Acteur</t>
  </si>
  <si>
    <t>Point Focal</t>
  </si>
  <si>
    <t>AUM Approx. (M XAF)</t>
  </si>
  <si>
    <t>SVT Référent</t>
  </si>
  <si>
    <t>Date Validation</t>
  </si>
  <si>
    <t>N° Dossier</t>
  </si>
  <si>
    <t>GESTION DES UTILISATEURS DE LA PLATEFORME</t>
  </si>
  <si>
    <t>Username</t>
  </si>
  <si>
    <t>Nom Complet</t>
  </si>
  <si>
    <t>Statut Compte</t>
  </si>
  <si>
    <t>Rôle Plateforme</t>
  </si>
  <si>
    <t>Date Inscription</t>
  </si>
  <si>
    <t>Validé par</t>
  </si>
  <si>
    <t>admin_beac</t>
  </si>
  <si>
    <t>admin@beac.int</t>
  </si>
  <si>
    <t>Admin BEAC</t>
  </si>
  <si>
    <t>Validé</t>
  </si>
  <si>
    <t>Administrateur</t>
  </si>
  <si>
    <t>Oui</t>
  </si>
  <si>
    <t>DONNÉES MACROÉCONOMIQUES PAR PAYS — Annuelles</t>
  </si>
  <si>
    <t>SOURCE : Banque Mondiale, BEAC, FMI — Mettre à jour annuellement</t>
  </si>
  <si>
    <t>Code Pays</t>
  </si>
  <si>
    <t>Année</t>
  </si>
  <si>
    <t>PIB (Mds XAF)</t>
  </si>
  <si>
    <t>Croissance PIB (%)</t>
  </si>
  <si>
    <t>Inflation (%)</t>
  </si>
  <si>
    <t>Solde Budgétaire (% PIB)</t>
  </si>
  <si>
    <t>Recettes Fiscales (Mds XAF)</t>
  </si>
  <si>
    <t>Dépenses Totales (Mds XAF)</t>
  </si>
  <si>
    <t>Déficit Extérieur (% PIB)</t>
  </si>
  <si>
    <t>Dette Publique Totale (Mds XAF)</t>
  </si>
  <si>
    <t>Dette / PIB (%)</t>
  </si>
  <si>
    <t>Service de la Dette (Mds XAF)</t>
  </si>
  <si>
    <t>Service Dette / Recettes Fiscales (%)</t>
  </si>
  <si>
    <t>Projection Recettes N+1 (Mds XAF)</t>
  </si>
  <si>
    <t>Projection Dépenses N+1 (Mds XAF)</t>
  </si>
  <si>
    <t>Cameroun</t>
  </si>
  <si>
    <t>19.5%</t>
  </si>
  <si>
    <t>Gabon</t>
  </si>
  <si>
    <t>20.0%</t>
  </si>
  <si>
    <t>Congo</t>
  </si>
  <si>
    <t>COG</t>
  </si>
  <si>
    <t>31.6%</t>
  </si>
  <si>
    <t>RCA</t>
  </si>
  <si>
    <t>41.7%</t>
  </si>
  <si>
    <t>Guinée Équatoriale</t>
  </si>
  <si>
    <t>GNQ</t>
  </si>
  <si>
    <t>22.5%</t>
  </si>
  <si>
    <t>Tchad</t>
  </si>
  <si>
    <t>TCD</t>
  </si>
  <si>
    <t>27.7%</t>
  </si>
  <si>
    <t>→ Somme CEMAC</t>
  </si>
  <si>
    <t>ENCOURS MENSUELS PAR PAYS ET INSTRUMENT (M XAF)</t>
  </si>
  <si>
    <t>Mois (YYYY-MM)</t>
  </si>
  <si>
    <t>Instrument (BTA/OTA)</t>
  </si>
  <si>
    <t>Encours (M XAF)</t>
  </si>
  <si>
    <t>Encours Cumulé Pays (M XAF)</t>
  </si>
  <si>
    <t>Variation M/M (%)</t>
  </si>
  <si>
    <t>Variation A/A (%)</t>
  </si>
  <si>
    <t>Nb Titres Actifs</t>
  </si>
  <si>
    <t>Source/Remarque</t>
  </si>
  <si>
    <t>2026-03</t>
  </si>
  <si>
    <t>Importé BEAC</t>
  </si>
  <si>
    <t>7 ans</t>
  </si>
  <si>
    <t>CALENDRIER PRÉVISIONNEL DES ÉMISSIONS</t>
  </si>
  <si>
    <t>Date Adjudication</t>
  </si>
  <si>
    <t>Heure Limite</t>
  </si>
  <si>
    <t>Montant Indicatif (M XAF)</t>
  </si>
  <si>
    <t>Référence BEAC</t>
  </si>
  <si>
    <t>Remarque</t>
  </si>
  <si>
    <t>Résultat Publié</t>
  </si>
  <si>
    <t>2026-05-28</t>
  </si>
  <si>
    <t>11h00</t>
  </si>
  <si>
    <t>Confirmé</t>
  </si>
  <si>
    <t>BEAC/2026/015</t>
  </si>
  <si>
    <t>2026-06-03</t>
  </si>
  <si>
    <t>Prévisionnel</t>
  </si>
  <si>
    <t>BEAC/2026/016</t>
  </si>
  <si>
    <t>2026-06-10</t>
  </si>
  <si>
    <t>BEAC/2026/017</t>
  </si>
  <si>
    <t>COURBE DES TAUX — CEMAC (Rendement à l'échéance)</t>
  </si>
  <si>
    <t>Mettre à jour après chaque adjudication — valeurs en %</t>
  </si>
  <si>
    <t>Date</t>
  </si>
  <si>
    <t>Maturité Label</t>
  </si>
  <si>
    <t>Maturité (années)</t>
  </si>
  <si>
    <t>Taux CEMAC moyen (%)</t>
  </si>
  <si>
    <t>Taux Cameroun (%)</t>
  </si>
  <si>
    <t>Taux Gabon (%)</t>
  </si>
  <si>
    <t>Taux Congo (%)</t>
  </si>
  <si>
    <t>Taux RCA (%)</t>
  </si>
  <si>
    <t>Taux GNQ (%)</t>
  </si>
  <si>
    <t>Taux Tchad (%)</t>
  </si>
  <si>
    <t>Variation vs J-1 (bp)</t>
  </si>
  <si>
    <t>Source</t>
  </si>
  <si>
    <t>2026-03-31</t>
  </si>
  <si>
    <t>+5</t>
  </si>
  <si>
    <t>-</t>
  </si>
  <si>
    <t>-2</t>
  </si>
  <si>
    <t>52 semaines</t>
  </si>
  <si>
    <t>+8</t>
  </si>
  <si>
    <t>2 ans</t>
  </si>
  <si>
    <t>+3</t>
  </si>
  <si>
    <t>3 ans</t>
  </si>
  <si>
    <t>+2</t>
  </si>
  <si>
    <t>+4</t>
  </si>
  <si>
    <t>10 ans</t>
  </si>
  <si>
    <t>+6</t>
  </si>
  <si>
    <t>15 ans</t>
  </si>
  <si>
    <t>CALCULS DE MARCHÉ — Prix, Duration, Convexité, Spread</t>
  </si>
  <si>
    <t>Données calculées / importées pour les outils de simulation</t>
  </si>
  <si>
    <t>Code ISIN</t>
  </si>
  <si>
    <t>Date Valeur</t>
  </si>
  <si>
    <t>Prix Pied de Coupon (%)</t>
  </si>
  <si>
    <t>Prix Pied de Coupon + Coupon Couru (%)</t>
  </si>
  <si>
    <t>Rendement à l'Échéance (%)</t>
  </si>
  <si>
    <t>Duration (années)</t>
  </si>
  <si>
    <t>Duration Modifiée</t>
  </si>
  <si>
    <t>Convexité</t>
  </si>
  <si>
    <t>Spread vs BTA 13s (bp)</t>
  </si>
  <si>
    <t>Liquidité (1=Faible..5=Elevée)</t>
  </si>
  <si>
    <t>98.50</t>
  </si>
  <si>
    <t>99.25</t>
  </si>
  <si>
    <t>7.32%</t>
  </si>
  <si>
    <t>4.18</t>
  </si>
  <si>
    <t>3.89</t>
  </si>
  <si>
    <t>21.4</t>
  </si>
  <si>
    <t>375 bp</t>
  </si>
  <si>
    <t>XAGABOTA20267</t>
  </si>
  <si>
    <t>7.50%</t>
  </si>
  <si>
    <t>97.80</t>
  </si>
  <si>
    <t>98.60</t>
  </si>
  <si>
    <t>7.85%</t>
  </si>
  <si>
    <t>5.62</t>
  </si>
  <si>
    <t>5.20</t>
  </si>
  <si>
    <t>38.2</t>
  </si>
  <si>
    <t>435 bp</t>
  </si>
  <si>
    <t>RÉPARTITION DES ENCOURS PAR CATÉGORIE DE DÉTENTEURS</t>
  </si>
  <si>
    <t>Date (YYYY-MM)</t>
  </si>
  <si>
    <t>Catégorie Détenteur</t>
  </si>
  <si>
    <t>Part (%)</t>
  </si>
  <si>
    <t>Variation M/M (M XAF)</t>
  </si>
  <si>
    <t>CEMAC</t>
  </si>
  <si>
    <t>2041000</t>
  </si>
  <si>
    <t>42.3%</t>
  </si>
  <si>
    <t>BEAC</t>
  </si>
  <si>
    <t>Autres banques</t>
  </si>
  <si>
    <t>902700</t>
  </si>
  <si>
    <t>18.7%</t>
  </si>
  <si>
    <t>Institutionnels non-bancaires</t>
  </si>
  <si>
    <t>1163100</t>
  </si>
  <si>
    <t>24.1%</t>
  </si>
  <si>
    <t>Personnes physiques</t>
  </si>
  <si>
    <t>405800</t>
  </si>
  <si>
    <t>8.4%</t>
  </si>
  <si>
    <t>Autres</t>
  </si>
  <si>
    <t>313900</t>
  </si>
  <si>
    <t>6.5%</t>
  </si>
  <si>
    <t>→ TOTAL</t>
  </si>
  <si>
    <t>MÉTADONNÉES DES DOCUMENTS — Règlementation &amp; Publications</t>
  </si>
  <si>
    <t>Les fichiers sont dans le dossier Documentation/ — chemin relatif à renseigner</t>
  </si>
  <si>
    <t>Titre</t>
  </si>
  <si>
    <t>Catégorie</t>
  </si>
  <si>
    <t>Sous-catégorie</t>
  </si>
  <si>
    <t>Référence</t>
  </si>
  <si>
    <t>Date Publication</t>
  </si>
  <si>
    <t>Auteur / Émetteur</t>
  </si>
  <si>
    <t>Accès (Public/Restreint)</t>
  </si>
  <si>
    <t>Chemin Fichier</t>
  </si>
  <si>
    <t>Taille</t>
  </si>
  <si>
    <t>Version</t>
  </si>
  <si>
    <t>Réglementation</t>
  </si>
  <si>
    <t>Règlement</t>
  </si>
  <si>
    <t>2024-01-15</t>
  </si>
  <si>
    <t>CEMAC/UMAC</t>
  </si>
  <si>
    <t>Public</t>
  </si>
  <si>
    <t>2.4 Mo</t>
  </si>
  <si>
    <t>v1.0</t>
  </si>
  <si>
    <t>Instruction n°03/23 — Procédures d'adjudication</t>
  </si>
  <si>
    <t>Instruction</t>
  </si>
  <si>
    <t>BEAC/CRCT/003/2023</t>
  </si>
  <si>
    <t>2023-07-10</t>
  </si>
  <si>
    <t>BEAC/CRCT</t>
  </si>
  <si>
    <t>Documentation/reglementation/instruction_03_2023.pdf</t>
  </si>
  <si>
    <t>1.8 Mo</t>
  </si>
  <si>
    <t>Publication</t>
  </si>
  <si>
    <t>Bulletin</t>
  </si>
  <si>
    <t>BUL-T1-2026</t>
  </si>
  <si>
    <t>2026-04-01</t>
  </si>
  <si>
    <t>3.2 Mo</t>
  </si>
  <si>
    <t>Rapport annuel marché 2025</t>
  </si>
  <si>
    <t>Rapport annuel</t>
  </si>
  <si>
    <t>RA-2025</t>
  </si>
  <si>
    <t>2026-02-28</t>
  </si>
  <si>
    <t>Documentation/publication/rapport_annuel_2025.pdf</t>
  </si>
  <si>
    <t>8.5 Mo</t>
  </si>
  <si>
    <t>Résultats adjudications 2025 — données détaillées</t>
  </si>
  <si>
    <t>Données marché</t>
  </si>
  <si>
    <t>STAT-ADJ-2025</t>
  </si>
  <si>
    <t>Restreint</t>
  </si>
  <si>
    <t>Documentation/publication/adj_data_2025.xlsx</t>
  </si>
  <si>
    <t>1.1 Mo</t>
  </si>
  <si>
    <t>ALERTES &amp; ABONNEMENTS UTILISATEURS</t>
  </si>
  <si>
    <t>Email Notification</t>
  </si>
  <si>
    <t>Pays Suivis</t>
  </si>
  <si>
    <t>Instruments</t>
  </si>
  <si>
    <t>Taux Min (%)</t>
  </si>
  <si>
    <t>Maturités</t>
  </si>
  <si>
    <t>Newsletter</t>
  </si>
  <si>
    <t>Alerte Emission</t>
  </si>
  <si>
    <t>Alerte Résultat</t>
  </si>
  <si>
    <t>Statut Alerte</t>
  </si>
  <si>
    <t>Date Config</t>
  </si>
  <si>
    <t>PARAMÈTRES GLOBAUX DE LA PLATEFORME</t>
  </si>
  <si>
    <t>Paramètre</t>
  </si>
  <si>
    <t>Valeur</t>
  </si>
  <si>
    <t>Description</t>
  </si>
  <si>
    <t>nom_plateforme</t>
  </si>
  <si>
    <t>CTDAM-CEMAC</t>
  </si>
  <si>
    <t>Nom affiché sur la plateforme</t>
  </si>
  <si>
    <t>version</t>
  </si>
  <si>
    <t>1.0</t>
  </si>
  <si>
    <t>Version actuelle</t>
  </si>
  <si>
    <t>email_contact</t>
  </si>
  <si>
    <t>crct@beac.int</t>
  </si>
  <si>
    <t>Email de contact BEAC/CRCT</t>
  </si>
  <si>
    <t>telephone</t>
  </si>
  <si>
    <t>+ 237 222 23 40 30</t>
  </si>
  <si>
    <t>Téléphone BEAC</t>
  </si>
  <si>
    <t>adresse</t>
  </si>
  <si>
    <t>Avenue Monseigneur Vogt, Yaoundé</t>
  </si>
  <si>
    <t>Adresse BEAC</t>
  </si>
  <si>
    <t>session_duree_heures</t>
  </si>
  <si>
    <t>Durée de session (heures)</t>
  </si>
  <si>
    <t>delai_validation_jours</t>
  </si>
  <si>
    <t>Délai de validation des comptes (jours ouvrés)</t>
  </si>
  <si>
    <t>monnaie</t>
  </si>
  <si>
    <t>XAF</t>
  </si>
  <si>
    <t>Devise utilisée</t>
  </si>
  <si>
    <t>zone</t>
  </si>
  <si>
    <t>Zone géographique couverte</t>
  </si>
  <si>
    <t>pays_membres</t>
  </si>
  <si>
    <t>CMR,GAB,COG,RCA,GNQ,TCD</t>
  </si>
  <si>
    <t>Codes pays membres</t>
  </si>
  <si>
    <t>instruments_disponibles</t>
  </si>
  <si>
    <t>BTA,OTA</t>
  </si>
  <si>
    <t>Instruments gérés</t>
  </si>
  <si>
    <t>maturites_bta</t>
  </si>
  <si>
    <t>13s,26s,52s</t>
  </si>
  <si>
    <t>Maturités BTA (semaines)</t>
  </si>
  <si>
    <t>maturites_ota</t>
  </si>
  <si>
    <t>2a,3a,5a,7a,10a,15a</t>
  </si>
  <si>
    <t>Maturités OTA (années)</t>
  </si>
  <si>
    <t>dossier_documentation</t>
  </si>
  <si>
    <t>Documentation/</t>
  </si>
  <si>
    <t>Chemin dossier docs</t>
  </si>
  <si>
    <t>dossier_reglementation</t>
  </si>
  <si>
    <t>Documentation/reglementation/</t>
  </si>
  <si>
    <t>Chemin réglementation</t>
  </si>
  <si>
    <t>dossier_publications</t>
  </si>
  <si>
    <t>Documentation/publication/</t>
  </si>
  <si>
    <t>Chemin publications</t>
  </si>
  <si>
    <t>taux_inflation_reference</t>
  </si>
  <si>
    <t>Valeur en PAYS_MACRO</t>
  </si>
  <si>
    <t>Source inflation</t>
  </si>
  <si>
    <t>refresh_encours</t>
  </si>
  <si>
    <t>Mensuel</t>
  </si>
  <si>
    <t>Fréquence mise à jour encours</t>
  </si>
  <si>
    <t>refresh_courbe_taux</t>
  </si>
  <si>
    <t>Après chaque adjudication</t>
  </si>
  <si>
    <t>Fréquence mise à jour courbe taux</t>
  </si>
  <si>
    <t>CHIFFRES CLÉS DE LA PAGE D'ACCUEIL — Alimentés automatiquement</t>
  </si>
  <si>
    <t>Ces cellules contiennent des formules qui lisent EMISSIONS, ENCOURS_MENSUEL, SVT, COURBE_TAUX</t>
  </si>
  <si>
    <t>KPI</t>
  </si>
  <si>
    <t>Formule / Source</t>
  </si>
  <si>
    <t>Valeur Calculée</t>
  </si>
  <si>
    <t>Unité</t>
  </si>
  <si>
    <t>Onglet Affiché</t>
  </si>
  <si>
    <t>Encours Global</t>
  </si>
  <si>
    <t>M XAF</t>
  </si>
  <si>
    <t>Accueil</t>
  </si>
  <si>
    <t>Nb SVT Actifs</t>
  </si>
  <si>
    <t>Nombre</t>
  </si>
  <si>
    <t>Nb Adjudications (12 mois)</t>
  </si>
  <si>
    <t>Volumes Émis (12 mois)</t>
  </si>
  <si>
    <t>Taux Couverture Moyen</t>
  </si>
  <si>
    <t>x</t>
  </si>
  <si>
    <t>Dernier Taux BTA 13s</t>
  </si>
  <si>
    <t xml:space="preserve">% </t>
  </si>
  <si>
    <t>Nb Codes ISIN Actifs</t>
  </si>
  <si>
    <t>Nb Pays Émetteurs</t>
  </si>
  <si>
    <t>Règlement n°03/19/CEMAC/UMAC/CM — Émission des valeurs du Trésor</t>
  </si>
  <si>
    <t xml:space="preserve">CEMAC/UMAC/CM </t>
  </si>
  <si>
    <t>Documentation\reglementation\reglement cemac relatif au marche des  valeurs du tresor (1).pdf</t>
  </si>
  <si>
    <t>Statistiques Mensuelles du Marché des Valeurs du Trésor de la CEMAC février 2026</t>
  </si>
  <si>
    <t>Documentation\publication\Statistiques Mensuelles du Marché des Valeurs du Trésor de la CEMAC février 2026.pdf</t>
  </si>
  <si>
    <t>CNPS</t>
  </si>
  <si>
    <t>Institutionnel</t>
  </si>
  <si>
    <t>Yaoundé-Hipodromme</t>
  </si>
  <si>
    <t>cnpscmr@gmail.com</t>
  </si>
  <si>
    <t>Montant (millions de FCFA)</t>
  </si>
  <si>
    <t>Date d'adjudication</t>
  </si>
  <si>
    <t>SVT Locaux</t>
  </si>
  <si>
    <t>SVT Déplacés</t>
  </si>
  <si>
    <t>Montant levé</t>
  </si>
  <si>
    <t>Rendement</t>
  </si>
  <si>
    <t>Nature de l opération</t>
  </si>
  <si>
    <t>CM2A00000014 OTA 2 ANS 4% 08-JUIN -2015</t>
  </si>
  <si>
    <t>2 ANS</t>
  </si>
  <si>
    <t>émission</t>
  </si>
  <si>
    <t>GA2J00000015 OTA 3 ANS 4,5% 02-AOUT -2016</t>
  </si>
  <si>
    <t>3 ANS</t>
  </si>
  <si>
    <t>CM2A00000023 OTA 2 ANS 4% 07-SEPT -2015</t>
  </si>
  <si>
    <t>CM2A00000032 OTA 2 ANS 3,75% 08-AOUT -2016</t>
  </si>
  <si>
    <t>GA2J00000024 OTA 3 ANS 5,30% 26-SEPT -2017</t>
  </si>
  <si>
    <t>GA2J00000042 OTA 3 ANS 5,3% 12-DECE -2017</t>
  </si>
  <si>
    <t>GA2J00000051 OTA 3 ANS 5,3% 10-AVRI -2018</t>
  </si>
  <si>
    <t>TD2A00000016 OTA 2 ANS 4,15% 24-JUIL -2017</t>
  </si>
  <si>
    <t>TD2B00000023 OTA 5 ANS 4,15% 21-AOUT -2020</t>
  </si>
  <si>
    <t>5 ANS</t>
  </si>
  <si>
    <t>TD2B00000041 OTA 5 ANS 4,1% 25-SEPT -2020</t>
  </si>
  <si>
    <t>TD2B00000051 OTA 5 ANS 4,1% 02-OCTO -2020</t>
  </si>
  <si>
    <t>TD2B00000069 OTA 5 ANS 4,1% 30-OCTO -2020</t>
  </si>
  <si>
    <t>GA2A00000014 OTA 2 ANS 4,5% 27-NOVE -2017</t>
  </si>
  <si>
    <t>TD2J00000017 OTA 3 ANS 4,1% 02-JANV -2019</t>
  </si>
  <si>
    <t>TD2A00000025 OTA 2 ANS 4% 19-MARS -2018</t>
  </si>
  <si>
    <t>GA2A00000023 OTA 2 ANS 4,5% 26-MARS -2018</t>
  </si>
  <si>
    <t>TD2K00000015 OTA 4 ANS 4% 25-MARS -2020</t>
  </si>
  <si>
    <t>4 ANS</t>
  </si>
  <si>
    <t xml:space="preserve"> </t>
  </si>
  <si>
    <t>TD2A00000043 OTA 2 ANS 3,5% 21-MAI -2018</t>
  </si>
  <si>
    <t>TD2A00000052 OTA 2 ANS 4,00% 28-MAI -2018</t>
  </si>
  <si>
    <t>TD2A00000061 OTA 2 ANS 3,5% 25-JUIN -2018</t>
  </si>
  <si>
    <t>TD2J00000026 OTA 3 ANS 4% 09-SEPT -2019</t>
  </si>
  <si>
    <t>TD2A00000383 OTA 2 ANS 5% 01-OCTO -2018</t>
  </si>
  <si>
    <t>TD2A00000392 OTA 2 ANS 5% 22-OCTO -2018</t>
  </si>
  <si>
    <t>GA2A00000032 OTA 2 ANS 4,75% 26-NOVE -2018</t>
  </si>
  <si>
    <t>GA2A00000032 OTA 2 ANS 4,75% 26-NOVE -2018#1</t>
  </si>
  <si>
    <t>TD2A00000409 OTA 2 ANS 4,5% 31-DECE -2018</t>
  </si>
  <si>
    <t>GQ2B00000014 OTA 5 ANS 5% 31-MARS -2022</t>
  </si>
  <si>
    <t>Guinée Equatoriale</t>
  </si>
  <si>
    <t>Annulée</t>
  </si>
  <si>
    <t>TD2A00000418 OTA 2 ANS 4,5% 10-JUIN -2019</t>
  </si>
  <si>
    <t>GA2A00000041 OTA 2 ANS 4,5% 23-SEPT -2019</t>
  </si>
  <si>
    <t>GA2A00000051 OTA 2 ANS 4,5% 23-MARS-2020</t>
  </si>
  <si>
    <t>GA2A00000051 OTA 2 ANS 4,5% 23-MARS-2020#1</t>
  </si>
  <si>
    <t>GA2A00000069 OTA 2 ANS 5%  25-MAI-2020</t>
  </si>
  <si>
    <t>GA2J00000069 OTA 3 ANS 5,75% 05-JUIL-2021</t>
  </si>
  <si>
    <t>GA2J00000069 OTA 3 ANS 5,75% 05-JUIL-2021#1</t>
  </si>
  <si>
    <t>GA2B00000026</t>
  </si>
  <si>
    <t>GA2A00000051 OTA 2 ANS 4,5% 23-MARS-2020#2</t>
  </si>
  <si>
    <t>GA2A00000051</t>
  </si>
  <si>
    <t>CM2J00000014</t>
  </si>
  <si>
    <t>GQ2A00000015 OTA 2 ans 5% 13 février 2021</t>
  </si>
  <si>
    <t>titrisation</t>
  </si>
  <si>
    <t>GQ2J00000016 OTA 3 ans 5% 13 février 2022</t>
  </si>
  <si>
    <t>GQ2K00000013 OTA 4 ans 5% 13 février 2023</t>
  </si>
  <si>
    <t>GQ2B00000014 OTA 5 ans 5% 13 février 2024</t>
  </si>
  <si>
    <t>GQ2L00000012 OTA 6 ans 5% 13 février 2025</t>
  </si>
  <si>
    <t>6 ANS</t>
  </si>
  <si>
    <t>GQ2C00000013 OTA 7 ans 5% 13 février 2026</t>
  </si>
  <si>
    <t>7 ANS</t>
  </si>
  <si>
    <t>GQ2M00000011 OTA 8 ans 5% 13 février 2027</t>
  </si>
  <si>
    <t>8 ANS</t>
  </si>
  <si>
    <t>GQ2N00000010 OTA 9 ans 5% 13 février 2028</t>
  </si>
  <si>
    <t>9 ANS</t>
  </si>
  <si>
    <t>GQ2D00000012 OTA 10 ans 5%  13 février 2029</t>
  </si>
  <si>
    <t>10 ANS</t>
  </si>
  <si>
    <t>GA2J00000085</t>
  </si>
  <si>
    <t>CM2J00000022</t>
  </si>
  <si>
    <t>CM2K00000011</t>
  </si>
  <si>
    <t>GA2J00000069</t>
  </si>
  <si>
    <t>CG2A00000015</t>
  </si>
  <si>
    <t>CM2B00000020</t>
  </si>
  <si>
    <t>CG2A00000023</t>
  </si>
  <si>
    <t>CG2A00000031</t>
  </si>
  <si>
    <t>GA2A00000076</t>
  </si>
  <si>
    <t>CM2A00000047</t>
  </si>
  <si>
    <t>GA2J00000093</t>
  </si>
  <si>
    <t>CG2A00000049/MN</t>
  </si>
  <si>
    <t>CG2J00000016/MN</t>
  </si>
  <si>
    <t>GA2A00000076/MN1</t>
  </si>
  <si>
    <t>GA2J00000093/MN2</t>
  </si>
  <si>
    <t>GA2J00000093/MN3</t>
  </si>
  <si>
    <t>GA2A00000076/MN2</t>
  </si>
  <si>
    <t>CG2A00000056/MN</t>
  </si>
  <si>
    <t>GA2A00000084/MN</t>
  </si>
  <si>
    <t>CG2A00000072/MN</t>
  </si>
  <si>
    <t>CG2A00000072</t>
  </si>
  <si>
    <t>GA2J00000101</t>
  </si>
  <si>
    <t>CG2A00000080/MN</t>
  </si>
  <si>
    <t>GA2K00000017/</t>
  </si>
  <si>
    <t>GA2J00000101/MN1</t>
  </si>
  <si>
    <t>CM2B00000038/MN1</t>
  </si>
  <si>
    <t>CG2A00000098/MN</t>
  </si>
  <si>
    <t>CM2J00000030/MN</t>
  </si>
  <si>
    <t>GA2A00000084/MN1</t>
  </si>
  <si>
    <t>GA2K00000017/MN1</t>
  </si>
  <si>
    <t>CM2A00000054/MN</t>
  </si>
  <si>
    <t>GA2A00000084/MN3</t>
  </si>
  <si>
    <t>GA2K00000017/MN2</t>
  </si>
  <si>
    <t>CG2A00000106/MN</t>
  </si>
  <si>
    <t>CG2A00000106/MN2</t>
  </si>
  <si>
    <t>CM2D00000028/MN</t>
  </si>
  <si>
    <t>GA2A00000092/MN</t>
  </si>
  <si>
    <t>GA2J00000119/MN</t>
  </si>
  <si>
    <t>CM2B00000038/MN2</t>
  </si>
  <si>
    <t>GA2J00000119/MN1</t>
  </si>
  <si>
    <t>GA2A00000092/MN1</t>
  </si>
  <si>
    <t>GA2K00000017/MN3</t>
  </si>
  <si>
    <t>GA2A00000100/MN</t>
  </si>
  <si>
    <t>CM2C00000037/MN</t>
  </si>
  <si>
    <t>CG2A00000114/MN</t>
  </si>
  <si>
    <t>GA2J00000127/MN</t>
  </si>
  <si>
    <t>GA2K00000017/MN4</t>
  </si>
  <si>
    <t>CG2A00000098/MN1</t>
  </si>
  <si>
    <t>CG2J00000024/MN</t>
  </si>
  <si>
    <t>CG2J00000024/MN1</t>
  </si>
  <si>
    <t>GA2A00000118/MN</t>
  </si>
  <si>
    <t>GA2J00000127/MN1</t>
  </si>
  <si>
    <t>GA2J00000127/MN3</t>
  </si>
  <si>
    <t>GA2B00000034/MN</t>
  </si>
  <si>
    <t>TD2B00000072/MN</t>
  </si>
  <si>
    <t>TD2K00000022/MN</t>
  </si>
  <si>
    <t>TD2J00000033/MN</t>
  </si>
  <si>
    <t>TD2A00000420/MN</t>
  </si>
  <si>
    <t>CG2J00000032/MN</t>
  </si>
  <si>
    <t>CG2A00000122/MN</t>
  </si>
  <si>
    <t>CM2J00000055/MN</t>
  </si>
  <si>
    <t>CG2J00000040/MN</t>
  </si>
  <si>
    <t>CG2J00000057</t>
  </si>
  <si>
    <t>CM2L00000010/MN</t>
  </si>
  <si>
    <t>CM2D00000036/MN</t>
  </si>
  <si>
    <t>CG2A00000130/MN</t>
  </si>
  <si>
    <t>CG2A00000148/MN</t>
  </si>
  <si>
    <t>CG2B00000014/MN</t>
  </si>
  <si>
    <t>CG2A00000155/MN</t>
  </si>
  <si>
    <t>CG2J00000065/MN</t>
  </si>
  <si>
    <t>CM2C00000045/MN</t>
  </si>
  <si>
    <t>GA2B00000042/MN4</t>
  </si>
  <si>
    <t>GA2J00000135/MN3</t>
  </si>
  <si>
    <t>CG2A00000163/MN</t>
  </si>
  <si>
    <t>CM2A00000062/MN</t>
  </si>
  <si>
    <t>GA2B00000059/MN</t>
  </si>
  <si>
    <t>CG2J00000073/MN</t>
  </si>
  <si>
    <t>CF2A00000017</t>
  </si>
  <si>
    <t>République centrafricaine</t>
  </si>
  <si>
    <t>CF2B00000016</t>
  </si>
  <si>
    <t>CF2J00000018</t>
  </si>
  <si>
    <t>CF2K00000015</t>
  </si>
  <si>
    <t>CF2L00000014</t>
  </si>
  <si>
    <t>CM2B00000046/MN</t>
  </si>
  <si>
    <t>CG2A00000171/MN</t>
  </si>
  <si>
    <t>GA2J00000143/MN</t>
  </si>
  <si>
    <t>GA2C00000017/MN1</t>
  </si>
  <si>
    <t>annulée</t>
  </si>
  <si>
    <t>CG2J00000081/MN</t>
  </si>
  <si>
    <t>GA2J00000143/MN2</t>
  </si>
  <si>
    <t>GA2C00000017/MN2</t>
  </si>
  <si>
    <t>GA2B00000067/MN</t>
  </si>
  <si>
    <t>CG2A00000189/MN</t>
  </si>
  <si>
    <t>GA2A00000126/MN</t>
  </si>
  <si>
    <t>GA2J00000150/MN</t>
  </si>
  <si>
    <t>CG2A00000197/MN</t>
  </si>
  <si>
    <t>CG2J00000099/MN1</t>
  </si>
  <si>
    <t>CG2K00000013/MN</t>
  </si>
  <si>
    <t>CG2J00000099/MN2</t>
  </si>
  <si>
    <t>CG2K00000013/MN1</t>
  </si>
  <si>
    <t>GA2A00000126/MN1</t>
  </si>
  <si>
    <t>GA2J00000150/MN1</t>
  </si>
  <si>
    <t>GA2A00000126/MN2</t>
  </si>
  <si>
    <t>CM2B00000053/MN</t>
  </si>
  <si>
    <t>GA2B00000059/MN2</t>
  </si>
  <si>
    <t>GA2J00000150/MN2</t>
  </si>
  <si>
    <t>CG2A00000189/MN1</t>
  </si>
  <si>
    <t>CG2J00000107/MN</t>
  </si>
  <si>
    <t>CM2C00000052/MN</t>
  </si>
  <si>
    <t>CG2J00000115/MN</t>
  </si>
  <si>
    <t>GA2J00000168/MN1</t>
  </si>
  <si>
    <t>CM2B00000061/MN</t>
  </si>
  <si>
    <t>GA2B00000067/MN1</t>
  </si>
  <si>
    <t>GA2A00000100/MN1</t>
  </si>
  <si>
    <t>GA2J00000119/MN2</t>
  </si>
  <si>
    <t>TD2B00000080/MN</t>
  </si>
  <si>
    <t>TD2A00000438/MN</t>
  </si>
  <si>
    <t>CM2B00000079/MN</t>
  </si>
  <si>
    <t>GA2B00000067/MN2</t>
  </si>
  <si>
    <t>GA2J00000176/MN</t>
  </si>
  <si>
    <t>CF2J00000026/MN</t>
  </si>
  <si>
    <t>CG2J00000123/MN1</t>
  </si>
  <si>
    <t>CG2B00000022/MN</t>
  </si>
  <si>
    <t>CG2K00000021/MN</t>
  </si>
  <si>
    <t>CG2A00000098</t>
  </si>
  <si>
    <t>rachat</t>
  </si>
  <si>
    <t>CG2A00000049</t>
  </si>
  <si>
    <t>CG2A00000171</t>
  </si>
  <si>
    <t>CG2A00000148</t>
  </si>
  <si>
    <t>CG2A00000114</t>
  </si>
  <si>
    <t>CG2J00000131/MN1</t>
  </si>
  <si>
    <t>TD2J00000041/MN</t>
  </si>
  <si>
    <t>CG2J00000149/MN1</t>
  </si>
  <si>
    <t>CG2K00000039/MN</t>
  </si>
  <si>
    <t>GA2B00000042/MN5</t>
  </si>
  <si>
    <t>GA2A00000134/MN</t>
  </si>
  <si>
    <t>CM2L00000028/MN</t>
  </si>
  <si>
    <t>CG2B00000022/MN1</t>
  </si>
  <si>
    <t>CG2A00000205</t>
  </si>
  <si>
    <t>CG2J00000156/MN1</t>
  </si>
  <si>
    <t>CG2K00000047/MN</t>
  </si>
  <si>
    <t>GA2J00000184/MN</t>
  </si>
  <si>
    <t>CG2A00000205/MN1</t>
  </si>
  <si>
    <t>TD2A00000446/MN</t>
  </si>
  <si>
    <t>GA2B00000075/MN</t>
  </si>
  <si>
    <t>GA2C00000025/MN</t>
  </si>
  <si>
    <t>GQ2J00000024</t>
  </si>
  <si>
    <t>CG2B00000030/MN</t>
  </si>
  <si>
    <t>GA2J00000176/MN1</t>
  </si>
  <si>
    <t>GA2B00000075/MN1</t>
  </si>
  <si>
    <t>GQ2K00000021</t>
  </si>
  <si>
    <t>CG2J00000164/MN1</t>
  </si>
  <si>
    <t>CG2A00000106</t>
  </si>
  <si>
    <t>CG2A00000171/MN2</t>
  </si>
  <si>
    <t>CG2J00000073/MN1</t>
  </si>
  <si>
    <t>CG2J00000081/MN1</t>
  </si>
  <si>
    <t>infructueuse</t>
  </si>
  <si>
    <t>CG2A00000213</t>
  </si>
  <si>
    <t>CG2J00000172</t>
  </si>
  <si>
    <t>GA2C00000025/MN2</t>
  </si>
  <si>
    <t>GA2J00000192</t>
  </si>
  <si>
    <t>GA2B00000083/MN</t>
  </si>
  <si>
    <t>GA2D00000024/MN</t>
  </si>
  <si>
    <t>TD2A00000453/MN</t>
  </si>
  <si>
    <t>CG2A00000221</t>
  </si>
  <si>
    <t>GA2J00000192/MN1</t>
  </si>
  <si>
    <t>CF2A00000025</t>
  </si>
  <si>
    <t>CG2J00000180/MN</t>
  </si>
  <si>
    <t>GQ2K00000039/MN</t>
  </si>
  <si>
    <t>CG2J00000180/MN2</t>
  </si>
  <si>
    <t>GQ2K00000047</t>
  </si>
  <si>
    <t>CF2A00000025/MN2</t>
  </si>
  <si>
    <t>CG2J00000180/MN3</t>
  </si>
  <si>
    <t>CG2A00000239</t>
  </si>
  <si>
    <t>GA2B00000083/MN2</t>
  </si>
  <si>
    <t>GA2D00000024/MN2</t>
  </si>
  <si>
    <t>GA2J00000200/MN</t>
  </si>
  <si>
    <t>CG2A00000163/MN2</t>
  </si>
  <si>
    <t>CG2A00000189/MN3</t>
  </si>
  <si>
    <t>CG2A00000197/MN3</t>
  </si>
  <si>
    <t>CG2J00000198/MN1</t>
  </si>
  <si>
    <t>GA2J00000200/MN2</t>
  </si>
  <si>
    <t>GA2C00000025/MN3</t>
  </si>
  <si>
    <t>GA2A00000142/MN</t>
  </si>
  <si>
    <t>CM2B00000087/MN</t>
  </si>
  <si>
    <t>CG2A00000163/MN3</t>
  </si>
  <si>
    <t>CG2A00000247</t>
  </si>
  <si>
    <t>GA2D00000024/MN3</t>
  </si>
  <si>
    <t>GA2B00000083/MN3</t>
  </si>
  <si>
    <t>GA2A00000159/MN</t>
  </si>
  <si>
    <t>GA2J00000218/MN</t>
  </si>
  <si>
    <t>TD2J00000058/MN</t>
  </si>
  <si>
    <t>CF2J00000034/MN</t>
  </si>
  <si>
    <t>CG2A00000254</t>
  </si>
  <si>
    <t>annulée par le Trésor</t>
  </si>
  <si>
    <t>GA2D00000024/MN4</t>
  </si>
  <si>
    <t>GA2J00000226/MN</t>
  </si>
  <si>
    <t>TD2A00000461/MN</t>
  </si>
  <si>
    <t xml:space="preserve">infructueuse </t>
  </si>
  <si>
    <t>CG2A00000254/MN1</t>
  </si>
  <si>
    <t>CM2J00000063/MN</t>
  </si>
  <si>
    <t>TD2J00000066/MN</t>
  </si>
  <si>
    <t>TD2B00000098/MN</t>
  </si>
  <si>
    <t>TD2A00000479/MN</t>
  </si>
  <si>
    <t>GA2J00000226/MN2</t>
  </si>
  <si>
    <t>CM2L00000036/MN</t>
  </si>
  <si>
    <t>CG2A00000254/MN2</t>
  </si>
  <si>
    <t>CG2K00000054/MN</t>
  </si>
  <si>
    <t>CM2A00000070/MN</t>
  </si>
  <si>
    <t>CG2A00000262/MN</t>
  </si>
  <si>
    <t>GA2J00000234/MN</t>
  </si>
  <si>
    <t>GA2B00000083/MN4</t>
  </si>
  <si>
    <t>TD2A00000487/MN</t>
  </si>
  <si>
    <t>CM2A00000070/MN1</t>
  </si>
  <si>
    <t>CM2A00000088/MN</t>
  </si>
  <si>
    <t>CG2A00000262/MN1</t>
  </si>
  <si>
    <t>TD2J00000074/MN</t>
  </si>
  <si>
    <t>GA2J00000234/MN1</t>
  </si>
  <si>
    <t>TD2J00000082/MN</t>
  </si>
  <si>
    <t>GQ2A00000023 OTA 2 ans 5% 31 décembre 2022</t>
  </si>
  <si>
    <t>GQ2J00000032 OTA 3 ans 5% 31 décembre 2023</t>
  </si>
  <si>
    <t>GQ2K00000054 OTA 4 ans 5%  31 décembre 2024</t>
  </si>
  <si>
    <t>GQ2B00000022 OTA 5 ans 5%  31 décembre 2025</t>
  </si>
  <si>
    <t>GQ2L00000020 OTA 6 ans 5%  31 décembre 2026</t>
  </si>
  <si>
    <t>GQ2C00000021 OTA 7 ans 5%  31 décembre 2027</t>
  </si>
  <si>
    <t>GQ2M00000029 OTA 8 ans 5%  31 décembre 2028</t>
  </si>
  <si>
    <t>GQ2N00000028 OTA 9 ans 5%  31 décembre 2029</t>
  </si>
  <si>
    <t>GQ2D00000020 OTA 10 ans 5%   31 décembre 2030</t>
  </si>
  <si>
    <t>GQ2O00000019 OTA 10 ans 5%   31 décembre 2031</t>
  </si>
  <si>
    <t>11 ANS</t>
  </si>
  <si>
    <t>GQ2P00000018 OTA 10 ans 5%   31 décembre 2032</t>
  </si>
  <si>
    <t>12 ANS</t>
  </si>
  <si>
    <t>GQ2Q00000017 OTA 10 ans 5%   31 décembre 2033</t>
  </si>
  <si>
    <t>13 ANS</t>
  </si>
  <si>
    <t>GQ2R00000016 OTA 10 ans 5%   31 décembre 2034</t>
  </si>
  <si>
    <t>14 ANS</t>
  </si>
  <si>
    <t>GQ2E00000011 OTA 10 ans 5%   31 décembre 2035</t>
  </si>
  <si>
    <t>15 ANS</t>
  </si>
  <si>
    <t>CG2J00000206/MN</t>
  </si>
  <si>
    <t>CG2J00000206/MN3</t>
  </si>
  <si>
    <t>GA2J00000242/MN</t>
  </si>
  <si>
    <t>CG2J00000214</t>
  </si>
  <si>
    <t>GA2J00000242/MN2</t>
  </si>
  <si>
    <t>CG2A00000270/MN</t>
  </si>
  <si>
    <t>CM2D00000044/MN</t>
  </si>
  <si>
    <t>GA2B00000091/MN</t>
  </si>
  <si>
    <t>GA2J00000259/MN</t>
  </si>
  <si>
    <t>CG2J00000222</t>
  </si>
  <si>
    <t>CG2B00000048</t>
  </si>
  <si>
    <t>GA2B00000091/MN1</t>
  </si>
  <si>
    <t>CG2A00000270/MN1</t>
  </si>
  <si>
    <t>CG2J00000222/MN2</t>
  </si>
  <si>
    <t>CG2B00000048/MN1</t>
  </si>
  <si>
    <t>TD2A00000495/MN</t>
  </si>
  <si>
    <t>CM2B00000095/MN</t>
  </si>
  <si>
    <t>GA2K00000025/MN</t>
  </si>
  <si>
    <t>GA2B00000109/MN</t>
  </si>
  <si>
    <t>TD2A00000503/MN</t>
  </si>
  <si>
    <t>CM2K00000029</t>
  </si>
  <si>
    <t>CM2B00000103</t>
  </si>
  <si>
    <t>TD2J00000090</t>
  </si>
  <si>
    <t>CM2B00000095/MN1</t>
  </si>
  <si>
    <t>CG2B00000055</t>
  </si>
  <si>
    <t>GA2B00000109/MN1</t>
  </si>
  <si>
    <t>GA2J00000267/MN1</t>
  </si>
  <si>
    <t>TD2A00000511/MN</t>
  </si>
  <si>
    <t>CG2J00000248</t>
  </si>
  <si>
    <t>CG2K00000062</t>
  </si>
  <si>
    <t>CG2B00000063</t>
  </si>
  <si>
    <t>CG2L00000012</t>
  </si>
  <si>
    <t>TD2A00000529/MN</t>
  </si>
  <si>
    <t>CG2J00000230</t>
  </si>
  <si>
    <t>CG2K00000070</t>
  </si>
  <si>
    <t>GA2B00000109/MN2</t>
  </si>
  <si>
    <t>GA2J00000267/MN2</t>
  </si>
  <si>
    <t>TD2A00000537/MN</t>
  </si>
  <si>
    <t>TD2A00000545/MN</t>
  </si>
  <si>
    <t>TD2J00000108</t>
  </si>
  <si>
    <t>TD2J00000116</t>
  </si>
  <si>
    <t>CG2B00000071</t>
  </si>
  <si>
    <t>CF2J00000042/MN</t>
  </si>
  <si>
    <t>CG2B00000089/MN1</t>
  </si>
  <si>
    <t>TD2A00000552/MN</t>
  </si>
  <si>
    <t>CG2A00000288/MN1</t>
  </si>
  <si>
    <t>GA2J00000275/MN</t>
  </si>
  <si>
    <t>GA2K00000033/MN</t>
  </si>
  <si>
    <t>TD2A00000560/MN</t>
  </si>
  <si>
    <t>GA2J00000275/MN1</t>
  </si>
  <si>
    <t>TD2A00000578/MN</t>
  </si>
  <si>
    <t>CG2J00000255</t>
  </si>
  <si>
    <t>TD2A00000586/MN1</t>
  </si>
  <si>
    <t>CG2B00000089/MN2</t>
  </si>
  <si>
    <t>GA2K00000033/MN1</t>
  </si>
  <si>
    <t>TD2J00000124</t>
  </si>
  <si>
    <t>CG2J00000263</t>
  </si>
  <si>
    <t>TD2A00000594</t>
  </si>
  <si>
    <t>CG2J00000255/MN1</t>
  </si>
  <si>
    <t>GA2J00000218/MN1</t>
  </si>
  <si>
    <t>TD2A00000602</t>
  </si>
  <si>
    <t>CG2J00000263/MN2</t>
  </si>
  <si>
    <t>CF2J00000042/MN1</t>
  </si>
  <si>
    <t>CG2A00000296/MN1</t>
  </si>
  <si>
    <t>TD2A00000610</t>
  </si>
  <si>
    <t>CG2A00000304/MN1</t>
  </si>
  <si>
    <t>GA2B00000034/MN1</t>
  </si>
  <si>
    <t>GA2J00000184/MN1</t>
  </si>
  <si>
    <t>TD2A00000628</t>
  </si>
  <si>
    <t>TD2J00000132</t>
  </si>
  <si>
    <t>CG2K00000047/MN1</t>
  </si>
  <si>
    <t>TD2J00000140</t>
  </si>
  <si>
    <t>GA2B00000117</t>
  </si>
  <si>
    <t>TD2J00000157</t>
  </si>
  <si>
    <t>CG2A00000312/MN1</t>
  </si>
  <si>
    <t>TD2J00000165</t>
  </si>
  <si>
    <t>TD2J00000173</t>
  </si>
  <si>
    <t>CG2J00000271</t>
  </si>
  <si>
    <t>TD2J00000181</t>
  </si>
  <si>
    <t>TD2J00000199</t>
  </si>
  <si>
    <t>CM2B00000111</t>
  </si>
  <si>
    <t>syndication</t>
  </si>
  <si>
    <t>CM2K00000037</t>
  </si>
  <si>
    <t>TD2J00000207</t>
  </si>
  <si>
    <t>CM2K00000037/MN1</t>
  </si>
  <si>
    <t>GA2K00000041</t>
  </si>
  <si>
    <t>TD2J00000215</t>
  </si>
  <si>
    <t>CF2J00000059</t>
  </si>
  <si>
    <t>CG2J00000289</t>
  </si>
  <si>
    <t>GA2K00000041/MN1</t>
  </si>
  <si>
    <t>TD2J00000223</t>
  </si>
  <si>
    <t>CM2C00000060</t>
  </si>
  <si>
    <t>TD2J00000249</t>
  </si>
  <si>
    <t>CM2K00000037/MN2</t>
  </si>
  <si>
    <t>CM2B00000111/NM1</t>
  </si>
  <si>
    <t>CG2A00000320</t>
  </si>
  <si>
    <t>TD2J00000256</t>
  </si>
  <si>
    <t>CF2J00000067</t>
  </si>
  <si>
    <t>TD2J00000264</t>
  </si>
  <si>
    <t>TD2J00000272</t>
  </si>
  <si>
    <t>TD2J00000280</t>
  </si>
  <si>
    <t>CG2A00000338</t>
  </si>
  <si>
    <t>CG2J00000297</t>
  </si>
  <si>
    <t>CG2K00000088</t>
  </si>
  <si>
    <t>CG2B00000097</t>
  </si>
  <si>
    <t>CG2A00000338/MN1</t>
  </si>
  <si>
    <t>CG2J00000297/MN1</t>
  </si>
  <si>
    <t>TD2J00000298</t>
  </si>
  <si>
    <t>CM2L00000044</t>
  </si>
  <si>
    <t>CF2J00000067/NM1</t>
  </si>
  <si>
    <t>CF2J00000067/MN3</t>
  </si>
  <si>
    <t>CG2B00000097/MN1</t>
  </si>
  <si>
    <t>CG2A00000346/MN</t>
  </si>
  <si>
    <t>GA2B00000125/MN</t>
  </si>
  <si>
    <t>TD2J00000306/MN</t>
  </si>
  <si>
    <t>GA2K00000058</t>
  </si>
  <si>
    <t>CG2J00000305</t>
  </si>
  <si>
    <t>TD2J00000314</t>
  </si>
  <si>
    <t>déclarée infructueuse</t>
  </si>
  <si>
    <t>GA2K00000058/MN1</t>
  </si>
  <si>
    <t>GA2B00000125/MN1</t>
  </si>
  <si>
    <t>CG2A00000353</t>
  </si>
  <si>
    <t>CG2J00000313</t>
  </si>
  <si>
    <t>CG2B00000105</t>
  </si>
  <si>
    <t>GA2K00000058/MN2</t>
  </si>
  <si>
    <t>GA2B00000125/MN2</t>
  </si>
  <si>
    <t>CG2A00000353/MN1</t>
  </si>
  <si>
    <t>GA2J00000283</t>
  </si>
  <si>
    <t>TD2J00000330</t>
  </si>
  <si>
    <t>CG2A00000361</t>
  </si>
  <si>
    <t>CG2J00000321</t>
  </si>
  <si>
    <t>CG2B00000113</t>
  </si>
  <si>
    <t>GA2K00000066</t>
  </si>
  <si>
    <t>CG2A00000361/MN1</t>
  </si>
  <si>
    <t>CG2J00000321/MN1</t>
  </si>
  <si>
    <t>CF2J00000075</t>
  </si>
  <si>
    <t>CG2K00000104</t>
  </si>
  <si>
    <t>CG2J00000339/MN1</t>
  </si>
  <si>
    <t>GA2B00000133</t>
  </si>
  <si>
    <t>CG2A00000395</t>
  </si>
  <si>
    <t>CG2J00000347</t>
  </si>
  <si>
    <t>CG2K00000112</t>
  </si>
  <si>
    <t>CG2B00000121</t>
  </si>
  <si>
    <t>CG2L00000020</t>
  </si>
  <si>
    <t>CG2C00000013</t>
  </si>
  <si>
    <t>CG2M00000011</t>
  </si>
  <si>
    <t>CG2N00000010</t>
  </si>
  <si>
    <t>CF2K00000023</t>
  </si>
  <si>
    <t>CG2J00000339/MN2</t>
  </si>
  <si>
    <t>CG2K00000104/MN3</t>
  </si>
  <si>
    <t>CM2B00000129</t>
  </si>
  <si>
    <t>CF2J00000075/MN1</t>
  </si>
  <si>
    <t>déclarée infructueuse par le Trésor public</t>
  </si>
  <si>
    <t>CG2J00000321/MN3</t>
  </si>
  <si>
    <t>GA2C00000033</t>
  </si>
  <si>
    <t>CG2A00000403</t>
  </si>
  <si>
    <t>CG2J00000354</t>
  </si>
  <si>
    <t>CM2J00000071</t>
  </si>
  <si>
    <t>CG2A00000403/MN1</t>
  </si>
  <si>
    <t>GA2A00000167</t>
  </si>
  <si>
    <t>GA2J00000291</t>
  </si>
  <si>
    <t>GA2K00000074</t>
  </si>
  <si>
    <t>GA2B00000141</t>
  </si>
  <si>
    <t>GA2C00000041</t>
  </si>
  <si>
    <t>CF2J00000075/MN3</t>
  </si>
  <si>
    <t>CG2K00000070/MN1</t>
  </si>
  <si>
    <t>CM2L00000051</t>
  </si>
  <si>
    <t>CG2K00000070/MN2</t>
  </si>
  <si>
    <t>GA2J00000309</t>
  </si>
  <si>
    <t>CF2J00000075/MN4</t>
  </si>
  <si>
    <t>CG2B00000055/MN2</t>
  </si>
  <si>
    <t>GA2K00000082</t>
  </si>
  <si>
    <t>GA2D00000032</t>
  </si>
  <si>
    <t>CF2K00000023/MN1</t>
  </si>
  <si>
    <t>CG2J00000362</t>
  </si>
  <si>
    <t>CG2D00000012</t>
  </si>
  <si>
    <t>GA2K00000082/MN1</t>
  </si>
  <si>
    <t>GA2D00000032/MN1</t>
  </si>
  <si>
    <t>CM2C00000078</t>
  </si>
  <si>
    <t>GA2B00000158</t>
  </si>
  <si>
    <t>CF2J00000083</t>
  </si>
  <si>
    <t>CG2J00000370</t>
  </si>
  <si>
    <t>CG2K00000120</t>
  </si>
  <si>
    <t>déclaréé infructueuse par le Trésor public</t>
  </si>
  <si>
    <t>CG2B00000139</t>
  </si>
  <si>
    <t>TD2A00000644</t>
  </si>
  <si>
    <t>GA2J00000309/MN1</t>
  </si>
  <si>
    <t>GA2A00000175</t>
  </si>
  <si>
    <t>CG2A00000411/MN1</t>
  </si>
  <si>
    <t>CG2J00000388</t>
  </si>
  <si>
    <t>GA2A00000175/MN1</t>
  </si>
  <si>
    <t>GA2J00000309/MN2</t>
  </si>
  <si>
    <t>CM2A00000096</t>
  </si>
  <si>
    <t>CM2K00000045</t>
  </si>
  <si>
    <t>CF2J00000083/MN1</t>
  </si>
  <si>
    <t>CG2B00000147</t>
  </si>
  <si>
    <t>CG2K00000138</t>
  </si>
  <si>
    <t>CG2J00000388/MN2</t>
  </si>
  <si>
    <t>TD2A00000651</t>
  </si>
  <si>
    <t>GA2K00000058/MN3</t>
  </si>
  <si>
    <t>CG2J00000396</t>
  </si>
  <si>
    <t>TD2A00000669</t>
  </si>
  <si>
    <t>GA2J00000317</t>
  </si>
  <si>
    <t>GA2K00000058/MN4</t>
  </si>
  <si>
    <t>GA2B00000141/MN1</t>
  </si>
  <si>
    <t>CM2L00000069</t>
  </si>
  <si>
    <t>TD2J00000348</t>
  </si>
  <si>
    <t>TD2J00000355</t>
  </si>
  <si>
    <t>CF2K00000031</t>
  </si>
  <si>
    <t>CF2B00000024</t>
  </si>
  <si>
    <t>CG2J00000404</t>
  </si>
  <si>
    <t>TD2J00000363</t>
  </si>
  <si>
    <t>TD2J00000371</t>
  </si>
  <si>
    <t>CG2A00000429</t>
  </si>
  <si>
    <t>CG2J00000412</t>
  </si>
  <si>
    <t>CG2K00000146</t>
  </si>
  <si>
    <t>GA2J00000325</t>
  </si>
  <si>
    <t>TD2J00000389</t>
  </si>
  <si>
    <t>CG2K00000146/MN2</t>
  </si>
  <si>
    <t>CG2J00000420</t>
  </si>
  <si>
    <t>TD2J00000397</t>
  </si>
  <si>
    <t>CM2D00000051</t>
  </si>
  <si>
    <t>CG2A00000437</t>
  </si>
  <si>
    <t>TD2J00000405</t>
  </si>
  <si>
    <t>TD2B00000106</t>
  </si>
  <si>
    <t>CM2J00000089</t>
  </si>
  <si>
    <t>CF2K00000031/MN1</t>
  </si>
  <si>
    <t>CF2B00000024/MN1</t>
  </si>
  <si>
    <t>GA2J00000325/MN1</t>
  </si>
  <si>
    <t>TD2J00000413</t>
  </si>
  <si>
    <t>CF2B00000024/MN2</t>
  </si>
  <si>
    <t>CG2A00000411/MN3</t>
  </si>
  <si>
    <t>GA2K00000058/MN5</t>
  </si>
  <si>
    <t>CM2J00000097</t>
  </si>
  <si>
    <t>CG2B00000147/MN2</t>
  </si>
  <si>
    <t>CG2J00000438</t>
  </si>
  <si>
    <t>TD2J00000421</t>
  </si>
  <si>
    <t>CF2L00000022</t>
  </si>
  <si>
    <t>GA2A00000183</t>
  </si>
  <si>
    <t>GA2K00000041/MN2</t>
  </si>
  <si>
    <t>CG2J00000404/MN2</t>
  </si>
  <si>
    <t>TD2J00000439</t>
  </si>
  <si>
    <t>CG2A00000445</t>
  </si>
  <si>
    <t>CG2J00000446</t>
  </si>
  <si>
    <t>CG2K00000153</t>
  </si>
  <si>
    <t>CG2J00000453</t>
  </si>
  <si>
    <t>CG2K00000161</t>
  </si>
  <si>
    <t>CG2B00000154</t>
  </si>
  <si>
    <t>CG2L00000038</t>
  </si>
  <si>
    <t>TD2J00000447</t>
  </si>
  <si>
    <t>CG2J00000446/MN2</t>
  </si>
  <si>
    <t>CG2A00000452</t>
  </si>
  <si>
    <t>TD2J00000454</t>
  </si>
  <si>
    <t>CG2A00000452/MN3</t>
  </si>
  <si>
    <t>GA2K00000066/MN1</t>
  </si>
  <si>
    <t>GA2K00000058/MN6</t>
  </si>
  <si>
    <t>TD2J00000462</t>
  </si>
  <si>
    <t>TD2J00000470</t>
  </si>
  <si>
    <t>CG2J00000461</t>
  </si>
  <si>
    <t>TD2A00000677</t>
  </si>
  <si>
    <t>CF2J00000091</t>
  </si>
  <si>
    <t>CF2K00000049</t>
  </si>
  <si>
    <t>CG2A00000460</t>
  </si>
  <si>
    <t>CG2B00000162</t>
  </si>
  <si>
    <t>CG2J00000479</t>
  </si>
  <si>
    <t>TD2J00000488</t>
  </si>
  <si>
    <t>GA2A00000191</t>
  </si>
  <si>
    <t>GA2J00000333</t>
  </si>
  <si>
    <t>GA2K00000090</t>
  </si>
  <si>
    <t>GA2B00000166</t>
  </si>
  <si>
    <t>GA2C00000058</t>
  </si>
  <si>
    <t>CG2J00000479/MN2</t>
  </si>
  <si>
    <t>CG2J00000487</t>
  </si>
  <si>
    <t>GA2B00000174</t>
  </si>
  <si>
    <t>TD2A00000685</t>
  </si>
  <si>
    <t>CM2A00000104</t>
  </si>
  <si>
    <t>CG2J00000487/MN3</t>
  </si>
  <si>
    <t>GA2K00000090/MN1</t>
  </si>
  <si>
    <t>TD2A00000693</t>
  </si>
  <si>
    <t>CG2J00000487/MN5</t>
  </si>
  <si>
    <t>TD2A00000701</t>
  </si>
  <si>
    <t>GA2K00000082/MN2</t>
  </si>
  <si>
    <t>CG2J00000495</t>
  </si>
  <si>
    <t>CG2K00000179</t>
  </si>
  <si>
    <t>CG2J00000495/MN2</t>
  </si>
  <si>
    <t>GA2K00000090/MN2</t>
  </si>
  <si>
    <t>TD2A00000719</t>
  </si>
  <si>
    <t>CF2A00000033</t>
  </si>
  <si>
    <t>TD2A00000727</t>
  </si>
  <si>
    <t>CG2J00000503</t>
  </si>
  <si>
    <t>CG2K00000187</t>
  </si>
  <si>
    <t>GA2J00000341</t>
  </si>
  <si>
    <t>GA2A00000183/MN1</t>
  </si>
  <si>
    <t>GA2J00000325/MN2</t>
  </si>
  <si>
    <t>GA2K00000041/MN3</t>
  </si>
  <si>
    <t>GA2K00000090/MN3</t>
  </si>
  <si>
    <t>GA2B00000141/MN2</t>
  </si>
  <si>
    <t>GA2C00000025/MN4</t>
  </si>
  <si>
    <t>GA2J00000176/MN2</t>
  </si>
  <si>
    <t>GA2J00000184/MN2</t>
  </si>
  <si>
    <t>GA2J00000192/MN3</t>
  </si>
  <si>
    <t>GA2J00000200/MN3</t>
  </si>
  <si>
    <t>GA2J00000218/MN2</t>
  </si>
  <si>
    <t>GA2J00000234/MN2</t>
  </si>
  <si>
    <t>GA2K00000017/MN6</t>
  </si>
  <si>
    <t>CF2K00000056</t>
  </si>
  <si>
    <t>CG2J00000503/MN2</t>
  </si>
  <si>
    <t>CF2A00000041</t>
  </si>
  <si>
    <t>TD2B00000114</t>
  </si>
  <si>
    <t>CM2A00000112</t>
  </si>
  <si>
    <t>CM2B00000137</t>
  </si>
  <si>
    <t>CG2A00000478</t>
  </si>
  <si>
    <t>CG2J00000503/MN4</t>
  </si>
  <si>
    <t>TD2A00000735</t>
  </si>
  <si>
    <t>TD2A00000743</t>
  </si>
  <si>
    <t>CG2J00000503/MN5</t>
  </si>
  <si>
    <t>TD2A00000750</t>
  </si>
  <si>
    <t>TD2J00000496</t>
  </si>
  <si>
    <t>CF2J00000109</t>
  </si>
  <si>
    <t>CG2J00000503/MN6</t>
  </si>
  <si>
    <t>TD2A00000768</t>
  </si>
  <si>
    <t>CM2L00000077</t>
  </si>
  <si>
    <t>CG2A00000486</t>
  </si>
  <si>
    <t>CG2K00000195</t>
  </si>
  <si>
    <t>CG2A00000403/MN3</t>
  </si>
  <si>
    <t>CG2A00000437/MN2</t>
  </si>
  <si>
    <t>CG2A00000445/MN2</t>
  </si>
  <si>
    <t>CG2A00000452/MN5</t>
  </si>
  <si>
    <t>CG2J00000313/MN2</t>
  </si>
  <si>
    <t>CG2J00000339/MN4</t>
  </si>
  <si>
    <t>CG2J00000370/MN2</t>
  </si>
  <si>
    <t>CG2J00000529</t>
  </si>
  <si>
    <t>CG2K00000203</t>
  </si>
  <si>
    <t>CG2B00000048/MN3</t>
  </si>
  <si>
    <t>CG2B00000147/MN4</t>
  </si>
  <si>
    <t>CG2L00000046</t>
  </si>
  <si>
    <t>CG2A00000403/MN4</t>
  </si>
  <si>
    <t>CG2J00000248/MN1</t>
  </si>
  <si>
    <t>CG2J00000123/MN2</t>
  </si>
  <si>
    <t>CG2J00000131/MN2</t>
  </si>
  <si>
    <t>CG2A00000288/MN2</t>
  </si>
  <si>
    <t>CG2J00000149/MN2</t>
  </si>
  <si>
    <t>CG2J00000164/MN2</t>
  </si>
  <si>
    <t>CG2A00000296/MN2</t>
  </si>
  <si>
    <t>CG2A00000304/MN2</t>
  </si>
  <si>
    <t>CG2A00000312/MN2</t>
  </si>
  <si>
    <t>CG2A00000320/MN1</t>
  </si>
  <si>
    <t>CG2A00000338/MN2</t>
  </si>
  <si>
    <t>CG2A00000353/MN2</t>
  </si>
  <si>
    <t>CG2A00000361/MN2</t>
  </si>
  <si>
    <t>CG2A00000403/MN2</t>
  </si>
  <si>
    <t>CG2A00000395/MN1</t>
  </si>
  <si>
    <t>CG2J00000214/MN1</t>
  </si>
  <si>
    <t>CG2J00000198/MN2</t>
  </si>
  <si>
    <t>CG2J00000222/MN3</t>
  </si>
  <si>
    <t>CG2J00000156/MN2</t>
  </si>
  <si>
    <t>TD2A00000776</t>
  </si>
  <si>
    <t>CG2A00000494</t>
  </si>
  <si>
    <t>GA2K00000082/MN3</t>
  </si>
  <si>
    <t>CG2J00000123/MN3</t>
  </si>
  <si>
    <t>CG2A00000288/MN3</t>
  </si>
  <si>
    <t>CG2A00000312/MN3</t>
  </si>
  <si>
    <t>CG2A00000361/MN3</t>
  </si>
  <si>
    <t>CG2A00000395/MN2</t>
  </si>
  <si>
    <t>CG2A00000494/MN1</t>
  </si>
  <si>
    <t>CG2J00000503/MN7</t>
  </si>
  <si>
    <t>TD2A00000784</t>
  </si>
  <si>
    <t>CG2A00000502</t>
  </si>
  <si>
    <t>CG2J00000537</t>
  </si>
  <si>
    <t>CG2K00000211</t>
  </si>
  <si>
    <t>GA2B00000141/MN3</t>
  </si>
  <si>
    <t>TD2A00000792</t>
  </si>
  <si>
    <t>CF2J00000117</t>
  </si>
  <si>
    <t>CF2K00000064</t>
  </si>
  <si>
    <t>CF2B00000032</t>
  </si>
  <si>
    <t>CF2C00000015</t>
  </si>
  <si>
    <t>GA2K00000082/MN4</t>
  </si>
  <si>
    <t>TD2A00000800</t>
  </si>
  <si>
    <t>CF2K00000064/MN1</t>
  </si>
  <si>
    <t>CF2B00000032/MN2</t>
  </si>
  <si>
    <t>CF2J00000117/MN</t>
  </si>
  <si>
    <t>CG2J00000545</t>
  </si>
  <si>
    <t>TD2A00000818</t>
  </si>
  <si>
    <t>GA2J00000358</t>
  </si>
  <si>
    <t>TD2A00000826</t>
  </si>
  <si>
    <t>CM2B00000145</t>
  </si>
  <si>
    <t>CM2L00000085</t>
  </si>
  <si>
    <t>CG2A00000502/MN1</t>
  </si>
  <si>
    <t>CG2J00000545/MN1</t>
  </si>
  <si>
    <t>TD2A00000834</t>
  </si>
  <si>
    <t>CM2J00000113</t>
  </si>
  <si>
    <t>CM2A00000104/MN1</t>
  </si>
  <si>
    <t>CM2K00000037/MN3</t>
  </si>
  <si>
    <t>CM2J00000121</t>
  </si>
  <si>
    <t>CM2A00000138</t>
  </si>
  <si>
    <t>CM2L00000093</t>
  </si>
  <si>
    <t>CM2K00000060</t>
  </si>
  <si>
    <t>CM2B00000152</t>
  </si>
  <si>
    <t>CM2J00000063/MN1</t>
  </si>
  <si>
    <t>CM2B00000046/MN1</t>
  </si>
  <si>
    <t>CM2B00000038</t>
  </si>
  <si>
    <t>CG2A00000510/MN</t>
  </si>
  <si>
    <t>GA2J00000259/MN1</t>
  </si>
  <si>
    <t>TD2A00000842</t>
  </si>
  <si>
    <t>CG2A00000510/MN2</t>
  </si>
  <si>
    <t>TD2A00000859</t>
  </si>
  <si>
    <t>CG2J00000552</t>
  </si>
  <si>
    <t>CG2J00000560</t>
  </si>
  <si>
    <t>CG2K00000229</t>
  </si>
  <si>
    <t>CG2B00000170</t>
  </si>
  <si>
    <t>TD2A00000867</t>
  </si>
  <si>
    <t>CM2D00000069</t>
  </si>
  <si>
    <t>GA2K00000108</t>
  </si>
  <si>
    <t>TD2J00000520</t>
  </si>
  <si>
    <t>CM2D00000077</t>
  </si>
  <si>
    <t>CG2A00000528</t>
  </si>
  <si>
    <t>CG2J00000578</t>
  </si>
  <si>
    <t>TD2J00000538</t>
  </si>
  <si>
    <t>CG2A00000528/MN</t>
  </si>
  <si>
    <t>CG2B00000097MN3</t>
  </si>
  <si>
    <t>TD2A00000875</t>
  </si>
  <si>
    <t>TD2A00000883</t>
  </si>
  <si>
    <t>GA2B00000174/MN1</t>
  </si>
  <si>
    <t>GA2C00000058/MN1</t>
  </si>
  <si>
    <t>GA2J00000283/MN1</t>
  </si>
  <si>
    <t>GA2J00000358/MN1</t>
  </si>
  <si>
    <t>GA2K00000025/MN1</t>
  </si>
  <si>
    <t>GA2K00000033/MN2</t>
  </si>
  <si>
    <t>GA2K00000058/MN7</t>
  </si>
  <si>
    <t>TD2A00000891</t>
  </si>
  <si>
    <t>CG2A00000536</t>
  </si>
  <si>
    <t>TD2A00000909</t>
  </si>
  <si>
    <t>CG2A00000536/MN2</t>
  </si>
  <si>
    <t>GA2B00000166/MN1</t>
  </si>
  <si>
    <t>GA2J00000309/MN3</t>
  </si>
  <si>
    <t>TD2A00000917</t>
  </si>
  <si>
    <t>CG2A00000544</t>
  </si>
  <si>
    <t>TD2J00000546</t>
  </si>
  <si>
    <t>TD2J00000553</t>
  </si>
  <si>
    <t>TD2J00000561</t>
  </si>
  <si>
    <t>CG2A00000551</t>
  </si>
  <si>
    <t>CG2J00000586</t>
  </si>
  <si>
    <t>CG2B00000188</t>
  </si>
  <si>
    <t>TD2J00000579</t>
  </si>
  <si>
    <t>TD2J00000587</t>
  </si>
  <si>
    <t>CG2A00000551/MN2</t>
  </si>
  <si>
    <t>CG2B00000196</t>
  </si>
  <si>
    <t>annulé par le Trésor</t>
  </si>
  <si>
    <t>CF2B00000040</t>
  </si>
  <si>
    <t>CF2K00000072</t>
  </si>
  <si>
    <t>CF2J00000125</t>
  </si>
  <si>
    <t>CF2J00000042/MN3</t>
  </si>
  <si>
    <t>CF2J00000059/MN1</t>
  </si>
  <si>
    <t>CF2J00000067/MN4</t>
  </si>
  <si>
    <t>GA2B00000109/MN3</t>
  </si>
  <si>
    <t>GA2B00000075/MN2</t>
  </si>
  <si>
    <t>TD2J00000595</t>
  </si>
  <si>
    <t>CF2B00000040/MN1</t>
  </si>
  <si>
    <t>CG2A00000569</t>
  </si>
  <si>
    <t>GA2B00000158/MN1</t>
  </si>
  <si>
    <t>TD2J00000603</t>
  </si>
  <si>
    <t>CG2A00000577</t>
  </si>
  <si>
    <t>CG2A00000577/MN1</t>
  </si>
  <si>
    <t>TD2J00000611</t>
  </si>
  <si>
    <t>CG2J00000594</t>
  </si>
  <si>
    <t>CG2J00000594/GREE</t>
  </si>
  <si>
    <t>TD2J00000629</t>
  </si>
  <si>
    <t>GA2J00000366</t>
  </si>
  <si>
    <t>GA2K00000066/MN3</t>
  </si>
  <si>
    <t>CG2N00000028</t>
  </si>
  <si>
    <t>PNOT</t>
  </si>
  <si>
    <t>CG2N00000036</t>
  </si>
  <si>
    <t>CG2D00000020</t>
  </si>
  <si>
    <t>CG2J00000644</t>
  </si>
  <si>
    <t>CG2J00000651</t>
  </si>
  <si>
    <t>CG2J00000669</t>
  </si>
  <si>
    <t>CG2K00000252</t>
  </si>
  <si>
    <t>CG2K00000260</t>
  </si>
  <si>
    <t>CG2K00000278</t>
  </si>
  <si>
    <t>CG2B00000220</t>
  </si>
  <si>
    <t>CG2D00000038</t>
  </si>
  <si>
    <t>CG2D00000046</t>
  </si>
  <si>
    <t>CG2D00000053</t>
  </si>
  <si>
    <t>CG2D00000061</t>
  </si>
  <si>
    <t>CG2D00000079</t>
  </si>
  <si>
    <t>CG2J00000602</t>
  </si>
  <si>
    <t>TD2J00000637</t>
  </si>
  <si>
    <t>GA2B00000158/MN3</t>
  </si>
  <si>
    <t>GA2K00000082/MN8</t>
  </si>
  <si>
    <t>déclarée infrustueuse par le Trésor</t>
  </si>
  <si>
    <t>TD2J00000645</t>
  </si>
  <si>
    <t>CG2J00000610</t>
  </si>
  <si>
    <t>CG2K00000237</t>
  </si>
  <si>
    <t>CG2K00000245</t>
  </si>
  <si>
    <t>CG2B00000204</t>
  </si>
  <si>
    <t>CG2B00000212</t>
  </si>
  <si>
    <t>CG2C00000021</t>
  </si>
  <si>
    <t>CG2C00000039</t>
  </si>
  <si>
    <t>CG2M00000040</t>
  </si>
  <si>
    <t>CG2M00000037</t>
  </si>
  <si>
    <t>TD2A00000925</t>
  </si>
  <si>
    <t>GA2B00000083/MN5</t>
  </si>
  <si>
    <t>TD2A00000925/MN1</t>
  </si>
  <si>
    <t>TD2J00000652</t>
  </si>
  <si>
    <t>CF2B00000057</t>
  </si>
  <si>
    <t>CF2K00000080</t>
  </si>
  <si>
    <t>GA2K00000116/MN</t>
  </si>
  <si>
    <t>CM2B00000160</t>
  </si>
  <si>
    <t>GA2B00000117/MN3</t>
  </si>
  <si>
    <t>GA2B00000133/MN2</t>
  </si>
  <si>
    <t>GA2J00000366/MN1</t>
  </si>
  <si>
    <t>TD2J00000660/MN</t>
  </si>
  <si>
    <t>CM2B00000160/MN1</t>
  </si>
  <si>
    <t>GA2B00000083/MN6</t>
  </si>
  <si>
    <t>GA2J00000341/MN1</t>
  </si>
  <si>
    <t>TD2J00000678/MN</t>
  </si>
  <si>
    <t>CF2A00000058</t>
  </si>
  <si>
    <t>CF2B00000057/MN2</t>
  </si>
  <si>
    <t>CG2A00000585</t>
  </si>
  <si>
    <t>GA2B00000125/MN5</t>
  </si>
  <si>
    <t>TD2J00000686/MN</t>
  </si>
  <si>
    <t>CF2A00000058/MN1</t>
  </si>
  <si>
    <t>CF2B00000057/MN4</t>
  </si>
  <si>
    <t>GA2B00000091/MN3</t>
  </si>
  <si>
    <t>GA2B00000109/MN4</t>
  </si>
  <si>
    <t>GA2B00000125/MN6</t>
  </si>
  <si>
    <t>GA2K00000074/MN2</t>
  </si>
  <si>
    <t>TD2J00000694/MN</t>
  </si>
  <si>
    <t>CG2A00000585/MN2</t>
  </si>
  <si>
    <t>TD2A00000933</t>
  </si>
  <si>
    <t>TD2B00000122</t>
  </si>
  <si>
    <t>TD2J00000702</t>
  </si>
  <si>
    <t>TD2K00000048</t>
  </si>
  <si>
    <t>CG2J00000685</t>
  </si>
  <si>
    <t>GA2B00000091</t>
  </si>
  <si>
    <t>TD2J00000710</t>
  </si>
  <si>
    <t>CG2A00000593</t>
  </si>
  <si>
    <t>CG2B00000477</t>
  </si>
  <si>
    <t>GA2A00000209</t>
  </si>
  <si>
    <t>GA2B00000109/MN5</t>
  </si>
  <si>
    <t>CG2A00000593/MN1</t>
  </si>
  <si>
    <t>CG2J00000693</t>
  </si>
  <si>
    <t>GA2B00000109/MN6</t>
  </si>
  <si>
    <t>GQ2J00000040</t>
  </si>
  <si>
    <t>TD2B00000130</t>
  </si>
  <si>
    <t>TD2J00000728</t>
  </si>
  <si>
    <t>GA2J00000374</t>
  </si>
  <si>
    <t>GA2K00000108/MN</t>
  </si>
  <si>
    <t>GA2A00000191/MN1</t>
  </si>
  <si>
    <t>GA2B00000034/MN2</t>
  </si>
  <si>
    <t>GA2B00000042/MN6</t>
  </si>
  <si>
    <t>GA2B00000059</t>
  </si>
  <si>
    <t>GA2B00000067</t>
  </si>
  <si>
    <t>GA2J00000267/MN3</t>
  </si>
  <si>
    <t>GA2J00000275</t>
  </si>
  <si>
    <t>GA2A00000217/MN1</t>
  </si>
  <si>
    <t>GA2B00000182</t>
  </si>
  <si>
    <t>GA2C00000066</t>
  </si>
  <si>
    <t>GA2J00000382</t>
  </si>
  <si>
    <t>GA2K00000124/MN</t>
  </si>
  <si>
    <t>GA2L00000016</t>
  </si>
  <si>
    <t>TD2J00000736</t>
  </si>
  <si>
    <t>TD2B00000148</t>
  </si>
  <si>
    <t>TD2J00000744</t>
  </si>
  <si>
    <t>CM2B00000178</t>
  </si>
  <si>
    <t>CM2C00000086</t>
  </si>
  <si>
    <t>CM2J00000147</t>
  </si>
  <si>
    <t>CM2K00000078</t>
  </si>
  <si>
    <t>CG2A00000502/MN3</t>
  </si>
  <si>
    <t>CG2A00000601</t>
  </si>
  <si>
    <t>CG2B00000030</t>
  </si>
  <si>
    <t>CG2A00000403/MN5</t>
  </si>
  <si>
    <t>TD2J00000751</t>
  </si>
  <si>
    <t>GA2J00000390</t>
  </si>
  <si>
    <t>TD2J00000769</t>
  </si>
  <si>
    <t>CM2K00000086</t>
  </si>
  <si>
    <t>CM2K00000094</t>
  </si>
  <si>
    <t>CM2J00000154</t>
  </si>
  <si>
    <t>CG2A00000619</t>
  </si>
  <si>
    <t>CG2B00000030/MN5</t>
  </si>
  <si>
    <t>GA2J00000408</t>
  </si>
  <si>
    <t>GA2K00000132</t>
  </si>
  <si>
    <t>GA2C00000058/MN2</t>
  </si>
  <si>
    <t>GA2A00000225</t>
  </si>
  <si>
    <t>GA2J00000416</t>
  </si>
  <si>
    <t>GA2K00000140</t>
  </si>
  <si>
    <t>GA2B00000190</t>
  </si>
  <si>
    <t>GA2L00000024</t>
  </si>
  <si>
    <t>GA2C00000074</t>
  </si>
  <si>
    <t>GA2M00000023</t>
  </si>
  <si>
    <t>GA2N00000014</t>
  </si>
  <si>
    <t>CG2B00000030/MN6</t>
  </si>
  <si>
    <t>GQ2A00000031</t>
  </si>
  <si>
    <t>TD2J00000777</t>
  </si>
  <si>
    <t>CM2J00000162</t>
  </si>
  <si>
    <t>CG2A00000635</t>
  </si>
  <si>
    <t>GA2A00000233</t>
  </si>
  <si>
    <t>échange</t>
  </si>
  <si>
    <t>GA2J00000424</t>
  </si>
  <si>
    <t>CG2B00000030/MN7</t>
  </si>
  <si>
    <t>CM2J00000170</t>
  </si>
  <si>
    <t>CM2J00000089/MN1</t>
  </si>
  <si>
    <t>CM2C00000037/MN1</t>
  </si>
  <si>
    <t>CM2D00000085</t>
  </si>
  <si>
    <t>CG2J00000701</t>
  </si>
  <si>
    <t>CG2K00000302</t>
  </si>
  <si>
    <t>CG2B00000022/MN8</t>
  </si>
  <si>
    <t>TD2J00000785</t>
  </si>
  <si>
    <t>CF2A00000066</t>
  </si>
  <si>
    <t>CF2J00000133</t>
  </si>
  <si>
    <t>CF2K00000098</t>
  </si>
  <si>
    <t>CF2B00000065</t>
  </si>
  <si>
    <t>CF2C00000023</t>
  </si>
  <si>
    <t>CF2J00000042</t>
  </si>
  <si>
    <t>GA2A00000316</t>
  </si>
  <si>
    <t>GA2B00000208</t>
  </si>
  <si>
    <t>GA2C00000108</t>
  </si>
  <si>
    <t>GA2A00000308</t>
  </si>
  <si>
    <t>GA2J00000507</t>
  </si>
  <si>
    <t>TD2A00000941</t>
  </si>
  <si>
    <t>CF2C00000023/MN1</t>
  </si>
  <si>
    <t>CF2J00000133/MN1</t>
  </si>
  <si>
    <t>CM2J00000113/MN3</t>
  </si>
  <si>
    <t>CG2A00000650</t>
  </si>
  <si>
    <t>déclarée infructueuse par le Trésor</t>
  </si>
  <si>
    <t>CG2J00000446/MN3</t>
  </si>
  <si>
    <t>CG2J00000719</t>
  </si>
  <si>
    <t>CG2J00000446/MN4</t>
  </si>
  <si>
    <t>CG2B00000097/MN4</t>
  </si>
  <si>
    <t>GA2B00000141/MN4</t>
  </si>
  <si>
    <t>GA2B00000182/MN2</t>
  </si>
  <si>
    <t>GA2A00000308/MN2</t>
  </si>
  <si>
    <t>GA2J00000507/MN2</t>
  </si>
  <si>
    <t>CG2B00000089</t>
  </si>
  <si>
    <t>TD2J00000793</t>
  </si>
  <si>
    <t>CM2B00000186</t>
  </si>
  <si>
    <t>CG2A00000411/MN4</t>
  </si>
  <si>
    <t>CG2J00000305/MN1</t>
  </si>
  <si>
    <t>CG2K00000062/MN1</t>
  </si>
  <si>
    <t>CG2B00000014</t>
  </si>
  <si>
    <t>CG2B00000063/MN1</t>
  </si>
  <si>
    <t>CG2L00000012/MN1</t>
  </si>
  <si>
    <t>CG2A00000544/MN4</t>
  </si>
  <si>
    <t>CG2A00000668</t>
  </si>
  <si>
    <t>CG2B00000089/MN4</t>
  </si>
  <si>
    <t>CG2B00000519</t>
  </si>
  <si>
    <t>CG2J00000727</t>
  </si>
  <si>
    <t>CG2K00000310</t>
  </si>
  <si>
    <t>CG2J00000479/MN3</t>
  </si>
  <si>
    <t>TD2J00000801</t>
  </si>
  <si>
    <t>GA2J00000507/MN3</t>
  </si>
  <si>
    <t>GA2B00000125/MN8</t>
  </si>
  <si>
    <t>TD2A00000958</t>
  </si>
  <si>
    <t>TD2A00000966</t>
  </si>
  <si>
    <t>CG2A00000676</t>
  </si>
  <si>
    <t>TD2J00000819</t>
  </si>
  <si>
    <t>CM2J00000188</t>
  </si>
  <si>
    <t>CM2K00000102</t>
  </si>
  <si>
    <t>CM2B00000194</t>
  </si>
  <si>
    <t>CM2L00000101</t>
  </si>
  <si>
    <t>CM2C00000094</t>
  </si>
  <si>
    <t>CG2J00000735</t>
  </si>
  <si>
    <t>GQ2J00000057</t>
  </si>
  <si>
    <t>GA2A00000332</t>
  </si>
  <si>
    <t>GA2J00000523</t>
  </si>
  <si>
    <t>CG2J00000362/MN2</t>
  </si>
  <si>
    <t>CG2J00000743</t>
  </si>
  <si>
    <t>TD2A00000974</t>
  </si>
  <si>
    <t>CM2D00000093</t>
  </si>
  <si>
    <t>CG2A00000684</t>
  </si>
  <si>
    <t>TD2A00000982</t>
  </si>
  <si>
    <t>TD2J00000827</t>
  </si>
  <si>
    <t>TD2J00000835</t>
  </si>
  <si>
    <t>CF2J00000141</t>
  </si>
  <si>
    <t>CF2K00000106</t>
  </si>
  <si>
    <t>CG2A00000692</t>
  </si>
  <si>
    <t>TD2A00000990</t>
  </si>
  <si>
    <t>GA2A00000340</t>
  </si>
  <si>
    <t>GA2B00000216</t>
  </si>
  <si>
    <t>GA2C00000157</t>
  </si>
  <si>
    <t>TD2J00000843</t>
  </si>
  <si>
    <t>GA2C00000058/MN4</t>
  </si>
  <si>
    <t>TD2J00000850</t>
  </si>
  <si>
    <t>CG2A00000551/MN4</t>
  </si>
  <si>
    <t>GA2C00000157/MN</t>
  </si>
  <si>
    <t>GA2A00000357</t>
  </si>
  <si>
    <t>TD2J00000868</t>
  </si>
  <si>
    <t>CG2A00000551/MN5</t>
  </si>
  <si>
    <t>CG2A00000551/MN6</t>
  </si>
  <si>
    <t>TD2A00001006</t>
  </si>
  <si>
    <t>CG2J00000404/MN6</t>
  </si>
  <si>
    <t>TD2J00000876</t>
  </si>
  <si>
    <t>GA2J00000549</t>
  </si>
  <si>
    <t>CM2D00000101</t>
  </si>
  <si>
    <t>CF2A00000074</t>
  </si>
  <si>
    <t>CF2J00000158</t>
  </si>
  <si>
    <t>CG2A00000700</t>
  </si>
  <si>
    <t>TD2A00001014</t>
  </si>
  <si>
    <t>GA2C00000025</t>
  </si>
  <si>
    <t>CM2D00000119</t>
  </si>
  <si>
    <t>CF2J00000158/MN1</t>
  </si>
  <si>
    <t>CG2J00000487/MN6</t>
  </si>
  <si>
    <t>GQ2K00000062</t>
  </si>
  <si>
    <t>TD2J00000884</t>
  </si>
  <si>
    <t>CG2J00000495/MN4</t>
  </si>
  <si>
    <t>CG2J00000750</t>
  </si>
  <si>
    <t>GA2J00000549/MN</t>
  </si>
  <si>
    <t>TD2A00001022</t>
  </si>
  <si>
    <t>CG2J00000479/MN6</t>
  </si>
  <si>
    <t>CG2K00000328</t>
  </si>
  <si>
    <t>GA2K00000256</t>
  </si>
  <si>
    <t>GA2K00000264</t>
  </si>
  <si>
    <t>GA2B00000224</t>
  </si>
  <si>
    <t>TD2J00000892</t>
  </si>
  <si>
    <t>CF2A00000074/MN1</t>
  </si>
  <si>
    <t>CF2J00000158/MN2</t>
  </si>
  <si>
    <t>CG2A00000577/MN3</t>
  </si>
  <si>
    <t>CG2A00000718</t>
  </si>
  <si>
    <t>TD2J00000900</t>
  </si>
  <si>
    <t>GA2J00000333/MN1</t>
  </si>
  <si>
    <t>CG2A00000726</t>
  </si>
  <si>
    <t>GA2K00000249</t>
  </si>
  <si>
    <t>TD2J00000918</t>
  </si>
  <si>
    <t>CG2A00000593/MN3</t>
  </si>
  <si>
    <t>TD2J00000926</t>
  </si>
  <si>
    <t>CG2A00000742</t>
  </si>
  <si>
    <t>CG2J00000768</t>
  </si>
  <si>
    <t>TD2A00001030</t>
  </si>
  <si>
    <t>GA2K00000116/MN1</t>
  </si>
  <si>
    <t>CF2A00000033/MN1</t>
  </si>
  <si>
    <t>PV non généré</t>
  </si>
  <si>
    <t>CF2A00000 41/MN1</t>
  </si>
  <si>
    <t>CF2J00000075/MN5</t>
  </si>
  <si>
    <t>CF2J00000083/MN2</t>
  </si>
  <si>
    <t>CF2B00000016/MN2</t>
  </si>
  <si>
    <t>CF2J00000116</t>
  </si>
  <si>
    <t>CF2K00000114</t>
  </si>
  <si>
    <t>CF2B00000073</t>
  </si>
  <si>
    <t>CG2B00000097/MN6</t>
  </si>
  <si>
    <t>GA2A00000373</t>
  </si>
  <si>
    <t>GA2B00000232</t>
  </si>
  <si>
    <t>GA2D00000032/MN2</t>
  </si>
  <si>
    <t>TD2J00000934</t>
  </si>
  <si>
    <t>CG2A00000759</t>
  </si>
  <si>
    <t>CG2B00000527</t>
  </si>
  <si>
    <t>CG2J00000776</t>
  </si>
  <si>
    <t>CG2K00000336</t>
  </si>
  <si>
    <t>CG2C00000187</t>
  </si>
  <si>
    <t>CG2L00000178</t>
  </si>
  <si>
    <t>TD2J00000942</t>
  </si>
  <si>
    <t>CM2J00000196</t>
  </si>
  <si>
    <t>CG2A00000585/MN5</t>
  </si>
  <si>
    <t>CG2A00000585/MN5/GREE</t>
  </si>
  <si>
    <t>ONC</t>
  </si>
  <si>
    <t>CG2J00000784</t>
  </si>
  <si>
    <t>GA2C00000157/MN1</t>
  </si>
  <si>
    <t>CF2J00000166/MN1</t>
  </si>
  <si>
    <t>CF2B00000073/MN1</t>
  </si>
  <si>
    <t>CF2K00000114/MN1</t>
  </si>
  <si>
    <t>CF2A00000041/MN2</t>
  </si>
  <si>
    <t>CF2A0000058/MN2</t>
  </si>
  <si>
    <t>CF2J00000075/MN6</t>
  </si>
  <si>
    <t>CF2J00000083/MN3</t>
  </si>
  <si>
    <t>CF2J00000091/MN1</t>
  </si>
  <si>
    <t>CG2A00000585/MN7</t>
  </si>
  <si>
    <t>CG2B00000105/MN2</t>
  </si>
  <si>
    <t>TD2J00000959</t>
  </si>
  <si>
    <t>CF2J00000075/MN7</t>
  </si>
  <si>
    <t>CF2J00000083/MN4</t>
  </si>
  <si>
    <t>CF2J00000166/MN2</t>
  </si>
  <si>
    <t>CF2K00000114/MN2</t>
  </si>
  <si>
    <t>GQ2J00000065</t>
  </si>
  <si>
    <t>GA2A00000209/MN1</t>
  </si>
  <si>
    <t>GA2A00000324</t>
  </si>
  <si>
    <t>GA2A00000332/MN1</t>
  </si>
  <si>
    <t>GA2A00000340/MN1</t>
  </si>
  <si>
    <t>GA2B00000075/MN3</t>
  </si>
  <si>
    <t>GA2B00000083/MN8</t>
  </si>
  <si>
    <t>GA2B00000216/MN2</t>
  </si>
  <si>
    <t>GA2C00000157/MN2</t>
  </si>
  <si>
    <t>GA2J00000283/MN2</t>
  </si>
  <si>
    <t>GA2J00000291/MN1</t>
  </si>
  <si>
    <t>GA2J00000309/MN4</t>
  </si>
  <si>
    <t>GA2J00000317/MN1</t>
  </si>
  <si>
    <t>GA2J00000507/MN4</t>
  </si>
  <si>
    <t>GA2J00000515/MN</t>
  </si>
  <si>
    <t>GA2J00000531/MN</t>
  </si>
  <si>
    <t>GA2J00000556/MN</t>
  </si>
  <si>
    <t>GA2K00000025/MN2</t>
  </si>
  <si>
    <t>GA2K00000058/MN8</t>
  </si>
  <si>
    <t>GA2K00000272/MN</t>
  </si>
  <si>
    <t>GA2L00000016/MN2</t>
  </si>
  <si>
    <t>TD2A00001048/MN</t>
  </si>
  <si>
    <t>CM2J00000204</t>
  </si>
  <si>
    <t>GQ2K00000070</t>
  </si>
  <si>
    <t>GA2L00000016/MN3</t>
  </si>
  <si>
    <t>GA2A00000209/MN</t>
  </si>
  <si>
    <t>GA2A00000381</t>
  </si>
  <si>
    <t>GA2B00000332</t>
  </si>
  <si>
    <t>TD2J00000967</t>
  </si>
  <si>
    <t>CG2B00000055/MN4</t>
  </si>
  <si>
    <t>CG2B00000055/MN4/GREE</t>
  </si>
  <si>
    <t>TD2A00001055</t>
  </si>
  <si>
    <t>CG2A00000767</t>
  </si>
  <si>
    <t>CG2J00000792</t>
  </si>
  <si>
    <t>CG2K00000344</t>
  </si>
  <si>
    <t>CG2B00000535</t>
  </si>
  <si>
    <t>CG2L00000186</t>
  </si>
  <si>
    <t>CG2C00000195</t>
  </si>
  <si>
    <t>CG2C00000203</t>
  </si>
  <si>
    <t>CG2C00000211</t>
  </si>
  <si>
    <t>CG2C00000229</t>
  </si>
  <si>
    <t>CG2C00000237</t>
  </si>
  <si>
    <t>GA2J00000499/MN</t>
  </si>
  <si>
    <t>CF2A00000082</t>
  </si>
  <si>
    <t>CF2J00000083/MN5</t>
  </si>
  <si>
    <t>CF2J00000174</t>
  </si>
  <si>
    <t>CG2J00000578/MN1</t>
  </si>
  <si>
    <t>CG2J00000578/GREE</t>
  </si>
  <si>
    <t>GA2A00000399</t>
  </si>
  <si>
    <t>GA2K00000215</t>
  </si>
  <si>
    <t>TD2A00001063</t>
  </si>
  <si>
    <t>CG2A00000619/MN3</t>
  </si>
  <si>
    <t>CG2A00000619/GREE</t>
  </si>
  <si>
    <t>CG2A00000775</t>
  </si>
  <si>
    <t>GA2B00000182/MN3</t>
  </si>
  <si>
    <t>TD2J00000975</t>
  </si>
  <si>
    <t>CF2A00000090</t>
  </si>
  <si>
    <t>CF2A00000090/GREE</t>
  </si>
  <si>
    <t>CF2K00000112</t>
  </si>
  <si>
    <t>CG2A00000783</t>
  </si>
  <si>
    <t>GA2K00000124/MN3</t>
  </si>
  <si>
    <t>GA2K00000199/MN</t>
  </si>
  <si>
    <t>GA2A00000407</t>
  </si>
  <si>
    <t>GA2J00000564</t>
  </si>
  <si>
    <t>CF2A00000082/MN1</t>
  </si>
  <si>
    <t>CG2A00000676/MN1</t>
  </si>
  <si>
    <t>CG2A00000791</t>
  </si>
  <si>
    <t>TD2J00000983</t>
  </si>
  <si>
    <t>GA2B00000216/MN4</t>
  </si>
  <si>
    <t>CF2J00000182</t>
  </si>
  <si>
    <t>CF2K00000130</t>
  </si>
  <si>
    <t>CM2B00000202</t>
  </si>
  <si>
    <t>CG2A00000692/MN3</t>
  </si>
  <si>
    <t>CG2A00000809</t>
  </si>
  <si>
    <t>CM2L00000010/MN1</t>
  </si>
  <si>
    <t>CG2A00000700/MN1</t>
  </si>
  <si>
    <t>CG2A00000700/GREE</t>
  </si>
  <si>
    <t>GA2A00000209/MN2</t>
  </si>
  <si>
    <t>GA2B00000109/MN7</t>
  </si>
  <si>
    <t>GA2B00000208/MN</t>
  </si>
  <si>
    <t>GA2B00000232/MN</t>
  </si>
  <si>
    <t>TD2A00001071</t>
  </si>
  <si>
    <t>CM2E00000019</t>
  </si>
  <si>
    <t>CG2A00000817</t>
  </si>
  <si>
    <t>CG2J00000818</t>
  </si>
  <si>
    <t>CG2K00000104/MN5</t>
  </si>
  <si>
    <t>CG2B00000097/MN8</t>
  </si>
  <si>
    <t>GA2A00000415</t>
  </si>
  <si>
    <t>GA2J00000572</t>
  </si>
  <si>
    <t>TD2A00001089</t>
  </si>
  <si>
    <t>CG2J00000578/MN3</t>
  </si>
  <si>
    <t>CG2J00000578/MN3/GREE1</t>
  </si>
  <si>
    <t>GA2K00000215/MN</t>
  </si>
  <si>
    <t>GA2B00000240/MN1</t>
  </si>
  <si>
    <t>GA2C00000058/MN5</t>
  </si>
  <si>
    <t>TD2J00000991</t>
  </si>
  <si>
    <t>CF2K00000056/MN1</t>
  </si>
  <si>
    <t>CF2K00000056/MN1/GREE</t>
  </si>
  <si>
    <t>CF2K00000080/MN1</t>
  </si>
  <si>
    <t>CF2K00000114/MN3</t>
  </si>
  <si>
    <t>CF2K00000114/MN3/GREE</t>
  </si>
  <si>
    <t>CG2A00000742/MN1</t>
  </si>
  <si>
    <t>CG2J00000834</t>
  </si>
  <si>
    <t>TD2A00001097/MN1</t>
  </si>
  <si>
    <t>CG2J00000578/MN4</t>
  </si>
  <si>
    <t>TD2J00001007</t>
  </si>
  <si>
    <t>CM2A00000146</t>
  </si>
  <si>
    <t>CM2J00000220</t>
  </si>
  <si>
    <t>CM2K00000110</t>
  </si>
  <si>
    <t>CM2B00000079</t>
  </si>
  <si>
    <t>CM2B00000210</t>
  </si>
  <si>
    <t>CM2L00000036/MN3</t>
  </si>
  <si>
    <t>CM2L00000119</t>
  </si>
  <si>
    <t>CG2A00000684/MN1</t>
  </si>
  <si>
    <t>CG2A00000684/GREE</t>
  </si>
  <si>
    <t>GA2K0000058/MN9</t>
  </si>
  <si>
    <t>GA2K0000058/GREE</t>
  </si>
  <si>
    <t>GQ2J00000073</t>
  </si>
  <si>
    <t>GA2A00000423</t>
  </si>
  <si>
    <t>GA2J00000598</t>
  </si>
  <si>
    <t>GA2K0000256</t>
  </si>
  <si>
    <t>TD2A00001105</t>
  </si>
  <si>
    <t>TD2J00001015</t>
  </si>
  <si>
    <t>CG2A00000825</t>
  </si>
  <si>
    <t>CG2K00000146/MN5</t>
  </si>
  <si>
    <t>TD2A00001105/MN2</t>
  </si>
  <si>
    <t>TD2A00001113</t>
  </si>
  <si>
    <t>Date de remboursement</t>
  </si>
  <si>
    <t>CM1100000015 BTA-13 24-FEVR -2012</t>
  </si>
  <si>
    <t>CM1200000014 BTA-26 08-JUIN -2012</t>
  </si>
  <si>
    <t>CM1100000023 BTA-13 16-MARS-2012</t>
  </si>
  <si>
    <t>CM1200000022 BTA-26 22-JUIN -2012</t>
  </si>
  <si>
    <t>CF1200000013 BTA-26 29-JUIN -2012</t>
  </si>
  <si>
    <t>CF1100000014 BTA-13 20-AVRI -2012</t>
  </si>
  <si>
    <t>CM1200000031 BTA-26 17-AOUT -2012</t>
  </si>
  <si>
    <t>CM1200000048 BTA-26 24-AOUT -2012</t>
  </si>
  <si>
    <t>CM1200000055 BTA-26 31-AOUT -2012</t>
  </si>
  <si>
    <t>CM1200000063 BTA-26 09-NOVE -2012</t>
  </si>
  <si>
    <t>CM1200000071 BTA-26 30-NOVE-2012</t>
  </si>
  <si>
    <t>CM1100000031 BTA-13 07-SEPT-2012</t>
  </si>
  <si>
    <t>CF1100000022 BTA-13 21-SEPT -2012</t>
  </si>
  <si>
    <t>CM1300000013 BTA-52 21-JUIN -2013</t>
  </si>
  <si>
    <t>CM1200000089 BTA-26 28-DECE -2012</t>
  </si>
  <si>
    <t>CM1200000097 BTA-26 22-FEVR -2013</t>
  </si>
  <si>
    <t>CM1300000021 BTA-52 30-AOUT -2013</t>
  </si>
  <si>
    <t>CF1200000021 BTA-26 15-MARS -2013</t>
  </si>
  <si>
    <t>CM1200000105 BTA-26 22-MARS -2013</t>
  </si>
  <si>
    <t>CM1200000113 BTA-26 29-MARS -2013</t>
  </si>
  <si>
    <t>CM1100000049 BTA-13 25-JANV -2013</t>
  </si>
  <si>
    <t>CM1200000121 BTA-26 03-MAI -2013</t>
  </si>
  <si>
    <t>CM1100000056 BTA-13 22-FEVR -2013</t>
  </si>
  <si>
    <t>CM1100000064 BTA-13 08-MARS -2013</t>
  </si>
  <si>
    <t>CM1200000139 BTA-26 14-JUIN -2013</t>
  </si>
  <si>
    <t>CF1200000039 BTA-26 21-JUIN -2013</t>
  </si>
  <si>
    <t>CM1300000039 BTA-52 31-JANV -2014</t>
  </si>
  <si>
    <t>CM1300000047 BTA-52 21-FEVR -2014</t>
  </si>
  <si>
    <t>CF1200000047 BTA-26 23-AOUT -2013</t>
  </si>
  <si>
    <t>CM1200000147 BTA-26 25-OCTO -2013</t>
  </si>
  <si>
    <t>CM1300000054 BTA-52 09-MAI -2014</t>
  </si>
  <si>
    <t>GA1100000015 BTA-13 09-AOUT -2013</t>
  </si>
  <si>
    <t>GA1100000023 BTA-13 23-AOUT -2013</t>
  </si>
  <si>
    <t>CM1100000072 BTA-13 13-SEPT-2013</t>
  </si>
  <si>
    <t>GA1100000031 BTA-13 13-SEPT-2013</t>
  </si>
  <si>
    <t>CF1200000054 BTA-26 20-DECE -2013</t>
  </si>
  <si>
    <t>GA1100000049 BTA-13 27-SEPT -2013</t>
  </si>
  <si>
    <t>CM1300000062 BTA-52 27-JUIN -2014</t>
  </si>
  <si>
    <t>GA1100000056 BTA-13 11-OCTO-2013</t>
  </si>
  <si>
    <t>GA1100000064 BTA-13 25-OCTO -2013</t>
  </si>
  <si>
    <t>CM1300000071 BTA-52 25-JUIL-2014</t>
  </si>
  <si>
    <t>GA1200000014 BTA-26 14-FEVR-2014</t>
  </si>
  <si>
    <t>CF1200000062 BTA-26 21-FEVR -2014</t>
  </si>
  <si>
    <t>GA1200000022 BTA-26 28-FEVR -2014</t>
  </si>
  <si>
    <t>CM1100000081 BTA-13 29-NOVE -2013</t>
  </si>
  <si>
    <t>GA1100000072 BTA-13 06-DECE -2013</t>
  </si>
  <si>
    <t>CM1300000088 BTA-52 12-SEPT-2014</t>
  </si>
  <si>
    <t>GA1100000081 BTA-13 27-DECE-2013</t>
  </si>
  <si>
    <t>GA1100000098 BTA-13 10-JANV-2014</t>
  </si>
  <si>
    <t>GA1100000106 BTA-13 24-JANV -2014</t>
  </si>
  <si>
    <t>CM1100000098 BTA-13 14-FEVR-2014</t>
  </si>
  <si>
    <t>GA1100000114 BTA-13 07-MARS -2014</t>
  </si>
  <si>
    <t>CM1200000154 BTA-26 06-JUIN -2014</t>
  </si>
  <si>
    <t>CM1100000106 BTA-13 14-MARS -2014</t>
  </si>
  <si>
    <t>GA1100000122 BTA-13 21-MARS -2014</t>
  </si>
  <si>
    <t>CM1100000114 BTA-13 21 -MARS -2014</t>
  </si>
  <si>
    <t>CF1200000071 BTA-26 20-JUIN -2014</t>
  </si>
  <si>
    <t>GA1100000131 BTA-13 11-AVRI-2014</t>
  </si>
  <si>
    <t>GA1200000031 BTA-26 25-JUIL -2014</t>
  </si>
  <si>
    <t>CM1100000122 BTA-13 25-AVRI -2014</t>
  </si>
  <si>
    <t>CM1100000131 BTA-13 02-MAI-2014</t>
  </si>
  <si>
    <t>CM1200000162 BTA-26 15-AOUT -2014</t>
  </si>
  <si>
    <t>CF1200000088 BTA-26 22-AOUT -2014</t>
  </si>
  <si>
    <t>CM1200000171 BTA-26 29-AOUT -2014</t>
  </si>
  <si>
    <t>CM1200000188 BTA-26 12-SEPT -2014</t>
  </si>
  <si>
    <t>CM1300000104 BTA-52 04-MAI -2015</t>
  </si>
  <si>
    <t>CM1200000196 BTA-26 14-NOVE -2014</t>
  </si>
  <si>
    <t>CM1300000112 BTA-52 29-MAI -2015</t>
  </si>
  <si>
    <t>CM1200000204 BTA-26 05-DECE -2014</t>
  </si>
  <si>
    <t>CF1200000096 BTA-26 12-DECE -2014</t>
  </si>
  <si>
    <t>CM1300000121 BTA-52 26-JUIN -2015</t>
  </si>
  <si>
    <t>CM1300000138 BTA-52 10-JUIL -2015</t>
  </si>
  <si>
    <t>CM1200000212 BTA-26 30-JANV -2015</t>
  </si>
  <si>
    <t>CF1200000104 BTA-26 06-FEVR -2015</t>
  </si>
  <si>
    <t>CM1100000148 BTA-13 14-NOVE -2014</t>
  </si>
  <si>
    <t>CM1200000221 BTA-26 20-FEVR -2015</t>
  </si>
  <si>
    <t>GA1200000048 BTA-26 20-FEVR -2015</t>
  </si>
  <si>
    <t>GA1200000055 BTA-26 27-FEVR -2015</t>
  </si>
  <si>
    <t>CM1200000238 BTA-26 03-MARS -2015</t>
  </si>
  <si>
    <t>GA1200000063 BTA-26 13-MARS -2015</t>
  </si>
  <si>
    <t>CM1200000246 BTA-26 10-AVRIL -2015</t>
  </si>
  <si>
    <t>GA1200000071 BTA-26 17-AVRIL -2015</t>
  </si>
  <si>
    <t>GA1100000148 BTA-13 30-JANV -2015</t>
  </si>
  <si>
    <t>TD1100000017 BTA-13 23-JANV -2015</t>
  </si>
  <si>
    <t>CM1100000155 BTA-13 30-JANV -2015</t>
  </si>
  <si>
    <t>GA1200000089 BTA-26 15-MAI -2015</t>
  </si>
  <si>
    <t>TD1100000025 BTA-13 20-FEVR -2015</t>
  </si>
  <si>
    <t>GA1200000097 BTA-26 22-MAI -2015</t>
  </si>
  <si>
    <t>CF1200000121 BTA-26 05-JUIN -2015</t>
  </si>
  <si>
    <t>CM1100000163 BTA-13 06-MARS -2015</t>
  </si>
  <si>
    <t>TD1100000033 BTA-13 13-MARS -2015</t>
  </si>
  <si>
    <t>CM1100000171 BTA-13 13-MARS -2015</t>
  </si>
  <si>
    <t>GA1200000105 BTA-26 19-JUIN -2015</t>
  </si>
  <si>
    <t>TD1100000041 BTA-13 27-MARS -2015</t>
  </si>
  <si>
    <t>CM1300000146 BTA-52 08-JANV -2016</t>
  </si>
  <si>
    <t>CM1200000253 BTA-26 24-JUIL -2015</t>
  </si>
  <si>
    <t>CF1200000138 BTA-26 31-JUIL -2015</t>
  </si>
  <si>
    <t>CM1100000189 BTA-13 08-MAI -2015</t>
  </si>
  <si>
    <t>TD1100000058 BTA-13 15-MAI -2015</t>
  </si>
  <si>
    <t>CM1300000153 BTA-52 19-FEVR -2016</t>
  </si>
  <si>
    <t>GA1200000113 BTA-26 21-AOUT -2015</t>
  </si>
  <si>
    <t>GA1200000121 BTA-26 28-AOUT -2015</t>
  </si>
  <si>
    <t>CM1300000161 BTA-52 04-MARS -2016</t>
  </si>
  <si>
    <t>TD1200000016 BTA-26 04-SEPT -2015</t>
  </si>
  <si>
    <t>TD1200000024 BTA-26 18-SEPT -2015</t>
  </si>
  <si>
    <t>CM1200000261 BTA-26 18-SEPT -2015</t>
  </si>
  <si>
    <t>GA1200000139 BTA-26 25-SEPT -2015</t>
  </si>
  <si>
    <t>CM1300000179 BTA-52 08-AVRI -2016</t>
  </si>
  <si>
    <t>TD1200000032 BTA-26 16-OCTO -2015</t>
  </si>
  <si>
    <t>GA1200000154 BTA-26 16-OCTO -2015</t>
  </si>
  <si>
    <t>GA1300000013 BTA-52 22-AVRI -2016</t>
  </si>
  <si>
    <t>CM1200000287 BTA-26 23-OCTO -2015</t>
  </si>
  <si>
    <t>CM1300000187 BTA-52 06-MAI -2016</t>
  </si>
  <si>
    <t>TD1200000041 BTA-26 06-NOVE -2015</t>
  </si>
  <si>
    <t>CM1100000197 BTA-13 14-AOUT -2015</t>
  </si>
  <si>
    <t>GA1200000162 BTA-26 13-NOVE -2015</t>
  </si>
  <si>
    <t>GA1300000021 BTA-52 20-MAI -2016</t>
  </si>
  <si>
    <t>CF1200000146 BTA-26 27-NOVE -2015</t>
  </si>
  <si>
    <t>TD1200000057 BTA-26 27-NOVE -2015</t>
  </si>
  <si>
    <t>CM1300000195 BTA-52 27-MAI -2016</t>
  </si>
  <si>
    <t>GA1300000039 BTA-52 03-JUIN -2016</t>
  </si>
  <si>
    <t>GA1200000171 BTA-26 11-DECE -2015</t>
  </si>
  <si>
    <t>CM1100000205 BTA-13 11-SEPT -2015</t>
  </si>
  <si>
    <t>GA1300000047 BTA-52 24-JUIN -2016</t>
  </si>
  <si>
    <t>GA1300000054 BTA-52 15-JUIL -2016</t>
  </si>
  <si>
    <t>TD1200000065 BTA-26 15-JANV -2016</t>
  </si>
  <si>
    <t>CF1200000153 BTA-26 22-JANV -2016</t>
  </si>
  <si>
    <t>CM1100000213 BTA-13 30-OCTO -2015</t>
  </si>
  <si>
    <t>CM1100000221 BTA-13 06-NOVE -2015</t>
  </si>
  <si>
    <t>CM1200000303 BTA-26 19-FEVR -2016</t>
  </si>
  <si>
    <t>GA1200000188 BTA-26 19-FEVR -2016</t>
  </si>
  <si>
    <t>GA1300000062 BTA-52 26-AOUT -2016</t>
  </si>
  <si>
    <t>CM1100000239 BTA-13 04-DECE -2015</t>
  </si>
  <si>
    <t>TD1300000015 BTA-52 02-SEPT -2016</t>
  </si>
  <si>
    <t>TD1300000023 BTA-52 09-SEPT -2016</t>
  </si>
  <si>
    <t>CM1100000247 BTA-13 11-DECE -2015</t>
  </si>
  <si>
    <t>GA1200000196 BTA-26 11-MARS -2016</t>
  </si>
  <si>
    <t>GQ1300000015 BTA-52 09-SEPT -2016</t>
  </si>
  <si>
    <t>GA1300000071 BTA-52 23-SEPT -2016</t>
  </si>
  <si>
    <t>CM1100000254 BTA-13 08-JANV -2016</t>
  </si>
  <si>
    <t>GA1100000155 BTA-13 08-JANV -2016</t>
  </si>
  <si>
    <t>GA1300000088 BTA-52 14-OCTO -2016</t>
  </si>
  <si>
    <t>CM1100000271 BTA-13 29-JANV -2016</t>
  </si>
  <si>
    <t>GA1300000096 BTA-52 04-NOVE -2016</t>
  </si>
  <si>
    <t>TD1300000031 BTA-52 04-NOVE -2016</t>
  </si>
  <si>
    <t>GA1100000163 BTA-13 12-FEVR -2016</t>
  </si>
  <si>
    <t>CM1300000237 BTA-52 11-NOVE -2016</t>
  </si>
  <si>
    <t>TD1300000049 BTA-52 18-NOVE -2016</t>
  </si>
  <si>
    <t>CF1200000161 BTA-26 20-MAI -2016</t>
  </si>
  <si>
    <t>GA1100000171 BTA-13 04-MARS -2016</t>
  </si>
  <si>
    <t>GA1300000104 BTA-52 09-DECE -2016</t>
  </si>
  <si>
    <t>CM1100000288 BTA-13 11-MARS -2016</t>
  </si>
  <si>
    <t>CM1200000329 BTA-26 17-JUIN -2016</t>
  </si>
  <si>
    <t>GQ1300000023 BTA-52 23-DECE -2016</t>
  </si>
  <si>
    <t>TD1300000056 BTA-52 23-DECE -2016</t>
  </si>
  <si>
    <t>CM1100000296 BTA-13 15-AVRI -2016</t>
  </si>
  <si>
    <t>TD1200000081 BTA-26 15-JUIL -2016</t>
  </si>
  <si>
    <t>TD1200000099 BTA-26 22-JUIL -2016</t>
  </si>
  <si>
    <t>CF1200000195 BTA-26 22-JUIL -2016</t>
  </si>
  <si>
    <t>GA1100000197 BTA-13 22-AVRI -2016</t>
  </si>
  <si>
    <t>GA1200000204 BTA-26 29-JUIL -2016</t>
  </si>
  <si>
    <t>CM1300000261 BTA-52 27-JANV -2017</t>
  </si>
  <si>
    <t>CM1200000337 BTA-26 12-AOUT -2016</t>
  </si>
  <si>
    <t>GA1100000205 BTA-13 13-MAI -2016</t>
  </si>
  <si>
    <t>GA1300000112 BTA-52 17-FEVR -2017</t>
  </si>
  <si>
    <t>TD1300000064 BTA-52 24-FEVR -2017</t>
  </si>
  <si>
    <t>CM1300000278 BTA-52 24-FEVR -2017</t>
  </si>
  <si>
    <t>TD1100000066 BTA-13 03-JUIN -2016</t>
  </si>
  <si>
    <t>GA1200000212 BTA-26 02-SEPT -2016</t>
  </si>
  <si>
    <t>GA1300000121 BTA-52 10-MARS -2017</t>
  </si>
  <si>
    <t>CM1100000304 BTA-13 10-JUIN -2016</t>
  </si>
  <si>
    <t>TD1100000074 BTA-13 24-JUIN -2016</t>
  </si>
  <si>
    <t>CM1300000286 BTA-52 24-MARS -2017</t>
  </si>
  <si>
    <t>CM1300000294 BTA-52 07-AVRI -2017</t>
  </si>
  <si>
    <t>GA1200000221 BTA-26 07-OCTO -2016</t>
  </si>
  <si>
    <t>CM1100000312 BTA-13 15-JUIL -2016</t>
  </si>
  <si>
    <t>GA1300000138 BTA-52 21-AVRI -2017</t>
  </si>
  <si>
    <t>CM1200000345 BTA-26 28-OCTO -2016</t>
  </si>
  <si>
    <t>CM1100000321 BTA-13 05-AOUT -2016</t>
  </si>
  <si>
    <t>GA1200000238 BTA-26 11-NOVE -2016</t>
  </si>
  <si>
    <t>GA1300000153 BTA-52 19-MAI -2017</t>
  </si>
  <si>
    <t>CM1300000302 BTA-52 19-MAI -2017</t>
  </si>
  <si>
    <t>CF1200000203 BTA-26 18-NOVE -2016</t>
  </si>
  <si>
    <t>TD1100000082 BTA-13 26-AOUT -2016</t>
  </si>
  <si>
    <t>TD1200000107 BTA-26 02-DECE -2016</t>
  </si>
  <si>
    <t>CM1300000311 BTA-52 02-JUIN -2017</t>
  </si>
  <si>
    <t>GA1200000246 BTA-26 02-DECE -2016</t>
  </si>
  <si>
    <t>GA1300000161 BTA-52 09-JUIN -2017</t>
  </si>
  <si>
    <t>TD1300000072 BTA-52 09-JUIN -2017</t>
  </si>
  <si>
    <t>CM1200000352 BTA-26 09-DECE -2016</t>
  </si>
  <si>
    <t>TD1300000081 BTA-52 16-JUIN -2017</t>
  </si>
  <si>
    <t>TD1100000091 BTA-13 23-SEPT -2016</t>
  </si>
  <si>
    <t>CM1100000338 BTA-13 23-SEPT -2016</t>
  </si>
  <si>
    <t>GA1100000213 BTA-13 23-SEPT -2016</t>
  </si>
  <si>
    <t>CM1100000346 BTA-13 07-OCTO -2016</t>
  </si>
  <si>
    <t>GA1100000221 BTA-13 07-OCTO -2016</t>
  </si>
  <si>
    <t>GA1200000253 BTA-26 13-JANV -2017</t>
  </si>
  <si>
    <t>TD1300000098 BTA-52 14-JUIL -2017</t>
  </si>
  <si>
    <t>CM1300000328 BTA-52 21-JUIL -2017</t>
  </si>
  <si>
    <t>GQ1300000049 BTA-52 21-JUIL -2017</t>
  </si>
  <si>
    <t>CF1200000211 BTA-26 20-JANV -2017</t>
  </si>
  <si>
    <t>TD1100000108 BTA-13 28-OCTO -2016</t>
  </si>
  <si>
    <t>GA1300000179 BTA-52 28-JUIL -2017</t>
  </si>
  <si>
    <t>CM1200000361 BTA-26 03-FEVR -2017</t>
  </si>
  <si>
    <t>GQ1300000056 BTA-52 04-AOUT -2017</t>
  </si>
  <si>
    <t>GA1100000239 BTA-13 04-NOVE -2016</t>
  </si>
  <si>
    <t>GA1300000195 BTA-52 11-AOUT -2017</t>
  </si>
  <si>
    <t>CM1100000353 BTA-13 11-NOVE -2016</t>
  </si>
  <si>
    <t>GA1300000203 BTA-52 18-AOUT -2017</t>
  </si>
  <si>
    <t>GA1200000261 BTA-26 24-FEVR -2017</t>
  </si>
  <si>
    <t>CM1300000336 BTA-52 25-AOUT -2017</t>
  </si>
  <si>
    <t>TD1300000114 BTA-52 25-AOUT -2017</t>
  </si>
  <si>
    <t>TD1300000122 BTA-52 01-SEPT -2017</t>
  </si>
  <si>
    <t>CM1300000344 BTA-52 8-SEPT -2017</t>
  </si>
  <si>
    <t>TD1300000131 BTA-52 08-SEPT -2017</t>
  </si>
  <si>
    <t>GA1100000247 BTA-13 09-DECE -2016</t>
  </si>
  <si>
    <t>GA1200000279 BTA-26 17-MARS-2017</t>
  </si>
  <si>
    <t>GA1300000211 BTA-52 22-SEPT -2017</t>
  </si>
  <si>
    <t>CM1100000361 BTA-13 23-DECE -2016</t>
  </si>
  <si>
    <t>GQ1300000081 BTA-52 22-SEPT -2017</t>
  </si>
  <si>
    <t>CM1100000379 BTA-13 06-JANV -2017</t>
  </si>
  <si>
    <t>GA1300000229 BTA-52 06-OCTO -2017</t>
  </si>
  <si>
    <t>GA1200000287 BTA-26 14-AVRI -2017</t>
  </si>
  <si>
    <t>GA1100000254 BTA-13 20-JANV -2017</t>
  </si>
  <si>
    <t>CM1200000386 BTA-26 21-AVRI -2017</t>
  </si>
  <si>
    <t>TD1300000155 BTA-52 20-OCTO -2017</t>
  </si>
  <si>
    <t>GA1100000262 BTA-13 27-JANV -2017</t>
  </si>
  <si>
    <t>TD1300000163 BTA-52 27-OCTO -2017</t>
  </si>
  <si>
    <t>GA1100000271 BTA-13 03-FEVR -2017</t>
  </si>
  <si>
    <t>GA1200000295 BTA-26 12-MAI -2017</t>
  </si>
  <si>
    <t>GA1300000237 BTA-52 17-NOVE -2017</t>
  </si>
  <si>
    <t>CM1200000394 BTA-26 19-MAI -2017</t>
  </si>
  <si>
    <t>CF1200000229 BTA-26 19-MAI -2017</t>
  </si>
  <si>
    <t>TD1300000171 BTA-52 24-NOVE -2017</t>
  </si>
  <si>
    <t>GQ1300000098 BTA-52 24-NOVE -2017</t>
  </si>
  <si>
    <t>GA1200000303 BTA-26 26-MAI -2017</t>
  </si>
  <si>
    <t>GA1300000245 BTA-52 01-DECE -2017</t>
  </si>
  <si>
    <t>TD1100000116 BTA-13 03-MARS -2017</t>
  </si>
  <si>
    <t>CM1100000395 BTA-13 10-MARS -2017</t>
  </si>
  <si>
    <t>GA1100000288 BTA-13 10-MARS -2017</t>
  </si>
  <si>
    <t>GA1200000311 BTA-26 16-JUIN -2017</t>
  </si>
  <si>
    <t>CM1200000402 BTA-26 16-JUIN -2017</t>
  </si>
  <si>
    <t>GQ1300000106 BTA-52 15-DECE -2017</t>
  </si>
  <si>
    <t>TD1300000197 BTA-52 22-DECE -2017</t>
  </si>
  <si>
    <t>GA1300000252 BTA-52 29-DECE -2017</t>
  </si>
  <si>
    <t>GA1100000296 BTA-13 07-AVRI -2017</t>
  </si>
  <si>
    <t>GA1200000329 BTA-26 14-JUIL -2017</t>
  </si>
  <si>
    <t>GA1200000337 BTA-26 21-JUIL -2017</t>
  </si>
  <si>
    <t>GA1100000304 BTA-13 28-AVRI -2017</t>
  </si>
  <si>
    <t>CF1200000237 BTA-26 14-JUIL -2017</t>
  </si>
  <si>
    <t>TD1300000205 BTA-52 26-JANV -2018</t>
  </si>
  <si>
    <t>CM1100000403 BTA-13 05-MAI -2017</t>
  </si>
  <si>
    <t>GA1100000312 BTA-13 05-MAI -2017</t>
  </si>
  <si>
    <t>GA1300000261 BTA-13 09-FEVR -2018</t>
  </si>
  <si>
    <t>CM1200000411 BTA-26 11-AOUT -2017</t>
  </si>
  <si>
    <t>CM1100000411 BTA-13 19-MAI -2017</t>
  </si>
  <si>
    <t>GA1200000345 BTA-26 25-AOUT -2017</t>
  </si>
  <si>
    <t>GQ1300000353 BTA-52 23-FEVR -2018</t>
  </si>
  <si>
    <t>CG1100000013 BTA-13 26-MAI -2017</t>
  </si>
  <si>
    <t>CM1100000429 BTA-13 02-JUIN -2017</t>
  </si>
  <si>
    <t>GA1100000321 BTA-13 02-JUIN -2017</t>
  </si>
  <si>
    <t>CM1100000437 BTA-13 09-JUIN -2017</t>
  </si>
  <si>
    <t>GA1200000352 BTA-26 15-SEPT-2017</t>
  </si>
  <si>
    <t>GA1100000338 BTA-13 23-JUIN-2017</t>
  </si>
  <si>
    <t>CM1200000428 BTA-26 22-SEPT-2017</t>
  </si>
  <si>
    <t>GA1100000346 BTA-13 07-JUIL -2017</t>
  </si>
  <si>
    <t>GA1200000361 BTA-26 13-OCTO -2017</t>
  </si>
  <si>
    <t>CM1200000436 BTA-26 13-OCTO -2017</t>
  </si>
  <si>
    <t>GQ1300000387 BTA-52 20-AVRI -2018</t>
  </si>
  <si>
    <t>CM1100000445 BTA-13 21-JUIL -2017</t>
  </si>
  <si>
    <t>GA1200000378 BTA-26 20-OCTO -2017</t>
  </si>
  <si>
    <t>GA1200000386 BTA-26 27-OCTO -2017</t>
  </si>
  <si>
    <t>CM1100000452 BTA-13 28-JUIL -2017</t>
  </si>
  <si>
    <t>CM1200000444 BTA-26 03-NOVE -2017</t>
  </si>
  <si>
    <t>GA1100000353 BTA-13 04-AOUT -2017</t>
  </si>
  <si>
    <t>GA1200000394 BTA-26 10-NOVE -2017</t>
  </si>
  <si>
    <t>CM1100000461 BTA-13 11-AOUT -2017</t>
  </si>
  <si>
    <t>CF1200000245 BTA-26 10-NOVE -2017</t>
  </si>
  <si>
    <t>CM1300000369 BTA-52 18-MAI -2018</t>
  </si>
  <si>
    <t>GQ1300000395 BTA-52 18-MAI -2018</t>
  </si>
  <si>
    <t>GA1300000294 BTA-52 18-MAI -2018</t>
  </si>
  <si>
    <t>GA1200000402 BTA-26 24-NOVE -2017</t>
  </si>
  <si>
    <t>CM1200000451 BTA-26 24-NOVE -2017</t>
  </si>
  <si>
    <t>GA1100000361 BTA-13 01-SEPT -2017</t>
  </si>
  <si>
    <t>CM1200000469 BTA-26 08-DECE -2017</t>
  </si>
  <si>
    <t>GA1100000379 BTA-13 08-SEPT -2017</t>
  </si>
  <si>
    <t>CG1100000039 BTA-13 08-SEPT -2017</t>
  </si>
  <si>
    <t>GA1200000411 BTA-26 15-DECE -2017</t>
  </si>
  <si>
    <t xml:space="preserve">CM1200000477 BTA-26 15-DECE -2017 </t>
  </si>
  <si>
    <t xml:space="preserve">TD1300000221 BTA-52 15-JUIN -2018 </t>
  </si>
  <si>
    <t>GQ1300000403 BTA-52 22-JUIN -2018</t>
  </si>
  <si>
    <t xml:space="preserve">GA1200000428 BTA-26 22-DECE -2017 </t>
  </si>
  <si>
    <t>GA1100000387 BTA-13 29-SEPT -2017</t>
  </si>
  <si>
    <t>CM1100000478 BTA-13 29-SEPT -2017</t>
  </si>
  <si>
    <t>CM1100000486 BTA-13 06-OCTO -2017</t>
  </si>
  <si>
    <t>CF1200000252 BTA-26 05-JANV -2018</t>
  </si>
  <si>
    <t xml:space="preserve">GA1200000436 BTA-26 05-JANV -2018 </t>
  </si>
  <si>
    <t>CG1100000047 BTA-13 06-OCTO -2017</t>
  </si>
  <si>
    <t>GA1200000444 BTA-26 12-JANV -2018</t>
  </si>
  <si>
    <t>CM1100000494 BTA-13 13-OCTO -2017</t>
  </si>
  <si>
    <t>TD1200000115 BTA-26 12-JANV -2018</t>
  </si>
  <si>
    <t xml:space="preserve">TD1200000123 BTA-26 19-JANV -2018 </t>
  </si>
  <si>
    <t>GQ1300000411 BTA-52 20-JUIL -2018</t>
  </si>
  <si>
    <t>GA1200000451 BTA-26 19-JANV -2018</t>
  </si>
  <si>
    <t>GA1200000469 BTA-26 26-JANV -2018</t>
  </si>
  <si>
    <t>CM1200000485 BTA-26 26-JANV -2018</t>
  </si>
  <si>
    <t>TD1300000239 BTA-52 03-AOUT -2018</t>
  </si>
  <si>
    <t>GA1100000395 BTA-13 03-NOVE -2017</t>
  </si>
  <si>
    <t>GA1200000477 BTA-26 09-FEVR -2018</t>
  </si>
  <si>
    <t>CM1200000493 BTA-26 09-FEVR -2018</t>
  </si>
  <si>
    <t>GQ1300000429 BTA-52 10-AOUT -2018</t>
  </si>
  <si>
    <t>CG1100000054 BTA-13 10-NOVE -2017</t>
  </si>
  <si>
    <t>CM1300000377 BTA-52 24-AOUT -2018</t>
  </si>
  <si>
    <t>GA1200000485 BTA-26 16-FEVR -2018</t>
  </si>
  <si>
    <t>GA1100000403 BTA-13 24-NOVE -2017</t>
  </si>
  <si>
    <t>TD1300000247 BTA-52 24-AOUT -2018</t>
  </si>
  <si>
    <t>GA1200000493 BTA-26 02-MARS -2018</t>
  </si>
  <si>
    <t>TD1300000254 BTA-52 31-AOUT -2018</t>
  </si>
  <si>
    <t>TD1200000131 BTA-26 02-MARS -2018</t>
  </si>
  <si>
    <t>CM1100000502 BTA-13 08-DECE -2017</t>
  </si>
  <si>
    <t>TD1300000262 BTA-52 07-SEPT -2018</t>
  </si>
  <si>
    <t>GA1100000411 BTA-13 08-DECE -2017</t>
  </si>
  <si>
    <t>GA1200000501 BTA-26 16-MARS -2018</t>
  </si>
  <si>
    <t>CM1300000385 BTA-52 14-SEPT -2018</t>
  </si>
  <si>
    <t>CM1200000501 BTA-26 23-MARS -2018</t>
  </si>
  <si>
    <t>GQ1300000437 BTA-52 21-SEPT -2018</t>
  </si>
  <si>
    <t>GA1200000519 BTA-26 23-MARS -2018</t>
  </si>
  <si>
    <t>CG1100000062 BTA-13 22-DECE -2017</t>
  </si>
  <si>
    <t>GA1200000527 BTA-26 30-MARS -2018</t>
  </si>
  <si>
    <t>GA1200000535 BTA-26 06-AVRI -2018</t>
  </si>
  <si>
    <t>CG1100000071 BTA-13 05-JANV -2018</t>
  </si>
  <si>
    <t>GA1100000429 BTA-13 12-JANV -2018</t>
  </si>
  <si>
    <t>CM1300000393 BTA-52 12-OCTO -2018</t>
  </si>
  <si>
    <t>TD1300000271 BTA-52 19-OCTO -2018</t>
  </si>
  <si>
    <t>CG1100000088 BTA-13 19-JANV -2018</t>
  </si>
  <si>
    <t>GA1200000543 BTA-26 20-AVRI -2018</t>
  </si>
  <si>
    <t>GA1200000551 BTA-26 27-AVRI -2018</t>
  </si>
  <si>
    <t>CM1200000519 BTA-26 27-AVRI -2018</t>
  </si>
  <si>
    <t>GQ1300000445 BTA-52 26-OCTO -2018</t>
  </si>
  <si>
    <t>CF1200000261 BTA-26 04-MAI -2018</t>
  </si>
  <si>
    <t>GA1100000437 BTA-13 02-FEVR -2018</t>
  </si>
  <si>
    <t>GA1200000568 BTA-26 11-MAI -2018</t>
  </si>
  <si>
    <t>CM1100000511 BTA-13 09-FEVR -2018</t>
  </si>
  <si>
    <t>GQ1300000452 BTA-52 09-NOVE -2018</t>
  </si>
  <si>
    <t>CG1100000096 BTA-13 09-FEVR -2018</t>
  </si>
  <si>
    <t>CM1100000528 BTA-13 16-FEVR -2018</t>
  </si>
  <si>
    <t>GA1200000576 BTA-26 18-MAI -2018</t>
  </si>
  <si>
    <t>GA1100000445 BTA-13 23-FEVR -2018</t>
  </si>
  <si>
    <t>CM1100000536 BTA-13 23-FEVR -2018</t>
  </si>
  <si>
    <t>GQ1300000461 BTA-52 23-NOVE -2018</t>
  </si>
  <si>
    <t>TD1300000288 BTA-52 23-NOVE -2018</t>
  </si>
  <si>
    <t>GA1200000584 BTA-26 01-JUIN-2018</t>
  </si>
  <si>
    <t>CM1200000527 BTA-26 01-JUIN-2018</t>
  </si>
  <si>
    <t>CM1200000535 BTA-26 08-JUIN -2018</t>
  </si>
  <si>
    <t>GQ1300000478 BTA-52 07-DECE -2018</t>
  </si>
  <si>
    <t>GA1100000452 BTA-13 09-MARS -2018</t>
  </si>
  <si>
    <t>GA1200000592 BTA-26 15-JUIN -2018</t>
  </si>
  <si>
    <t>CM1200000543 BTA-26 15-JUIN -2018</t>
  </si>
  <si>
    <t>CG1100000104 BTA-13 16-MARS -2018</t>
  </si>
  <si>
    <t>CM1200000551 BTA-26 22-JUIN -2018</t>
  </si>
  <si>
    <t>TD1300000296 BTA-52 21-DECE -2018</t>
  </si>
  <si>
    <t>GA1200000601 BTA-26 22-JUIN -2018</t>
  </si>
  <si>
    <t>GA1100000461 BTA-13 30-MARS -2018</t>
  </si>
  <si>
    <t>CM1100000544 BTA-13 30-MARS -2018</t>
  </si>
  <si>
    <t>CF1200000278 BTA-26 29-JUIN -2018</t>
  </si>
  <si>
    <t>CG1100000112 BTA-13 06-AVRI -2018</t>
  </si>
  <si>
    <t>GA1200000618 BTA-26 06-JUIL -2018</t>
  </si>
  <si>
    <t>GQ1300000486 BTA-52 04-JANV -2019</t>
  </si>
  <si>
    <t>GA1100000478 BTA-13 13-AVRI -2018</t>
  </si>
  <si>
    <t>TD1300000304 BTA-52 11-JANV -2019</t>
  </si>
  <si>
    <t>TD1200000149 BTA-26 20-JUIL -2018</t>
  </si>
  <si>
    <t>CM1200000576 BTA-26 20-JUIL -2018</t>
  </si>
  <si>
    <t>GA1200000626 BTA-26 20-JUIL -2018</t>
  </si>
  <si>
    <t>GQ1300000494 BTA-52 18-JANV -2019</t>
  </si>
  <si>
    <t>GA1100000486 BTA-13 27-AVRI -2018</t>
  </si>
  <si>
    <t>CM1100000551 BTA-13 27-AVRI -2018</t>
  </si>
  <si>
    <t>TD1300000312 BTA-52 25-JANV -2019</t>
  </si>
  <si>
    <t>GA1200000634 BTA-26 03-AOUT-2018</t>
  </si>
  <si>
    <t>CG1100000121 BTA-13 04-MAI-2018</t>
  </si>
  <si>
    <t>CM1100000569 BTA-13 11-MAI-2018</t>
  </si>
  <si>
    <t>GA1100000494 BTA-13 11-MAI-2018</t>
  </si>
  <si>
    <t>TD1300000321 BTA-52 08 FEVR-2019</t>
  </si>
  <si>
    <t>GA1200000642 BTA-26 17-AOUT-2018</t>
  </si>
  <si>
    <t>CM1100000577 BTA-13 18-MAI-2018</t>
  </si>
  <si>
    <t>GQ1300000502 BTA-52 15-FEVR-2019</t>
  </si>
  <si>
    <t>GA1100000502 BTA-13 25-MAI-2018</t>
  </si>
  <si>
    <t>CM1100000585 BTA-13 25-MAI-2018</t>
  </si>
  <si>
    <t>CM1200000584 BTA-26 31-AOUT-2018</t>
  </si>
  <si>
    <t>CG1100000138 BTA-13 01-JUIN-2018</t>
  </si>
  <si>
    <t>GA1100000511 BTA-13 01-JUIN -2018</t>
  </si>
  <si>
    <t>CM1200000592 BTA-26 07-SEPT-2018</t>
  </si>
  <si>
    <t>GA1100000528 BTA-13 08-JUIN-2018</t>
  </si>
  <si>
    <t>GA1200000659 BTA-26 14-SEPT-2018</t>
  </si>
  <si>
    <t>CM1200000601 BTA-26 14-SEPT-2018</t>
  </si>
  <si>
    <t>TD1300000338 BTA-52 15-MARS-2018</t>
  </si>
  <si>
    <t>TD1200000164 BTA-26 17-SEPT-2018</t>
  </si>
  <si>
    <t>GA1300000302 BTA-52 22-MARS-2019</t>
  </si>
  <si>
    <t>GQ1300000511 BTA-52 22-MARS-2019</t>
  </si>
  <si>
    <t>GA1100000536 BTA-13 29-JUIN-2018</t>
  </si>
  <si>
    <t>CM1100000593 BTA-13 29-JUIN-2018</t>
  </si>
  <si>
    <t>CG1200000038 BTA-26 05-OCTO-2018</t>
  </si>
  <si>
    <t>GA1200000667 BTA-26 05-OCTO-2018</t>
  </si>
  <si>
    <t>GA1100000544 BTA-13 13-JUIL-2018</t>
  </si>
  <si>
    <t>CM1200000618 BTA-26 12-OCTO-2018</t>
  </si>
  <si>
    <t>GQ1300000528 BTA-52 12-AVRI-2019</t>
  </si>
  <si>
    <t>CM1300000401 BTA-52 19-AVRI-2019</t>
  </si>
  <si>
    <t>GA1200000675 BTA-26 19-OCTO-2018</t>
  </si>
  <si>
    <t>GA1100000551 BTA-13 27-JUIL-2018</t>
  </si>
  <si>
    <t>CM1100000601 BTA-13 27-JUIL-2018</t>
  </si>
  <si>
    <t>CG1100000146 BTA-13 27-JUIL-2018</t>
  </si>
  <si>
    <t>CF1200000286 BTA-26 26-OCTO-2018</t>
  </si>
  <si>
    <t>CM1200000626 BTA-26 02-NOVE-2018</t>
  </si>
  <si>
    <t>CM1100000619 BTA-13 10-AOUT-2018</t>
  </si>
  <si>
    <t>GA1100000569 BTA-13 10-AOUT-2018</t>
  </si>
  <si>
    <t>GA1200000683 BTA-26 16-NOVE-2018</t>
  </si>
  <si>
    <t>CM1100000627 BTA-13 17-AOUT-2018</t>
  </si>
  <si>
    <t>CG1200000046 BTA-26 16-NOVE-2018</t>
  </si>
  <si>
    <t>GQ1300000536 BTA-52 17-MAI-2019</t>
  </si>
  <si>
    <t>TD1200000172 BTA-26 16-NOVE-2018</t>
  </si>
  <si>
    <t>TD1200000180 BTA-26 23-NOVE-2018</t>
  </si>
  <si>
    <t>CM1100000635 BTA-13 24-AOUT-2018</t>
  </si>
  <si>
    <t>GA1100000577 BTA-13 24-AOUT-2018</t>
  </si>
  <si>
    <t>GA1100000585 BTA-13 31-AOUT-2018</t>
  </si>
  <si>
    <t>CM1100000643</t>
  </si>
  <si>
    <t>CG1200000053</t>
  </si>
  <si>
    <t>GA1100000593</t>
  </si>
  <si>
    <t>GA1200000691</t>
  </si>
  <si>
    <t>GQ1300000544</t>
  </si>
  <si>
    <t>TD1200000198</t>
  </si>
  <si>
    <t>GA1200000709</t>
  </si>
  <si>
    <t>CG1200000061</t>
  </si>
  <si>
    <t>CM1200000634</t>
  </si>
  <si>
    <t>CF1200000294</t>
  </si>
  <si>
    <t>TD1300000353</t>
  </si>
  <si>
    <t>CM1200000642</t>
  </si>
  <si>
    <t>GA1100000601</t>
  </si>
  <si>
    <t>CM1200000659 BTA-26 25-JANV-2019</t>
  </si>
  <si>
    <t>GA1200000717 BTA-26 04-JANV-2019</t>
  </si>
  <si>
    <t>GQ1300000551 BAT-52 12-JUIL-2019</t>
  </si>
  <si>
    <t>CM1100000650 BTA-13 12-OCTO-2018</t>
  </si>
  <si>
    <t>GA1100000619 BTA-13 12-OCTO-2018</t>
  </si>
  <si>
    <t>CG1200000079 BTA-26 18-JANV-2019</t>
  </si>
  <si>
    <t>CM1100000668 BTA-13 19-OCTO-2018</t>
  </si>
  <si>
    <t>GA1200000725 BTA-26 18-JANV-2019</t>
  </si>
  <si>
    <t>TD1200000206 BTA-26 18-JANV-2019</t>
  </si>
  <si>
    <t>GA1100000627 BTA-13 26-OCTO-2018</t>
  </si>
  <si>
    <t>CM1100000676</t>
  </si>
  <si>
    <t>GA1100000635</t>
  </si>
  <si>
    <t>TD1200000214</t>
  </si>
  <si>
    <t>GA1100000643</t>
  </si>
  <si>
    <t>CM1100000684</t>
  </si>
  <si>
    <t>GQ1300000569</t>
  </si>
  <si>
    <t>CG1200000087</t>
  </si>
  <si>
    <t>CM1100000692</t>
  </si>
  <si>
    <t>GA1200000733</t>
  </si>
  <si>
    <t>CM1100000700</t>
  </si>
  <si>
    <t>GA1100000650</t>
  </si>
  <si>
    <t>TD1200000222</t>
  </si>
  <si>
    <t>TD1200000230</t>
  </si>
  <si>
    <t>GA1100000668</t>
  </si>
  <si>
    <t>CG1200000095</t>
  </si>
  <si>
    <t>CM1200000667</t>
  </si>
  <si>
    <t>GA1100000676</t>
  </si>
  <si>
    <t>TD1200000248</t>
  </si>
  <si>
    <t>TD1200000255</t>
  </si>
  <si>
    <t>GA1200000741</t>
  </si>
  <si>
    <t>CM1200000675</t>
  </si>
  <si>
    <t>CG1200000103</t>
  </si>
  <si>
    <t>CG1200000111</t>
  </si>
  <si>
    <t>GA1100000684</t>
  </si>
  <si>
    <t>GA1100000692</t>
  </si>
  <si>
    <t>CM1100000718</t>
  </si>
  <si>
    <t>TD1200000263</t>
  </si>
  <si>
    <t>CM1100000726</t>
  </si>
  <si>
    <t>GA1200000758</t>
  </si>
  <si>
    <t>GA1100000700</t>
  </si>
  <si>
    <t>CM1100000734</t>
  </si>
  <si>
    <t>CG1200000129</t>
  </si>
  <si>
    <t>GA1200000766</t>
  </si>
  <si>
    <t>CF1200000302</t>
  </si>
  <si>
    <t>TD1200000289</t>
  </si>
  <si>
    <t>TD1200000271</t>
  </si>
  <si>
    <t>GA1100000718</t>
  </si>
  <si>
    <t>CM1200000683</t>
  </si>
  <si>
    <t>GQ1300000577</t>
  </si>
  <si>
    <t>GA1200000774</t>
  </si>
  <si>
    <t>GQ1300000585</t>
  </si>
  <si>
    <t>CM1200000691</t>
  </si>
  <si>
    <t>CG1200000137</t>
  </si>
  <si>
    <t>GA1100000726</t>
  </si>
  <si>
    <t>CM1100000742</t>
  </si>
  <si>
    <t>GA1200000782</t>
  </si>
  <si>
    <t>TD1200000305</t>
  </si>
  <si>
    <t>TD1200000313</t>
  </si>
  <si>
    <t>CG1200000145</t>
  </si>
  <si>
    <t>GA1100000734</t>
  </si>
  <si>
    <t>GA1100000742</t>
  </si>
  <si>
    <t>GQ1300000593</t>
  </si>
  <si>
    <t>GA1100000759</t>
  </si>
  <si>
    <t>CG1200000152</t>
  </si>
  <si>
    <t>GA1200000790</t>
  </si>
  <si>
    <t>CF1200000310</t>
  </si>
  <si>
    <t>TD1200000321</t>
  </si>
  <si>
    <t>CG1200000160</t>
  </si>
  <si>
    <t>CM1100000759</t>
  </si>
  <si>
    <t>GA1200000808</t>
  </si>
  <si>
    <t>TD1200000339</t>
  </si>
  <si>
    <t>CM1100000767</t>
  </si>
  <si>
    <t>GA1100000767</t>
  </si>
  <si>
    <t>TD1200000354</t>
  </si>
  <si>
    <t>TD1200000347</t>
  </si>
  <si>
    <t>GA1200000816</t>
  </si>
  <si>
    <t>CM1100000775</t>
  </si>
  <si>
    <t>CG1200000178</t>
  </si>
  <si>
    <t>GA1100000775</t>
  </si>
  <si>
    <t>TD1200000362</t>
  </si>
  <si>
    <t>GQ1300000601</t>
  </si>
  <si>
    <t>TD1200000370</t>
  </si>
  <si>
    <t>GA1200000824</t>
  </si>
  <si>
    <t>CM1200000709</t>
  </si>
  <si>
    <t>CM1200000717</t>
  </si>
  <si>
    <t>GA1100000783</t>
  </si>
  <si>
    <t>TD1200000388</t>
  </si>
  <si>
    <t>GQ1300000619</t>
  </si>
  <si>
    <t>CG1200000186</t>
  </si>
  <si>
    <t>CM1300000427</t>
  </si>
  <si>
    <t>GA1300000310</t>
  </si>
  <si>
    <t>TD1200000396</t>
  </si>
  <si>
    <t>TD1300000361</t>
  </si>
  <si>
    <t>CG1200000194</t>
  </si>
  <si>
    <t>GA1100000791</t>
  </si>
  <si>
    <t>GA1100000809</t>
  </si>
  <si>
    <t>CM1200000725</t>
  </si>
  <si>
    <t>CM1300000435</t>
  </si>
  <si>
    <t>GQ1300000627</t>
  </si>
  <si>
    <t>GA1200000832</t>
  </si>
  <si>
    <t>TD1200000404</t>
  </si>
  <si>
    <t>TD1200000412</t>
  </si>
  <si>
    <t>CM1200000733</t>
  </si>
  <si>
    <t>GA1100000817</t>
  </si>
  <si>
    <t>TD1200000420</t>
  </si>
  <si>
    <t>CG1200000202</t>
  </si>
  <si>
    <t>GA1100000825</t>
  </si>
  <si>
    <t>CG1200000210</t>
  </si>
  <si>
    <t>TD1200000438</t>
  </si>
  <si>
    <t>TD1200000446</t>
  </si>
  <si>
    <t>GQ1300000635</t>
  </si>
  <si>
    <t>GA1300000328</t>
  </si>
  <si>
    <t>GA1300000336</t>
  </si>
  <si>
    <t>CM1100000783</t>
  </si>
  <si>
    <t>GA1100000833</t>
  </si>
  <si>
    <t>TD1200000453</t>
  </si>
  <si>
    <t>GA1200000840</t>
  </si>
  <si>
    <t>GQ1300000643</t>
  </si>
  <si>
    <t>CF1200000328</t>
  </si>
  <si>
    <t>CG1100000153</t>
  </si>
  <si>
    <t>CM1200000741</t>
  </si>
  <si>
    <t>GA1100000841</t>
  </si>
  <si>
    <t>CM1300000443</t>
  </si>
  <si>
    <t>GA1200000857</t>
  </si>
  <si>
    <t>TD1200000461</t>
  </si>
  <si>
    <t>CG1200000228</t>
  </si>
  <si>
    <t>GA1100000858</t>
  </si>
  <si>
    <t>CG1200000236</t>
  </si>
  <si>
    <t>CG1200000244</t>
  </si>
  <si>
    <t>CM1200000758</t>
  </si>
  <si>
    <t>GA1100000866</t>
  </si>
  <si>
    <t>GA1100000874</t>
  </si>
  <si>
    <t>GQ1300000650</t>
  </si>
  <si>
    <t>GA1200000865</t>
  </si>
  <si>
    <t>TD1200000479</t>
  </si>
  <si>
    <t>TD1200000487</t>
  </si>
  <si>
    <t>GA1100000882</t>
  </si>
  <si>
    <t>GA1100000890</t>
  </si>
  <si>
    <t>CG1300000011</t>
  </si>
  <si>
    <t>CM1100000791</t>
  </si>
  <si>
    <t>GA1100000908</t>
  </si>
  <si>
    <t>CF1200000336</t>
  </si>
  <si>
    <t>GA1100000916</t>
  </si>
  <si>
    <t>GA1100000924</t>
  </si>
  <si>
    <t>GA1300000344</t>
  </si>
  <si>
    <t>TD1200000495</t>
  </si>
  <si>
    <t>TD1200000503</t>
  </si>
  <si>
    <t>TD1200000511</t>
  </si>
  <si>
    <t>TD1200000529</t>
  </si>
  <si>
    <t>TD1300000379</t>
  </si>
  <si>
    <t>CM1100000809</t>
  </si>
  <si>
    <t>GA1100000932</t>
  </si>
  <si>
    <t>GA1100000940</t>
  </si>
  <si>
    <t>CG1200000251</t>
  </si>
  <si>
    <t>CG1200000269</t>
  </si>
  <si>
    <t>CM1200000766</t>
  </si>
  <si>
    <t>GA1200000873</t>
  </si>
  <si>
    <t>GA1200000881</t>
  </si>
  <si>
    <t>TD1200000537</t>
  </si>
  <si>
    <t>TD1200000545</t>
  </si>
  <si>
    <t>TD1200000552</t>
  </si>
  <si>
    <t>CG1300000029</t>
  </si>
  <si>
    <t>GQ1300000668</t>
  </si>
  <si>
    <t>GA1100000957</t>
  </si>
  <si>
    <t>TD1200000560</t>
  </si>
  <si>
    <t>CG1200000277</t>
  </si>
  <si>
    <t>CG1300000037</t>
  </si>
  <si>
    <t>CM1100000817</t>
  </si>
  <si>
    <t>CM1200000774</t>
  </si>
  <si>
    <t>GA1200000899</t>
  </si>
  <si>
    <t>GA1100000973</t>
  </si>
  <si>
    <t>GA1100000965</t>
  </si>
  <si>
    <t>GA1100000981</t>
  </si>
  <si>
    <t>GQ1300000676</t>
  </si>
  <si>
    <t>GQ1200000016</t>
  </si>
  <si>
    <t>TD1200000586</t>
  </si>
  <si>
    <t>TD1200000578</t>
  </si>
  <si>
    <t>TD1200000594</t>
  </si>
  <si>
    <t>TD1200000610</t>
  </si>
  <si>
    <t>GA1300000351</t>
  </si>
  <si>
    <t>GA1100001005</t>
  </si>
  <si>
    <t>GQ1300000684</t>
  </si>
  <si>
    <t>TD1200000628</t>
  </si>
  <si>
    <t>CM1100000825</t>
  </si>
  <si>
    <t>TD1200000636</t>
  </si>
  <si>
    <t>CM1200000790</t>
  </si>
  <si>
    <t>GA1100000999</t>
  </si>
  <si>
    <t>GQ1300000692</t>
  </si>
  <si>
    <t>TD1200000602</t>
  </si>
  <si>
    <t>CM1200000782</t>
  </si>
  <si>
    <t>CF1200000344</t>
  </si>
  <si>
    <t>CG1200000285</t>
  </si>
  <si>
    <t>CM1200000808</t>
  </si>
  <si>
    <t>GA1100001013</t>
  </si>
  <si>
    <t>GA1100001021</t>
  </si>
  <si>
    <t>GA1200000907</t>
  </si>
  <si>
    <t>GA1200000915</t>
  </si>
  <si>
    <t>GQ1300000700</t>
  </si>
  <si>
    <t>GQ1300000718</t>
  </si>
  <si>
    <t>TD1200000644</t>
  </si>
  <si>
    <t>GA1100001039</t>
  </si>
  <si>
    <t>CG1300000045</t>
  </si>
  <si>
    <t>GA1200000923/MN</t>
  </si>
  <si>
    <t>TD1200000669/MN</t>
  </si>
  <si>
    <t>GA1100001054/MN1</t>
  </si>
  <si>
    <t>TD1200000651/MN</t>
  </si>
  <si>
    <t>CG1300000052/MN</t>
  </si>
  <si>
    <t>GA1100001062/MN</t>
  </si>
  <si>
    <t>GA1100001047/MN</t>
  </si>
  <si>
    <t>CM1200000816/MN</t>
  </si>
  <si>
    <t>CM1200000824/MN</t>
  </si>
  <si>
    <t>CF1200000351/MN1</t>
  </si>
  <si>
    <t>GA1200000931/MN</t>
  </si>
  <si>
    <t>TD1300000395/MN</t>
  </si>
  <si>
    <t>GA1100001070/MN</t>
  </si>
  <si>
    <t>CM1200000832/MN</t>
  </si>
  <si>
    <t>CG1100000161/MN</t>
  </si>
  <si>
    <t>TD1200000685/MN</t>
  </si>
  <si>
    <t>TD1200000677/MN</t>
  </si>
  <si>
    <t>GA1300000369/MN</t>
  </si>
  <si>
    <t>GA1100001096/MN</t>
  </si>
  <si>
    <t>GA1100001104/MN</t>
  </si>
  <si>
    <t>GA1100001088/MN</t>
  </si>
  <si>
    <t>TD1200000701/MN</t>
  </si>
  <si>
    <t>TD1200000693/MN</t>
  </si>
  <si>
    <t>GA1200000949/MN</t>
  </si>
  <si>
    <t>TD1200000719/MN</t>
  </si>
  <si>
    <t>TD1200000727/MN</t>
  </si>
  <si>
    <t>CM1200000840/MN</t>
  </si>
  <si>
    <t>CM1200000857/MN</t>
  </si>
  <si>
    <t>GQ1300000742/MN</t>
  </si>
  <si>
    <t>CM1300000468/MN</t>
  </si>
  <si>
    <t>CG1300000060/MN</t>
  </si>
  <si>
    <t>GQ1300000734/MN</t>
  </si>
  <si>
    <t>CG1200000301</t>
  </si>
  <si>
    <t>CM1200000865</t>
  </si>
  <si>
    <t>CM1300000476</t>
  </si>
  <si>
    <t>GA1100001112</t>
  </si>
  <si>
    <t>GA1100001120</t>
  </si>
  <si>
    <t>GA1200000956</t>
  </si>
  <si>
    <t>GA1200000964</t>
  </si>
  <si>
    <t>GQ1200000032</t>
  </si>
  <si>
    <t>GQ1300000759</t>
  </si>
  <si>
    <t>TD1200000735</t>
  </si>
  <si>
    <t>TD1200000750</t>
  </si>
  <si>
    <t>TD1200000768</t>
  </si>
  <si>
    <t>GQ1300000767/MN</t>
  </si>
  <si>
    <t>TD1200000784/MN</t>
  </si>
  <si>
    <t>GA1200000972/MN</t>
  </si>
  <si>
    <t>TD1200000776/MN</t>
  </si>
  <si>
    <t>CG1200000319/MN</t>
  </si>
  <si>
    <t>CM1200000873/MN</t>
  </si>
  <si>
    <t>GA1200000980/MN1</t>
  </si>
  <si>
    <t>TD1200000792/MN</t>
  </si>
  <si>
    <t>GA1100001138/MN</t>
  </si>
  <si>
    <t>CF1200000369/MN</t>
  </si>
  <si>
    <t>CG1300000078/MN</t>
  </si>
  <si>
    <t>GA1300000377/MN</t>
  </si>
  <si>
    <t>CM1300000484/MN</t>
  </si>
  <si>
    <t>GQ1300000775/MN</t>
  </si>
  <si>
    <t>CG1300000078/MN1</t>
  </si>
  <si>
    <t>CM1200000881/MN</t>
  </si>
  <si>
    <t>GA1100001146/MN</t>
  </si>
  <si>
    <t>GQ1300000783/MN</t>
  </si>
  <si>
    <t>GA1100001153/MN</t>
  </si>
  <si>
    <t>CG1300000086/MN</t>
  </si>
  <si>
    <t>GA1200000998/MN</t>
  </si>
  <si>
    <t>GQ1300000791/MN</t>
  </si>
  <si>
    <t>TD1200000800/MN</t>
  </si>
  <si>
    <t>GA1100001161/MN</t>
  </si>
  <si>
    <t>GA1100001179/MN</t>
  </si>
  <si>
    <t>CM1200000899/MN</t>
  </si>
  <si>
    <t>GQ1300000809/MN</t>
  </si>
  <si>
    <t>CM1200000907/MN</t>
  </si>
  <si>
    <t>GA1200001004/MN</t>
  </si>
  <si>
    <t>TD1200000818/MN</t>
  </si>
  <si>
    <t>CF1200000377/MN</t>
  </si>
  <si>
    <t>République Centrafricaine</t>
  </si>
  <si>
    <t>CG1200000327/MN</t>
  </si>
  <si>
    <t>GA1100001187/MN</t>
  </si>
  <si>
    <t>TD1200000826/MN</t>
  </si>
  <si>
    <t>GA1100001195/MN</t>
  </si>
  <si>
    <t>CM1300000492/MN</t>
  </si>
  <si>
    <t>TD1200000834/MN</t>
  </si>
  <si>
    <t>GA1300000385/MN1</t>
  </si>
  <si>
    <t>GA1200001012/MN</t>
  </si>
  <si>
    <t>CG1200000335/MN1</t>
  </si>
  <si>
    <t>GA1300000393/MN</t>
  </si>
  <si>
    <t>TD1200000842/MN1</t>
  </si>
  <si>
    <t>CM1200000915/MN</t>
  </si>
  <si>
    <t>GA1100001203/MN</t>
  </si>
  <si>
    <t>TD1200000859/MN</t>
  </si>
  <si>
    <t xml:space="preserve">GA1100001211/MN </t>
  </si>
  <si>
    <t>GQ1300000817/MN</t>
  </si>
  <si>
    <t>CM1100000833/MN</t>
  </si>
  <si>
    <t>GA1200001020/MN</t>
  </si>
  <si>
    <t>GQ1300000825/MN</t>
  </si>
  <si>
    <t>TD1200000867/MN</t>
  </si>
  <si>
    <t>CM1200000923/MN</t>
  </si>
  <si>
    <t>GA1200001038/MN</t>
  </si>
  <si>
    <t>TD1200000875/MN</t>
  </si>
  <si>
    <t>GA1100001229/MN</t>
  </si>
  <si>
    <t>TD1200000883/MN</t>
  </si>
  <si>
    <t>CM1300000500/MN</t>
  </si>
  <si>
    <t>GA1100001237/MN</t>
  </si>
  <si>
    <t>TD1200000891/MN</t>
  </si>
  <si>
    <t>CG1200000343/MN</t>
  </si>
  <si>
    <t>CM1300000518/MN</t>
  </si>
  <si>
    <t>GA1200001046/MN</t>
  </si>
  <si>
    <t>GQ1300000833/MN</t>
  </si>
  <si>
    <t>TD1200000909/MN</t>
  </si>
  <si>
    <t>CG1200000350/MN</t>
  </si>
  <si>
    <t>CM1200000931/MN</t>
  </si>
  <si>
    <t>GA1200001053/MN</t>
  </si>
  <si>
    <t>GA1100001245</t>
  </si>
  <si>
    <t>TD1200000917</t>
  </si>
  <si>
    <t>TD1200000925/MN</t>
  </si>
  <si>
    <t>GA1200001061/MN</t>
  </si>
  <si>
    <t>GQ1300000841/MN</t>
  </si>
  <si>
    <t>CM1200000949/MN</t>
  </si>
  <si>
    <t>GA1100001252/MN</t>
  </si>
  <si>
    <t>GQ1300000858/MN</t>
  </si>
  <si>
    <t>TD1200000933/MN</t>
  </si>
  <si>
    <t>GA1200001079/MN</t>
  </si>
  <si>
    <t>TD1200000941/MN</t>
  </si>
  <si>
    <t>CF1200000385/MN</t>
  </si>
  <si>
    <t>GA1200001087/MN</t>
  </si>
  <si>
    <t>TD1200000958/MN</t>
  </si>
  <si>
    <t>GQ1300000866/MN</t>
  </si>
  <si>
    <t>CG1100000179/MN</t>
  </si>
  <si>
    <t>TD1200000966/MN</t>
  </si>
  <si>
    <t>GA1100001260/MN</t>
  </si>
  <si>
    <t>CM120000956/MN</t>
  </si>
  <si>
    <t>CG1200000368/MN</t>
  </si>
  <si>
    <t>GA1100001278/MN</t>
  </si>
  <si>
    <t>TD1200000974/MN</t>
  </si>
  <si>
    <t>GA1300000401/MN</t>
  </si>
  <si>
    <t>GQ1300000874/MN</t>
  </si>
  <si>
    <t>GA1200001095/MN</t>
  </si>
  <si>
    <t>GQ1300000882/MN</t>
  </si>
  <si>
    <t>TD1200000982/MN</t>
  </si>
  <si>
    <t>GA1100001286/MN</t>
  </si>
  <si>
    <t>CG1200000376/MN</t>
  </si>
  <si>
    <t>TD1200000990/MN</t>
  </si>
  <si>
    <t>GQ1300000890/MN</t>
  </si>
  <si>
    <t>GA1200001103/MN</t>
  </si>
  <si>
    <t>GA1200001111/MN</t>
  </si>
  <si>
    <t>CM120000964/MN</t>
  </si>
  <si>
    <t>CF1200000393/MN</t>
  </si>
  <si>
    <t>CG1200000384/MN</t>
  </si>
  <si>
    <t>GA1200001129/MN</t>
  </si>
  <si>
    <t>GQ1300000908/MN</t>
  </si>
  <si>
    <t>TD1200001006/MN</t>
  </si>
  <si>
    <t>TD1200001014/MN</t>
  </si>
  <si>
    <t>GA1100001294/MN</t>
  </si>
  <si>
    <t>GA1200001137/MN</t>
  </si>
  <si>
    <t>CG1200000392/MN</t>
  </si>
  <si>
    <t>GQ1300000916/MN</t>
  </si>
  <si>
    <t>GA1100001302/MN</t>
  </si>
  <si>
    <t>TD1200001022/MN</t>
  </si>
  <si>
    <t>GA1200001145/MN</t>
  </si>
  <si>
    <t>GQ1300000924/MN</t>
  </si>
  <si>
    <t>TD1200001030/MN</t>
  </si>
  <si>
    <t>CG1100000187/MN</t>
  </si>
  <si>
    <t>TD1200001048/MN</t>
  </si>
  <si>
    <t>GA1300000419/MN</t>
  </si>
  <si>
    <t>GA1100001310/MN</t>
  </si>
  <si>
    <t>TD1200001055/MN</t>
  </si>
  <si>
    <t>CM1200000972/MN</t>
  </si>
  <si>
    <t>GA1100001328/MN</t>
  </si>
  <si>
    <t>CM1100000841/MN</t>
  </si>
  <si>
    <t>CG1200000400/MN</t>
  </si>
  <si>
    <t>GA1100001328/MN2</t>
  </si>
  <si>
    <t>GA1200001152/MN</t>
  </si>
  <si>
    <t>TD1200001063/MN</t>
  </si>
  <si>
    <t>CM1200000980</t>
  </si>
  <si>
    <t>GA1200001160</t>
  </si>
  <si>
    <t>TD1200001071/MN</t>
  </si>
  <si>
    <t>GQ1300000932/MN</t>
  </si>
  <si>
    <t>CG1200000418/MN</t>
  </si>
  <si>
    <t>GA1100001336/MN</t>
  </si>
  <si>
    <t>GA1200001152/MN2</t>
  </si>
  <si>
    <t>TD1200001089/MN</t>
  </si>
  <si>
    <t>CM1300000526</t>
  </si>
  <si>
    <t>TD1200001097/MN</t>
  </si>
  <si>
    <t>CG1300000094/MN</t>
  </si>
  <si>
    <t>GA1200001178/MN</t>
  </si>
  <si>
    <t>GQ1300000940/MN</t>
  </si>
  <si>
    <t>TD1200001105/MN</t>
  </si>
  <si>
    <t>CM1200000998/MN</t>
  </si>
  <si>
    <t>GA1200001186/MN</t>
  </si>
  <si>
    <t>CG1300000094/MN1</t>
  </si>
  <si>
    <t>CM1300000534/MN</t>
  </si>
  <si>
    <t>CM1200001004/MN</t>
  </si>
  <si>
    <t>CG1200000426/MN</t>
  </si>
  <si>
    <t>GA1100001344/MN</t>
  </si>
  <si>
    <t>TD1200001113/MN</t>
  </si>
  <si>
    <t>CG1300000102/MN</t>
  </si>
  <si>
    <t>GA1100001344/MN2</t>
  </si>
  <si>
    <t>GA1300000427/MN</t>
  </si>
  <si>
    <t>TD1200001121/MN</t>
  </si>
  <si>
    <t>CM1200001012</t>
  </si>
  <si>
    <t>CG1100000195</t>
  </si>
  <si>
    <t>GA1200001194</t>
  </si>
  <si>
    <t>TD1200001139</t>
  </si>
  <si>
    <t>CF1200000401/MN</t>
  </si>
  <si>
    <t>CG1200000434</t>
  </si>
  <si>
    <t>GA1200001202/NM</t>
  </si>
  <si>
    <t>GQ1300000957/MN</t>
  </si>
  <si>
    <t>TD1100000124/NM</t>
  </si>
  <si>
    <t>TD1200001147/NM</t>
  </si>
  <si>
    <t>GA1300000427/NM1</t>
  </si>
  <si>
    <t>GA1200001210/NM</t>
  </si>
  <si>
    <t>TD1200001154</t>
  </si>
  <si>
    <t>CG1200000442</t>
  </si>
  <si>
    <t>GA1300000435/NM</t>
  </si>
  <si>
    <t>GQ1300000965/MN</t>
  </si>
  <si>
    <t>TD1200001162</t>
  </si>
  <si>
    <t>TD1300000411</t>
  </si>
  <si>
    <t>CM1200001020</t>
  </si>
  <si>
    <t>CG1100000203</t>
  </si>
  <si>
    <t>CG1300000110</t>
  </si>
  <si>
    <t>GA1200001210/NM1</t>
  </si>
  <si>
    <t>GA1300000443</t>
  </si>
  <si>
    <t>GQ1300000973</t>
  </si>
  <si>
    <t>TD1200001170</t>
  </si>
  <si>
    <t>CM1300000542</t>
  </si>
  <si>
    <t>CG1200000459/MN</t>
  </si>
  <si>
    <t>GA1100001351</t>
  </si>
  <si>
    <t>CG1200000467/MN</t>
  </si>
  <si>
    <t>GA1300000450/MN</t>
  </si>
  <si>
    <t>GQ1300000981</t>
  </si>
  <si>
    <t>TD1200001188/MN</t>
  </si>
  <si>
    <t>TD1300000429</t>
  </si>
  <si>
    <t>CG1300000094/MN2</t>
  </si>
  <si>
    <t>GA1200001228/MN</t>
  </si>
  <si>
    <t>GQ1300000999</t>
  </si>
  <si>
    <t>GA1300000401/MN1</t>
  </si>
  <si>
    <t>GA1100001369/MN</t>
  </si>
  <si>
    <t>TD1200001196/MN</t>
  </si>
  <si>
    <t>GA1200001236/MN</t>
  </si>
  <si>
    <t>GA1200001244/MN</t>
  </si>
  <si>
    <t>CM1200001038</t>
  </si>
  <si>
    <t>GQ1300001005</t>
  </si>
  <si>
    <t>TD1300000437/MN</t>
  </si>
  <si>
    <t>GA1100001377/MN</t>
  </si>
  <si>
    <t>TD1300000445/MN</t>
  </si>
  <si>
    <t>GA1100001385/MN</t>
  </si>
  <si>
    <t>CG1100000211/MN</t>
  </si>
  <si>
    <t>CM1200001046</t>
  </si>
  <si>
    <t>CG1200000475/MN</t>
  </si>
  <si>
    <t>GA1200001251/MN</t>
  </si>
  <si>
    <t>TD1300000452/MN</t>
  </si>
  <si>
    <t>CM1200001053</t>
  </si>
  <si>
    <t>CF1300000012/MN</t>
  </si>
  <si>
    <t>GA1300000476/MN</t>
  </si>
  <si>
    <t>GQ1300001013</t>
  </si>
  <si>
    <t>TD1300000460/MN</t>
  </si>
  <si>
    <t>CG1200000483/MN</t>
  </si>
  <si>
    <t>GA1200001269/MN</t>
  </si>
  <si>
    <t>TD1300000478/MN</t>
  </si>
  <si>
    <t>CM1100000858</t>
  </si>
  <si>
    <t>GA1100001393/MN</t>
  </si>
  <si>
    <t>TD1300000486/MN</t>
  </si>
  <si>
    <t>GA1200001277/MN</t>
  </si>
  <si>
    <t>GQ1300001021</t>
  </si>
  <si>
    <t>CG1200000491/MN</t>
  </si>
  <si>
    <t>GA1200001285/MN</t>
  </si>
  <si>
    <t>TD1200001204/MN</t>
  </si>
  <si>
    <t>CM1100000866</t>
  </si>
  <si>
    <t>GA1100001401/MN</t>
  </si>
  <si>
    <t>TD1300000494/MN</t>
  </si>
  <si>
    <t>CM1100000874</t>
  </si>
  <si>
    <t>GA1200001293</t>
  </si>
  <si>
    <t>TD1300000502/MN</t>
  </si>
  <si>
    <t>CM1300000559/MN</t>
  </si>
  <si>
    <t>GA1100001419/MN</t>
  </si>
  <si>
    <t>TD1300000510/MN</t>
  </si>
  <si>
    <t>CM1100000882</t>
  </si>
  <si>
    <t>GA1200001301</t>
  </si>
  <si>
    <t>TD1300000528</t>
  </si>
  <si>
    <t>CM1200001061</t>
  </si>
  <si>
    <t>CG1100000229/MN</t>
  </si>
  <si>
    <t>CG1200000509/MN</t>
  </si>
  <si>
    <t>GA1200001319</t>
  </si>
  <si>
    <t>CG1300000128</t>
  </si>
  <si>
    <t>GA1300000484</t>
  </si>
  <si>
    <t>TD1300000536</t>
  </si>
  <si>
    <t>CG1200000517</t>
  </si>
  <si>
    <t>GA1100001427</t>
  </si>
  <si>
    <t>TD1300000544</t>
  </si>
  <si>
    <t>CM1200001079</t>
  </si>
  <si>
    <t>CF1200000419/MN</t>
  </si>
  <si>
    <t>CG1200000517/MN2</t>
  </si>
  <si>
    <t>GA1200001327</t>
  </si>
  <si>
    <t>TD1200001212/MN</t>
  </si>
  <si>
    <t>GA1200001335</t>
  </si>
  <si>
    <t>TD1300000569</t>
  </si>
  <si>
    <t>CG1300000136</t>
  </si>
  <si>
    <t>CG1100000237/MN</t>
  </si>
  <si>
    <t>GA1200001343</t>
  </si>
  <si>
    <t>TD1200001220/MN</t>
  </si>
  <si>
    <t>CM1200001087</t>
  </si>
  <si>
    <t>CG1200000525/MN1</t>
  </si>
  <si>
    <t>GA1100001435</t>
  </si>
  <si>
    <t>GQ1300001039</t>
  </si>
  <si>
    <t>CM1200001095</t>
  </si>
  <si>
    <t>CG1300000144</t>
  </si>
  <si>
    <t>GA1100001435/MN1</t>
  </si>
  <si>
    <t>TD1200001238</t>
  </si>
  <si>
    <t>CG1200000533</t>
  </si>
  <si>
    <t>GA1200001350</t>
  </si>
  <si>
    <t>GQ1300001047</t>
  </si>
  <si>
    <t>CM1100000890</t>
  </si>
  <si>
    <t>CG1100000245/MN</t>
  </si>
  <si>
    <t>CG1200000541</t>
  </si>
  <si>
    <t>GA1200001343/MN2</t>
  </si>
  <si>
    <t>GA1100001443/MN</t>
  </si>
  <si>
    <t>GQ1300001054</t>
  </si>
  <si>
    <t>TD1200001246</t>
  </si>
  <si>
    <t>CM1300000567</t>
  </si>
  <si>
    <t>GA1200001368</t>
  </si>
  <si>
    <t>CG1200000558</t>
  </si>
  <si>
    <t>GA1200001376</t>
  </si>
  <si>
    <t>GQ1300001062</t>
  </si>
  <si>
    <t>TD1200001253</t>
  </si>
  <si>
    <t>CM1300000575</t>
  </si>
  <si>
    <t>CF1200000419/MN4</t>
  </si>
  <si>
    <t>CG1300000151</t>
  </si>
  <si>
    <t>GA1300000492</t>
  </si>
  <si>
    <t>CM1100000908</t>
  </si>
  <si>
    <t>CG1200000566</t>
  </si>
  <si>
    <t>GA1100001443/MN1</t>
  </si>
  <si>
    <t>GA1200001384</t>
  </si>
  <si>
    <t>GQ1300001070</t>
  </si>
  <si>
    <t>CG1100000252/MN</t>
  </si>
  <si>
    <t>CG1200000566/MN1</t>
  </si>
  <si>
    <t>GA1200001392</t>
  </si>
  <si>
    <t>GQ1300001088</t>
  </si>
  <si>
    <t>CM1100000916</t>
  </si>
  <si>
    <t>CG1300000144/MN2</t>
  </si>
  <si>
    <t>GA1200001400</t>
  </si>
  <si>
    <t>GA1100001443/MN2</t>
  </si>
  <si>
    <t>jugée infructueuse par le Trésor</t>
  </si>
  <si>
    <t>CG1200000574/MN</t>
  </si>
  <si>
    <t>GA1300000500</t>
  </si>
  <si>
    <t>GQ1300001096</t>
  </si>
  <si>
    <t>CM1100000924</t>
  </si>
  <si>
    <t>CM1200001103</t>
  </si>
  <si>
    <t>CG1200000582/MN</t>
  </si>
  <si>
    <t>GA1200001418</t>
  </si>
  <si>
    <t>CG1300000169/MN</t>
  </si>
  <si>
    <t>GA1200001426</t>
  </si>
  <si>
    <t>CG1300000177/MN</t>
  </si>
  <si>
    <t>GA1300000518</t>
  </si>
  <si>
    <t>CG1200000590/MN</t>
  </si>
  <si>
    <t>GA1200001434</t>
  </si>
  <si>
    <t>TD1200001261</t>
  </si>
  <si>
    <t>CM1200001111</t>
  </si>
  <si>
    <t>CG1100000260/MN2</t>
  </si>
  <si>
    <t>GA1200001442</t>
  </si>
  <si>
    <t>CG1100000260/MN4</t>
  </si>
  <si>
    <t>GA1200001376/MN2</t>
  </si>
  <si>
    <t>GA1300000526</t>
  </si>
  <si>
    <t>GQ1300001104</t>
  </si>
  <si>
    <t>CM1300000583</t>
  </si>
  <si>
    <t>CG1200000608</t>
  </si>
  <si>
    <t>CM1200001111/MN3</t>
  </si>
  <si>
    <t>CG1200000608/MN2</t>
  </si>
  <si>
    <t>CG1100000278/MN1</t>
  </si>
  <si>
    <t>GA1200001459</t>
  </si>
  <si>
    <t>GQ1300001112</t>
  </si>
  <si>
    <t>CM1200001129</t>
  </si>
  <si>
    <t>CG1200000616</t>
  </si>
  <si>
    <t>GA1200001467</t>
  </si>
  <si>
    <t>CM1200001137</t>
  </si>
  <si>
    <t>CG1300000185/MN</t>
  </si>
  <si>
    <t>GA1100001450/MN</t>
  </si>
  <si>
    <t>CM1200001145</t>
  </si>
  <si>
    <t>GA1200001475</t>
  </si>
  <si>
    <t>GQ1300001120</t>
  </si>
  <si>
    <t>GA1300005234</t>
  </si>
  <si>
    <t>CM1100000932</t>
  </si>
  <si>
    <t>TD1300000577</t>
  </si>
  <si>
    <t>CG1100000286/MN</t>
  </si>
  <si>
    <t>GA1200001483</t>
  </si>
  <si>
    <t>GA1200001491</t>
  </si>
  <si>
    <t>TD1200001279</t>
  </si>
  <si>
    <t>CG1200000624</t>
  </si>
  <si>
    <t>GA1200001509/MN1</t>
  </si>
  <si>
    <t>TD1200001287</t>
  </si>
  <si>
    <t>CM1100000940</t>
  </si>
  <si>
    <t>CG1100000294/MN</t>
  </si>
  <si>
    <t>GA1100001468/MN</t>
  </si>
  <si>
    <t>TD1300000585</t>
  </si>
  <si>
    <t>CG1300000193/MN</t>
  </si>
  <si>
    <t>GA1200001517</t>
  </si>
  <si>
    <t>CG1200000632</t>
  </si>
  <si>
    <t>GA1200001525</t>
  </si>
  <si>
    <t>GQ1300001138</t>
  </si>
  <si>
    <t>TD1200001295</t>
  </si>
  <si>
    <t>CG1100000302</t>
  </si>
  <si>
    <t>GA1100001476/MN</t>
  </si>
  <si>
    <t>GQ1300001146</t>
  </si>
  <si>
    <t>TD1200001303</t>
  </si>
  <si>
    <t>CG1200000640</t>
  </si>
  <si>
    <t>GA1100001484/MN</t>
  </si>
  <si>
    <t>TD1200001311</t>
  </si>
  <si>
    <t>CG1100000310</t>
  </si>
  <si>
    <t>GA1300000542</t>
  </si>
  <si>
    <t>TD1300000593</t>
  </si>
  <si>
    <t>CG1200000657</t>
  </si>
  <si>
    <t>GQ1300001153/MN1</t>
  </si>
  <si>
    <t>TD1200001329</t>
  </si>
  <si>
    <t>GA1100001492/MN</t>
  </si>
  <si>
    <t>TD1200001337</t>
  </si>
  <si>
    <t>CG1200000665</t>
  </si>
  <si>
    <t>GA1200001533</t>
  </si>
  <si>
    <t>TD1300000601</t>
  </si>
  <si>
    <t>CG1100000328</t>
  </si>
  <si>
    <t>GA1100001500</t>
  </si>
  <si>
    <t>TD1200001345</t>
  </si>
  <si>
    <t>CG1200000673</t>
  </si>
  <si>
    <t>GA1300000559</t>
  </si>
  <si>
    <t>TD1200001352</t>
  </si>
  <si>
    <t>CG1100000336</t>
  </si>
  <si>
    <t>GA1200001541</t>
  </si>
  <si>
    <t>TD1200001360</t>
  </si>
  <si>
    <t>CM1200001152</t>
  </si>
  <si>
    <t>CG1100000336/MN4</t>
  </si>
  <si>
    <t>GA1200001558</t>
  </si>
  <si>
    <t>TD1200001378</t>
  </si>
  <si>
    <t>CM1200001160</t>
  </si>
  <si>
    <t>CG1200000681</t>
  </si>
  <si>
    <t>GQ1300001161</t>
  </si>
  <si>
    <t>GA1100001518</t>
  </si>
  <si>
    <t>CG1100000344</t>
  </si>
  <si>
    <t>GA1200001566</t>
  </si>
  <si>
    <t>CM1200001178</t>
  </si>
  <si>
    <t>CG1200000699</t>
  </si>
  <si>
    <t>GA1200001574</t>
  </si>
  <si>
    <t>TD1200001402</t>
  </si>
  <si>
    <t>CG1300000201/MN</t>
  </si>
  <si>
    <t>GA1100001526</t>
  </si>
  <si>
    <t>TD1200001410</t>
  </si>
  <si>
    <t>CM1300000591</t>
  </si>
  <si>
    <t>GA1100001534</t>
  </si>
  <si>
    <t>GQ1300001179</t>
  </si>
  <si>
    <t>TD1200001428</t>
  </si>
  <si>
    <t>CM1300000609</t>
  </si>
  <si>
    <t>CG1200000707</t>
  </si>
  <si>
    <t>GA1300000567</t>
  </si>
  <si>
    <t>TD1200001436</t>
  </si>
  <si>
    <t>CM1200001186</t>
  </si>
  <si>
    <t>CG1100000351</t>
  </si>
  <si>
    <t>GA1200001582</t>
  </si>
  <si>
    <t>TD1300000619</t>
  </si>
  <si>
    <t>CG1300000219/MN</t>
  </si>
  <si>
    <t>GA1100001542</t>
  </si>
  <si>
    <t>TD1300000627</t>
  </si>
  <si>
    <t>CM1100000957</t>
  </si>
  <si>
    <t>CG1200000715</t>
  </si>
  <si>
    <t>GA1200001590</t>
  </si>
  <si>
    <t>TD1200001444</t>
  </si>
  <si>
    <t>CG1100000369</t>
  </si>
  <si>
    <t>GA1100001559</t>
  </si>
  <si>
    <t>CG1200000723</t>
  </si>
  <si>
    <t>GA1300000575</t>
  </si>
  <si>
    <t>TD1200001451</t>
  </si>
  <si>
    <t>CM1200001194</t>
  </si>
  <si>
    <t>CG1100000377</t>
  </si>
  <si>
    <t>GA1200001608</t>
  </si>
  <si>
    <t>TD1200001469</t>
  </si>
  <si>
    <t>CG1200000731</t>
  </si>
  <si>
    <t>GA1300000583</t>
  </si>
  <si>
    <t>TD1200001477</t>
  </si>
  <si>
    <t>CM1200001202</t>
  </si>
  <si>
    <t>GA1200001616</t>
  </si>
  <si>
    <t>CG1200000749</t>
  </si>
  <si>
    <t>GA1200001624</t>
  </si>
  <si>
    <t>GA1300000591</t>
  </si>
  <si>
    <t>TD1200001485</t>
  </si>
  <si>
    <t>CM1200001210</t>
  </si>
  <si>
    <t>CG1200000756</t>
  </si>
  <si>
    <t>GA1200001632</t>
  </si>
  <si>
    <t>TD1200001493</t>
  </si>
  <si>
    <t>CM1200001228</t>
  </si>
  <si>
    <t>CG1300000227</t>
  </si>
  <si>
    <t>GA1100001567</t>
  </si>
  <si>
    <t>TD1200001501</t>
  </si>
  <si>
    <t>CM1300000617</t>
  </si>
  <si>
    <t>CF1200000427</t>
  </si>
  <si>
    <t>CG1200000764</t>
  </si>
  <si>
    <t>GA1100001575</t>
  </si>
  <si>
    <t>CM1200001236</t>
  </si>
  <si>
    <t>CG1100000385</t>
  </si>
  <si>
    <t>CG1200000772</t>
  </si>
  <si>
    <t>TD1200001519</t>
  </si>
  <si>
    <t>CG1200000780</t>
  </si>
  <si>
    <t>GA1100001583</t>
  </si>
  <si>
    <t>CM1100000973</t>
  </si>
  <si>
    <t>GA1200001640</t>
  </si>
  <si>
    <t>CG1200000798</t>
  </si>
  <si>
    <t>CG1200000806</t>
  </si>
  <si>
    <t>GA1200001657</t>
  </si>
  <si>
    <t>TD1200001527</t>
  </si>
  <si>
    <t>CG1100000393</t>
  </si>
  <si>
    <t>GA1100001591</t>
  </si>
  <si>
    <t>TD1300000635</t>
  </si>
  <si>
    <t>CG1200000814</t>
  </si>
  <si>
    <t>CG1300000235</t>
  </si>
  <si>
    <t>GA1200001665</t>
  </si>
  <si>
    <t>TD1200001535</t>
  </si>
  <si>
    <t>CM1200001244</t>
  </si>
  <si>
    <t>CG1200000822</t>
  </si>
  <si>
    <t>GA1100001609</t>
  </si>
  <si>
    <t>CG1100000401</t>
  </si>
  <si>
    <t>CG1200000830</t>
  </si>
  <si>
    <t>CG1300000243</t>
  </si>
  <si>
    <t>GA1200001673</t>
  </si>
  <si>
    <t>CM1100000981</t>
  </si>
  <si>
    <t>CM1200001251</t>
  </si>
  <si>
    <t>CM1300000625</t>
  </si>
  <si>
    <t>GA1200001681</t>
  </si>
  <si>
    <t>CG1100000401/MN2</t>
  </si>
  <si>
    <t>CM1200001269</t>
  </si>
  <si>
    <t>CG1200000848</t>
  </si>
  <si>
    <t>GA1100001617</t>
  </si>
  <si>
    <t>CM1100000999</t>
  </si>
  <si>
    <t>CM1200001277</t>
  </si>
  <si>
    <t>GA1200001699</t>
  </si>
  <si>
    <t>GQ1200000040</t>
  </si>
  <si>
    <t>CG1200000855</t>
  </si>
  <si>
    <t>GA1100001625</t>
  </si>
  <si>
    <t>TD1300000643</t>
  </si>
  <si>
    <t>CG1300000250</t>
  </si>
  <si>
    <t>GQ1200000057</t>
  </si>
  <si>
    <t>TD1200001550</t>
  </si>
  <si>
    <t>GA1300000609</t>
  </si>
  <si>
    <t>CM1200001285</t>
  </si>
  <si>
    <t>CG1100000419</t>
  </si>
  <si>
    <t>CG1200000863</t>
  </si>
  <si>
    <t>GA1100001633</t>
  </si>
  <si>
    <t>CG1100000427</t>
  </si>
  <si>
    <t>GA1100001641</t>
  </si>
  <si>
    <t>GQ1300001187</t>
  </si>
  <si>
    <t>CG1200000871</t>
  </si>
  <si>
    <t>CG1300000268</t>
  </si>
  <si>
    <t>GA1200001707</t>
  </si>
  <si>
    <t>GQ1200000065</t>
  </si>
  <si>
    <t>TD1200001568</t>
  </si>
  <si>
    <t>CM1100001005</t>
  </si>
  <si>
    <t>CM1200001293</t>
  </si>
  <si>
    <t>CG1200000889</t>
  </si>
  <si>
    <t>GA1200001715</t>
  </si>
  <si>
    <t>CG1300000284</t>
  </si>
  <si>
    <t>CG1100000435</t>
  </si>
  <si>
    <t>GA1300000617</t>
  </si>
  <si>
    <t>TD1200001576</t>
  </si>
  <si>
    <t>CM1200001301</t>
  </si>
  <si>
    <t>GA1200001723</t>
  </si>
  <si>
    <t>GQ1200000073</t>
  </si>
  <si>
    <t>TD1200001584</t>
  </si>
  <si>
    <t>CF1300000020</t>
  </si>
  <si>
    <t>CG1100000443</t>
  </si>
  <si>
    <t>CG1200000897</t>
  </si>
  <si>
    <t>CG1300000292</t>
  </si>
  <si>
    <t>GA1100001658</t>
  </si>
  <si>
    <t>TD1200001592</t>
  </si>
  <si>
    <t>CM1300000633</t>
  </si>
  <si>
    <t>CG1100000443/MN1</t>
  </si>
  <si>
    <t>CG1200000897/MN1</t>
  </si>
  <si>
    <t>GQ1300001195</t>
  </si>
  <si>
    <t>GA1200001731</t>
  </si>
  <si>
    <t>CM1200001319</t>
  </si>
  <si>
    <t>CG1300000300</t>
  </si>
  <si>
    <t>CG1200000905</t>
  </si>
  <si>
    <t>GA1200001749</t>
  </si>
  <si>
    <t>CG1100000450</t>
  </si>
  <si>
    <t>CG1300000300/MN1</t>
  </si>
  <si>
    <t>GA1100001666</t>
  </si>
  <si>
    <t>GQ1300001203</t>
  </si>
  <si>
    <t>TD1200001600</t>
  </si>
  <si>
    <t>CM1200001327</t>
  </si>
  <si>
    <t>CG1200000913</t>
  </si>
  <si>
    <t>GA1200001756</t>
  </si>
  <si>
    <t>CM1200001335</t>
  </si>
  <si>
    <t>CG1100000468</t>
  </si>
  <si>
    <t>CG1200000921</t>
  </si>
  <si>
    <t>GA1100001674</t>
  </si>
  <si>
    <t>TD1200001618</t>
  </si>
  <si>
    <t>CF1200000435</t>
  </si>
  <si>
    <t>GA1300000625</t>
  </si>
  <si>
    <t>CM1200001350</t>
  </si>
  <si>
    <t>CG1200000939</t>
  </si>
  <si>
    <t>CG1300000318</t>
  </si>
  <si>
    <t>GQ1300001211</t>
  </si>
  <si>
    <t>GA1100001682</t>
  </si>
  <si>
    <t>TD1200001626</t>
  </si>
  <si>
    <t>CG1200000947</t>
  </si>
  <si>
    <t>CG1100000476</t>
  </si>
  <si>
    <t>GA1100001690</t>
  </si>
  <si>
    <t>CM1200001368</t>
  </si>
  <si>
    <t>CG1200000954</t>
  </si>
  <si>
    <t>GA1200001764</t>
  </si>
  <si>
    <t>GQ1300001229</t>
  </si>
  <si>
    <t>CM1100001013</t>
  </si>
  <si>
    <t>CG1100000484</t>
  </si>
  <si>
    <t>CG1200000962</t>
  </si>
  <si>
    <t>GA1200001772</t>
  </si>
  <si>
    <t>TD1200001634</t>
  </si>
  <si>
    <t>CG1100000492</t>
  </si>
  <si>
    <t>GA1200001780</t>
  </si>
  <si>
    <t>CM1100001021</t>
  </si>
  <si>
    <t>CM1200001376</t>
  </si>
  <si>
    <t>CG1200000970</t>
  </si>
  <si>
    <t>GA1300000633</t>
  </si>
  <si>
    <t>TD1200001642</t>
  </si>
  <si>
    <t>CM1100001039</t>
  </si>
  <si>
    <t>CG1100000500</t>
  </si>
  <si>
    <t>CG1200000988</t>
  </si>
  <si>
    <t>CG1300000326</t>
  </si>
  <si>
    <t>GA1200001798</t>
  </si>
  <si>
    <t>GQ1300001237</t>
  </si>
  <si>
    <t>TD1200001659</t>
  </si>
  <si>
    <t>CG1200000996</t>
  </si>
  <si>
    <t>GA1200001806</t>
  </si>
  <si>
    <t>TD1200001667</t>
  </si>
  <si>
    <t>CM1200001384</t>
  </si>
  <si>
    <t>CG1100000518</t>
  </si>
  <si>
    <t>GA1300000641</t>
  </si>
  <si>
    <t>CM1200001392</t>
  </si>
  <si>
    <t>CG1100000526</t>
  </si>
  <si>
    <t>CG1200001002</t>
  </si>
  <si>
    <t>GA1200001814</t>
  </si>
  <si>
    <t>CM1100001047</t>
  </si>
  <si>
    <t>CG1100000534</t>
  </si>
  <si>
    <t>CG1200001010</t>
  </si>
  <si>
    <t>CG1300000334</t>
  </si>
  <si>
    <t>GA1200001822</t>
  </si>
  <si>
    <t>GQ1200000081</t>
  </si>
  <si>
    <t>CG1100000542</t>
  </si>
  <si>
    <t>CG1200001028</t>
  </si>
  <si>
    <t>GA1100001708</t>
  </si>
  <si>
    <t>GA1300000658</t>
  </si>
  <si>
    <t>GA1200001830</t>
  </si>
  <si>
    <t>GA1100001716</t>
  </si>
  <si>
    <t>GQ1200000099</t>
  </si>
  <si>
    <t>TD1200001675</t>
  </si>
  <si>
    <t>CM1200001400</t>
  </si>
  <si>
    <t>CG1100000559</t>
  </si>
  <si>
    <t>CG1200001036</t>
  </si>
  <si>
    <t>CG1300000342</t>
  </si>
  <si>
    <t>GA1100001724</t>
  </si>
  <si>
    <t>GA1200001848</t>
  </si>
  <si>
    <t>TD1300000650</t>
  </si>
  <si>
    <t>CF1200000443</t>
  </si>
  <si>
    <t>CF1300000038</t>
  </si>
  <si>
    <t>CG1200001044</t>
  </si>
  <si>
    <t>GA1100001732</t>
  </si>
  <si>
    <t>TD1300000668</t>
  </si>
  <si>
    <t>CG1100000567</t>
  </si>
  <si>
    <t>CG1200001044/MN2</t>
  </si>
  <si>
    <t>GA1200001855</t>
  </si>
  <si>
    <t>TD1300000676</t>
  </si>
  <si>
    <t>CM1100001054</t>
  </si>
  <si>
    <t>CM1200001418</t>
  </si>
  <si>
    <t>CM1200001426</t>
  </si>
  <si>
    <t>CG1100000575</t>
  </si>
  <si>
    <t>CG1300000359</t>
  </si>
  <si>
    <t>GA1200001863</t>
  </si>
  <si>
    <t>TD1300000684</t>
  </si>
  <si>
    <t>CM1200001434</t>
  </si>
  <si>
    <t>CG1100000583</t>
  </si>
  <si>
    <t>CG1200001051</t>
  </si>
  <si>
    <t>GA1300000666</t>
  </si>
  <si>
    <t>TD1300000692</t>
  </si>
  <si>
    <t>TD1200001683</t>
  </si>
  <si>
    <t>CM1200001442</t>
  </si>
  <si>
    <t>CG1100000591</t>
  </si>
  <si>
    <t>CG1300000367</t>
  </si>
  <si>
    <t>GA1100001740</t>
  </si>
  <si>
    <t>GQ1300001245</t>
  </si>
  <si>
    <t>TD1200001691</t>
  </si>
  <si>
    <t>CM1100001062</t>
  </si>
  <si>
    <t>CG1100000609</t>
  </si>
  <si>
    <t>CG1200001069</t>
  </si>
  <si>
    <t>GA1200001871</t>
  </si>
  <si>
    <t>TD1200001709</t>
  </si>
  <si>
    <t>CF1200000435/MN2</t>
  </si>
  <si>
    <t>CG1200001069/MN2</t>
  </si>
  <si>
    <t>CG1100000617</t>
  </si>
  <si>
    <t>GA1200001889</t>
  </si>
  <si>
    <t>CM1200001459</t>
  </si>
  <si>
    <t>CG1200001077</t>
  </si>
  <si>
    <t>GA1100001757</t>
  </si>
  <si>
    <t>CG1100000625</t>
  </si>
  <si>
    <t>CG1200001085</t>
  </si>
  <si>
    <t>GA1200001897</t>
  </si>
  <si>
    <t>TD1300000700</t>
  </si>
  <si>
    <t>CM1200001467</t>
  </si>
  <si>
    <t>CM1300000641</t>
  </si>
  <si>
    <t>CG1100000633</t>
  </si>
  <si>
    <t>CG1200001093</t>
  </si>
  <si>
    <t>GA1200001905</t>
  </si>
  <si>
    <t>TD1200001717</t>
  </si>
  <si>
    <t>TD1300000718</t>
  </si>
  <si>
    <t>CM1200001475</t>
  </si>
  <si>
    <t>CG1100000641</t>
  </si>
  <si>
    <t>CG1200001093/MN2</t>
  </si>
  <si>
    <t>CG1300000375</t>
  </si>
  <si>
    <t>GA1100001765</t>
  </si>
  <si>
    <t>GQ1300001252</t>
  </si>
  <si>
    <t>TD1200001725</t>
  </si>
  <si>
    <t>CM1100001070</t>
  </si>
  <si>
    <t>CG1100000658</t>
  </si>
  <si>
    <t>CG1200001101</t>
  </si>
  <si>
    <t>GA1300000674</t>
  </si>
  <si>
    <t>CG1200001119</t>
  </si>
  <si>
    <t>CG1300000383</t>
  </si>
  <si>
    <t>GA1200001913</t>
  </si>
  <si>
    <t>GQ1300001260</t>
  </si>
  <si>
    <t>TD1200001733</t>
  </si>
  <si>
    <t>CG1100000666</t>
  </si>
  <si>
    <t>GA1100001773</t>
  </si>
  <si>
    <t>TD1300000726</t>
  </si>
  <si>
    <t>CM1200001483</t>
  </si>
  <si>
    <t>CG1100000674</t>
  </si>
  <si>
    <t>CG1200001127</t>
  </si>
  <si>
    <t>CG1300000391</t>
  </si>
  <si>
    <t>GA1200001921</t>
  </si>
  <si>
    <t>TD1200001741</t>
  </si>
  <si>
    <t>CM1200001491</t>
  </si>
  <si>
    <t>CG1100000682</t>
  </si>
  <si>
    <t>CG1300000417</t>
  </si>
  <si>
    <t>GQ1300001278</t>
  </si>
  <si>
    <t>GA1200001939</t>
  </si>
  <si>
    <t>GA1200001947</t>
  </si>
  <si>
    <t>GA1300000682</t>
  </si>
  <si>
    <t>TD1300000734</t>
  </si>
  <si>
    <t>CM1200001509</t>
  </si>
  <si>
    <t>CM1300000658</t>
  </si>
  <si>
    <t>CG1100000690</t>
  </si>
  <si>
    <t>GA1200001954</t>
  </si>
  <si>
    <t>CM1200001517</t>
  </si>
  <si>
    <t>CG1100000708</t>
  </si>
  <si>
    <t>CG1200001135</t>
  </si>
  <si>
    <t>CG1300000425</t>
  </si>
  <si>
    <t>GA1100001781</t>
  </si>
  <si>
    <t>TD1200001758</t>
  </si>
  <si>
    <t>CM1200001525</t>
  </si>
  <si>
    <t>CM1300000666</t>
  </si>
  <si>
    <t>CG1100000716</t>
  </si>
  <si>
    <t>CG1200001135/MN3</t>
  </si>
  <si>
    <t>CG1300000433</t>
  </si>
  <si>
    <t>GA1200001962</t>
  </si>
  <si>
    <t>GQ1300001286</t>
  </si>
  <si>
    <t>declarée infructueuse par le Trésor</t>
  </si>
  <si>
    <t>TD1200001766</t>
  </si>
  <si>
    <t>CG1100000724</t>
  </si>
  <si>
    <t>CG1200001143</t>
  </si>
  <si>
    <t>CG1300000441</t>
  </si>
  <si>
    <t>GA1200001970</t>
  </si>
  <si>
    <t>GQ1300001294</t>
  </si>
  <si>
    <t>TD1200001774</t>
  </si>
  <si>
    <t>CM1100001088</t>
  </si>
  <si>
    <t>CM1200001533</t>
  </si>
  <si>
    <t>CM1300000674</t>
  </si>
  <si>
    <t>CG1200001150</t>
  </si>
  <si>
    <t>GA1100001799</t>
  </si>
  <si>
    <t>CM1200001541</t>
  </si>
  <si>
    <t>CG1100000732</t>
  </si>
  <si>
    <t>GA1200001988</t>
  </si>
  <si>
    <t>CM1200001558</t>
  </si>
  <si>
    <t>CG1100000740</t>
  </si>
  <si>
    <t>CG1200001168</t>
  </si>
  <si>
    <t>GA1200001996</t>
  </si>
  <si>
    <t>GQ1300001302</t>
  </si>
  <si>
    <t>TD1200001782</t>
  </si>
  <si>
    <t>GA1100001807</t>
  </si>
  <si>
    <t>TD1200001790</t>
  </si>
  <si>
    <t>CM1100001096</t>
  </si>
  <si>
    <t>CF1200000450</t>
  </si>
  <si>
    <t>CG1100000757</t>
  </si>
  <si>
    <t>CG1200001176</t>
  </si>
  <si>
    <t>GA1200002002</t>
  </si>
  <si>
    <t>GQ1300001310</t>
  </si>
  <si>
    <t>TD1200001808</t>
  </si>
  <si>
    <t>CM1200001566</t>
  </si>
  <si>
    <t>CG1100000765</t>
  </si>
  <si>
    <t>CG1200001184</t>
  </si>
  <si>
    <t>GA1200002010</t>
  </si>
  <si>
    <t>GA1300000690</t>
  </si>
  <si>
    <t>CF1200000450/MN1</t>
  </si>
  <si>
    <t>CG1100000773</t>
  </si>
  <si>
    <t>CG1200001192</t>
  </si>
  <si>
    <t>CG1300000458</t>
  </si>
  <si>
    <t>GA1100001815</t>
  </si>
  <si>
    <t>CM1200001574</t>
  </si>
  <si>
    <t>CG1100000781</t>
  </si>
  <si>
    <t>CG1200001200</t>
  </si>
  <si>
    <t>CG1300000466</t>
  </si>
  <si>
    <t>GA1200002028</t>
  </si>
  <si>
    <t>GQ1200000107</t>
  </si>
  <si>
    <t>CM1200001582</t>
  </si>
  <si>
    <t>CG1200001218</t>
  </si>
  <si>
    <t>GQ1300001328</t>
  </si>
  <si>
    <t>TD1200001816</t>
  </si>
  <si>
    <t>GA1300000708</t>
  </si>
  <si>
    <t>CM1200001590</t>
  </si>
  <si>
    <t>CF1300000046</t>
  </si>
  <si>
    <t>CG1100000799</t>
  </si>
  <si>
    <t>CG1100000799/GREE</t>
  </si>
  <si>
    <t>CG1200001226</t>
  </si>
  <si>
    <t>CG1300000474</t>
  </si>
  <si>
    <t>GA1100001823</t>
  </si>
  <si>
    <t>GA1300000716</t>
  </si>
  <si>
    <t>TD1200001824</t>
  </si>
  <si>
    <t>CG1200001234</t>
  </si>
  <si>
    <t>CG1300000474/MN2</t>
  </si>
  <si>
    <t>GA1200002036</t>
  </si>
  <si>
    <t>TD1200001832</t>
  </si>
  <si>
    <t>CM1300000682</t>
  </si>
  <si>
    <t>CG1100000807</t>
  </si>
  <si>
    <t>CG1200001242</t>
  </si>
  <si>
    <t>CG1300000474/MN3</t>
  </si>
  <si>
    <t>GA1200002044</t>
  </si>
  <si>
    <t>TD1200001840</t>
  </si>
  <si>
    <t>CM1300000690</t>
  </si>
  <si>
    <t>CG1100000815</t>
  </si>
  <si>
    <t>CG1200001259</t>
  </si>
  <si>
    <t>GA1200002051</t>
  </si>
  <si>
    <t>CM1200001608</t>
  </si>
  <si>
    <t>CG1200001267</t>
  </si>
  <si>
    <t>GA1200002069</t>
  </si>
  <si>
    <t>GQ1300001336</t>
  </si>
  <si>
    <t>CG1200001101/MN1</t>
  </si>
  <si>
    <t>CG1200001119/MN1</t>
  </si>
  <si>
    <t>CG1200001135/MN4</t>
  </si>
  <si>
    <t>CG1100000823</t>
  </si>
  <si>
    <t>CG1300000482</t>
  </si>
  <si>
    <t>CM1200001616</t>
  </si>
  <si>
    <t>GA1200002077</t>
  </si>
  <si>
    <t>GQ1200000115</t>
  </si>
  <si>
    <t>CM1300000708</t>
  </si>
  <si>
    <t>CG1200001119/MN2</t>
  </si>
  <si>
    <t>CG1200001135/MN5</t>
  </si>
  <si>
    <t>CG1200001218/MN1</t>
  </si>
  <si>
    <t>CG1100000831</t>
  </si>
  <si>
    <t>CG1200001275</t>
  </si>
  <si>
    <t>CG1300000490</t>
  </si>
  <si>
    <t>GQ1200000123</t>
  </si>
  <si>
    <t>GA1200002085</t>
  </si>
  <si>
    <t>CM1200001624</t>
  </si>
  <si>
    <t>CG1200001119/MN3</t>
  </si>
  <si>
    <t>CG1200001218/MN2</t>
  </si>
  <si>
    <t>CG1100000849</t>
  </si>
  <si>
    <t>CG1100000849/MN1</t>
  </si>
  <si>
    <t>CG1200001289</t>
  </si>
  <si>
    <t>GA1200002093</t>
  </si>
  <si>
    <t>CM1200001632</t>
  </si>
  <si>
    <t>CF1300000053</t>
  </si>
  <si>
    <t>CG1100000856</t>
  </si>
  <si>
    <t>CG1200001291</t>
  </si>
  <si>
    <t>CG1300000508</t>
  </si>
  <si>
    <t>GA1300000724</t>
  </si>
  <si>
    <t>CG1100000864</t>
  </si>
  <si>
    <t>CG1200001309</t>
  </si>
  <si>
    <t>CG1300000516</t>
  </si>
  <si>
    <t>GA1200002101</t>
  </si>
  <si>
    <t>GQ1300001344</t>
  </si>
  <si>
    <t>TD1200001857</t>
  </si>
  <si>
    <t>CM1200001640</t>
  </si>
  <si>
    <t>CM1300000716</t>
  </si>
  <si>
    <t>GA1100001831</t>
  </si>
  <si>
    <t>TD1200001865</t>
  </si>
  <si>
    <t>CM1200001657</t>
  </si>
  <si>
    <t>CG1200001309/MN1</t>
  </si>
  <si>
    <t>CG1300000516/MN1</t>
  </si>
  <si>
    <t>GQ1300001351</t>
  </si>
  <si>
    <t>GA1200002119</t>
  </si>
  <si>
    <t>TD1200001873</t>
  </si>
  <si>
    <t>CM1200001665</t>
  </si>
  <si>
    <t>CG1200001317</t>
  </si>
  <si>
    <t>GA1100001849</t>
  </si>
  <si>
    <t>TD1200001881</t>
  </si>
  <si>
    <t>CM1200001673</t>
  </si>
  <si>
    <t>CG1100000872</t>
  </si>
  <si>
    <t>CG1200001325</t>
  </si>
  <si>
    <t>CG1300000516/MN3</t>
  </si>
  <si>
    <t>GA1100001856</t>
  </si>
  <si>
    <t>GA1200002127</t>
  </si>
  <si>
    <t>CM1200001681</t>
  </si>
  <si>
    <t>CG1100000880</t>
  </si>
  <si>
    <t>CG1200001317/MN2</t>
  </si>
  <si>
    <t>CG1100000898</t>
  </si>
  <si>
    <t>CG1200001341</t>
  </si>
  <si>
    <t>CG1300000524</t>
  </si>
  <si>
    <t>TD1200001899</t>
  </si>
  <si>
    <t>CM1200001699</t>
  </si>
  <si>
    <t>GQ1300001369</t>
  </si>
  <si>
    <t>GA1200002143</t>
  </si>
  <si>
    <t>TD1200001907</t>
  </si>
  <si>
    <t>CM1200001707</t>
  </si>
  <si>
    <t>CM1200001707/GREE</t>
  </si>
  <si>
    <t>CG1200001333</t>
  </si>
  <si>
    <t>CG1300000532</t>
  </si>
  <si>
    <t>GA1200002150</t>
  </si>
  <si>
    <t>TD1200001915</t>
  </si>
  <si>
    <t>CG1200001358</t>
  </si>
  <si>
    <t>CG1300000532/MN3</t>
  </si>
  <si>
    <t>GA1200002168</t>
  </si>
  <si>
    <t>GQ1300001377</t>
  </si>
  <si>
    <t>CG1100000906</t>
  </si>
  <si>
    <t>CG1300000540/MN2</t>
  </si>
  <si>
    <t>CM1200001715/MN</t>
  </si>
  <si>
    <t>GQ1300001385/MN</t>
  </si>
  <si>
    <t>CG1200001366</t>
  </si>
  <si>
    <t>CG1200001366/GREE</t>
  </si>
  <si>
    <t>CM1300000724</t>
  </si>
  <si>
    <t>GA1200002051/MN2</t>
  </si>
  <si>
    <t>GA1300000732</t>
  </si>
  <si>
    <t>TD1200001923</t>
  </si>
  <si>
    <t>CM1200001723</t>
  </si>
  <si>
    <t>CG1300000557</t>
  </si>
  <si>
    <t>CG1100000914</t>
  </si>
  <si>
    <t>GA1200002176</t>
  </si>
  <si>
    <t>CG1100000922</t>
  </si>
  <si>
    <t>CG1200001374</t>
  </si>
  <si>
    <t>GA1200002184</t>
  </si>
  <si>
    <t>CG1100000930</t>
  </si>
  <si>
    <t>CG1200001382</t>
  </si>
  <si>
    <t>CG1300000565</t>
  </si>
  <si>
    <t>GQ1200000131</t>
  </si>
  <si>
    <t>GA1300000740</t>
  </si>
  <si>
    <t>CM1200001731</t>
  </si>
  <si>
    <t>CG1100000948</t>
  </si>
  <si>
    <t>CG1200001390</t>
  </si>
  <si>
    <t>GA1100001864</t>
  </si>
  <si>
    <t>TD1200001931</t>
  </si>
  <si>
    <t>CM1200001749</t>
  </si>
  <si>
    <t>CG1100000955</t>
  </si>
  <si>
    <t>CG1200001408</t>
  </si>
  <si>
    <t>CG1300000573</t>
  </si>
  <si>
    <t>GA1200002150/MN1</t>
  </si>
  <si>
    <t>GA1200002192</t>
  </si>
  <si>
    <t>GQ1200000149</t>
  </si>
  <si>
    <t>TD1200001949</t>
  </si>
  <si>
    <t>CM1200001756</t>
  </si>
  <si>
    <t>CG1200001416</t>
  </si>
  <si>
    <t>CG1300000581</t>
  </si>
  <si>
    <t>GA1200002200</t>
  </si>
  <si>
    <t>TD1200001956</t>
  </si>
  <si>
    <t>CM1200001764</t>
  </si>
  <si>
    <t>GA1100001872</t>
  </si>
  <si>
    <t>CG1100000963</t>
  </si>
  <si>
    <t>CG1300000599</t>
  </si>
  <si>
    <t>GQ1200000156</t>
  </si>
  <si>
    <t>GA1200002218</t>
  </si>
  <si>
    <t>TD1200001964</t>
  </si>
  <si>
    <t>TD1200001972</t>
  </si>
  <si>
    <t>GA1200002226</t>
  </si>
  <si>
    <t>CM1200001772</t>
  </si>
  <si>
    <t>GQ1200000164</t>
  </si>
  <si>
    <t>CG1200001424</t>
  </si>
  <si>
    <t>CG1300000607</t>
  </si>
  <si>
    <t>GA1200002234</t>
  </si>
  <si>
    <t>CM1200001780</t>
  </si>
  <si>
    <t>CG1100000971</t>
  </si>
  <si>
    <t>CG1300000615</t>
  </si>
  <si>
    <t>GA1100001880</t>
  </si>
  <si>
    <t>CG1100000971/MN2</t>
  </si>
  <si>
    <t>CG1300000615/MN1</t>
  </si>
  <si>
    <t>TD1200001998</t>
  </si>
  <si>
    <t>GA1200002242</t>
  </si>
  <si>
    <t>GA1300000757</t>
  </si>
  <si>
    <t>TD1200001980</t>
  </si>
  <si>
    <t>CG1300000698</t>
  </si>
  <si>
    <t>CM1200001798</t>
  </si>
  <si>
    <t>CM1300000732</t>
  </si>
  <si>
    <t>CG1200001432</t>
  </si>
  <si>
    <t>CG1100000989</t>
  </si>
  <si>
    <t>CG1200001440</t>
  </si>
  <si>
    <t>CG1300000623</t>
  </si>
  <si>
    <t>GA1100001880/MN1</t>
  </si>
  <si>
    <t>GA1200002234/MN1</t>
  </si>
  <si>
    <t>GA1200002259</t>
  </si>
  <si>
    <t>CM1200001806</t>
  </si>
  <si>
    <t>CG1300000680</t>
  </si>
  <si>
    <t>CG1200001440/MN1</t>
  </si>
  <si>
    <t>CG1300000623/MN1</t>
  </si>
  <si>
    <t>CG1300000649</t>
  </si>
  <si>
    <t>GQ1300001393</t>
  </si>
  <si>
    <t>GA1200002259/MN1</t>
  </si>
  <si>
    <t>GA1300000765</t>
  </si>
  <si>
    <t>TD1200002004</t>
  </si>
  <si>
    <t>CM1100001104</t>
  </si>
  <si>
    <t>CM1200001814</t>
  </si>
  <si>
    <t>CM1300000740</t>
  </si>
  <si>
    <t>CM1300000757</t>
  </si>
  <si>
    <t>CM1200001707/MN2</t>
  </si>
  <si>
    <t>CM1300000658/MN1</t>
  </si>
  <si>
    <t>CM1300000666/MN</t>
  </si>
  <si>
    <t>CG1200001440/MN2</t>
  </si>
  <si>
    <t>CG1300000623/MN2</t>
  </si>
  <si>
    <t>CG1300000649/MN2</t>
  </si>
  <si>
    <t>CG1300000706</t>
  </si>
  <si>
    <t>GA1200002267</t>
  </si>
  <si>
    <t>CG1200001440/MN3</t>
  </si>
  <si>
    <t>CG1300000714</t>
  </si>
  <si>
    <t>GQ1300001401</t>
  </si>
  <si>
    <t>GA1200002275</t>
  </si>
  <si>
    <t>TD1200002012</t>
  </si>
  <si>
    <t>CM1200001822</t>
  </si>
  <si>
    <t>CG1300000649/MN5</t>
  </si>
  <si>
    <t>CG1300000722/MN</t>
  </si>
  <si>
    <t>GA1200002283</t>
  </si>
  <si>
    <t>TD1200002020</t>
  </si>
  <si>
    <t>CF1300000061</t>
  </si>
  <si>
    <t>CM1200001830</t>
  </si>
  <si>
    <t>CG1300000722/MN1</t>
  </si>
  <si>
    <t>CG1300000730</t>
  </si>
  <si>
    <t>GA1200002291</t>
  </si>
  <si>
    <t>CM1200001848</t>
  </si>
  <si>
    <t>CG1100000997</t>
  </si>
  <si>
    <t>CG1200001457</t>
  </si>
  <si>
    <t>CG1300000730/MN1</t>
  </si>
  <si>
    <t>GQ1300001419/MN</t>
  </si>
  <si>
    <t>GA1200002309/MN</t>
  </si>
  <si>
    <t>CM1200001855</t>
  </si>
  <si>
    <t>GA1200002317</t>
  </si>
  <si>
    <t>CF1300000046/MN1</t>
  </si>
  <si>
    <t>CM1100001112</t>
  </si>
  <si>
    <t>CM1200001863</t>
  </si>
  <si>
    <t>CM1300000765</t>
  </si>
  <si>
    <t>CG1100001003</t>
  </si>
  <si>
    <t>CG1200001465/MN</t>
  </si>
  <si>
    <t>CG1300000581/MN2</t>
  </si>
  <si>
    <t>GA1200002325/MN</t>
  </si>
  <si>
    <t>CM1200001863/MN1</t>
  </si>
  <si>
    <t>CM1200001871</t>
  </si>
  <si>
    <t>CM1300000773</t>
  </si>
  <si>
    <t>CG1100001003/MN2</t>
  </si>
  <si>
    <t>CG1200001465/MN2</t>
  </si>
  <si>
    <t>GQ1300001427/MN</t>
  </si>
  <si>
    <t>GA1200002176/MN1</t>
  </si>
  <si>
    <t>GA1200002184/MN1</t>
  </si>
  <si>
    <t>GA1200002333</t>
  </si>
  <si>
    <t>TD1200002038/MN</t>
  </si>
  <si>
    <t>CM1300000781</t>
  </si>
  <si>
    <t>CG1300000805</t>
  </si>
  <si>
    <t>GA1200002341</t>
  </si>
  <si>
    <t>TD1300000742</t>
  </si>
  <si>
    <t>CM1100001120</t>
  </si>
  <si>
    <t>CG1300000805/MN4</t>
  </si>
  <si>
    <t>GA1100001898</t>
  </si>
  <si>
    <t>CM1200001889</t>
  </si>
  <si>
    <t>CG1200001465/MN6</t>
  </si>
  <si>
    <t>GA1200002358</t>
  </si>
  <si>
    <t>CM1100001138</t>
  </si>
  <si>
    <t>GQ1300001435/MN</t>
  </si>
  <si>
    <t>GA1100001906</t>
  </si>
  <si>
    <t>CF1200000468</t>
  </si>
  <si>
    <t>CF1300000079</t>
  </si>
  <si>
    <t>CM1300000799</t>
  </si>
  <si>
    <t>CG1100001011</t>
  </si>
  <si>
    <t>CG1200001473</t>
  </si>
  <si>
    <t>CG1300000813</t>
  </si>
  <si>
    <t>GA1100001914</t>
  </si>
  <si>
    <t>CM1200001897</t>
  </si>
  <si>
    <t>CG1100001029</t>
  </si>
  <si>
    <t>GQ1300001443</t>
  </si>
  <si>
    <t>GA1200002366</t>
  </si>
  <si>
    <t>CG1100001029/MN1</t>
  </si>
  <si>
    <t>GA1100001922</t>
  </si>
  <si>
    <t>CM1200001905</t>
  </si>
  <si>
    <t>CM1300000807</t>
  </si>
  <si>
    <t>CM1200001913</t>
  </si>
  <si>
    <t>GQ1300001450</t>
  </si>
  <si>
    <t>GA1200002374</t>
  </si>
  <si>
    <t>GA1300000773</t>
  </si>
  <si>
    <t>CM1200001921</t>
  </si>
  <si>
    <t>GQ1300001468</t>
  </si>
  <si>
    <t>CG1200001481</t>
  </si>
  <si>
    <t>CG1300000821</t>
  </si>
  <si>
    <t>GA1200002382</t>
  </si>
  <si>
    <t>TD1200002046/MN</t>
  </si>
  <si>
    <t>CM1200001939</t>
  </si>
  <si>
    <t>CM1300000815</t>
  </si>
  <si>
    <t>CG1200001481/MN1</t>
  </si>
  <si>
    <t>CG1100001037/MN1</t>
  </si>
  <si>
    <t>CG1100001037/GREE</t>
  </si>
  <si>
    <t>GA1100001930</t>
  </si>
  <si>
    <t>CM1200001947</t>
  </si>
  <si>
    <t>GQ1300001476</t>
  </si>
  <si>
    <t>GA1100001948</t>
  </si>
  <si>
    <t>CG1100001045</t>
  </si>
  <si>
    <t>CG1200001499</t>
  </si>
  <si>
    <t>GA1200002390</t>
  </si>
  <si>
    <t>GA1200002408</t>
  </si>
  <si>
    <t>GA1300000781</t>
  </si>
  <si>
    <t>TD1200002053</t>
  </si>
  <si>
    <t>CM1200001954</t>
  </si>
  <si>
    <t>CG1100001052</t>
  </si>
  <si>
    <t>CG1200001507</t>
  </si>
  <si>
    <t>GQ1300001484</t>
  </si>
  <si>
    <t>GA1200002416</t>
  </si>
  <si>
    <t>GA1300000799</t>
  </si>
  <si>
    <t>CM1200001962</t>
  </si>
  <si>
    <t>CM1300000823</t>
  </si>
  <si>
    <t>CG1200001515</t>
  </si>
  <si>
    <t>CG1300000839</t>
  </si>
  <si>
    <t>GA1100001955</t>
  </si>
  <si>
    <t>GA1300000799/MN1</t>
  </si>
  <si>
    <t>CM1300000831</t>
  </si>
  <si>
    <t>CG1100001060</t>
  </si>
  <si>
    <t>CG1200001523</t>
  </si>
  <si>
    <t>GA1300000807</t>
  </si>
  <si>
    <t>TD1300000759</t>
  </si>
  <si>
    <t>CG1100001078</t>
  </si>
  <si>
    <t>CG1200001531</t>
  </si>
  <si>
    <t>CG1300000847</t>
  </si>
  <si>
    <t>GA1200002424</t>
  </si>
  <si>
    <t>CM1100001146</t>
  </si>
  <si>
    <t>CM1300000849</t>
  </si>
  <si>
    <t>CG1100001086</t>
  </si>
  <si>
    <t>CG1200001549</t>
  </si>
  <si>
    <t>GQ1200000172</t>
  </si>
  <si>
    <t>GA1100001963</t>
  </si>
  <si>
    <t>TD1200002061</t>
  </si>
  <si>
    <t>CM1300000856</t>
  </si>
  <si>
    <t>CG1100001094</t>
  </si>
  <si>
    <t>CG1200001556</t>
  </si>
  <si>
    <t>GA1200002432</t>
  </si>
  <si>
    <t>GA1300000823</t>
  </si>
  <si>
    <t>TD1200002079</t>
  </si>
  <si>
    <t>CM1200001970</t>
  </si>
  <si>
    <t>CG1100001102</t>
  </si>
  <si>
    <t>CG1200001564</t>
  </si>
  <si>
    <t>GQ1300001492</t>
  </si>
  <si>
    <t>GA1200002440</t>
  </si>
  <si>
    <t>CM1200001988</t>
  </si>
  <si>
    <t>CM1300000864</t>
  </si>
  <si>
    <t>CG1100001110</t>
  </si>
  <si>
    <t>CG1300000854</t>
  </si>
  <si>
    <t>GA1100001971</t>
  </si>
  <si>
    <t>GA1300000823/MN2</t>
  </si>
  <si>
    <t>CM1200001996</t>
  </si>
  <si>
    <t>CM1300000872</t>
  </si>
  <si>
    <t>CG1100001128</t>
  </si>
  <si>
    <t>GQ1300001500</t>
  </si>
  <si>
    <t>GA1200002457</t>
  </si>
  <si>
    <t>CM1200002002</t>
  </si>
  <si>
    <t>CM1300000880</t>
  </si>
  <si>
    <t>CG1100001094/MN1</t>
  </si>
  <si>
    <t>CG1100001136</t>
  </si>
  <si>
    <t>CG1200001572/MN1</t>
  </si>
  <si>
    <t>CG1200001473/MN2</t>
  </si>
  <si>
    <t>CG1300000573/MN1</t>
  </si>
  <si>
    <t>CG1300000623/MN5</t>
  </si>
  <si>
    <t>CG1300000862</t>
  </si>
  <si>
    <t>CG1300000870</t>
  </si>
  <si>
    <t>GA1200002465</t>
  </si>
  <si>
    <t>CM1100001153</t>
  </si>
  <si>
    <t>CM1200002010</t>
  </si>
  <si>
    <t>CM1300000898</t>
  </si>
  <si>
    <t>CG1100001144</t>
  </si>
  <si>
    <t>GA1100001989</t>
  </si>
  <si>
    <t>TD1200002087</t>
  </si>
  <si>
    <t>CM1200002028</t>
  </si>
  <si>
    <t>CM1300000906</t>
  </si>
  <si>
    <t>CG1100001151</t>
  </si>
  <si>
    <t>CG1300000888</t>
  </si>
  <si>
    <t>GA1100001997</t>
  </si>
  <si>
    <t>CM1300000914</t>
  </si>
  <si>
    <t>CG1100001169</t>
  </si>
  <si>
    <t>CG1300000896</t>
  </si>
  <si>
    <t>GQ1300001518</t>
  </si>
  <si>
    <t>GA1200002473</t>
  </si>
  <si>
    <t>CG1100001177</t>
  </si>
  <si>
    <t>CG1300000904</t>
  </si>
  <si>
    <t>GA1200002481</t>
  </si>
  <si>
    <t>TD1200002095</t>
  </si>
  <si>
    <t>CM1300000922</t>
  </si>
  <si>
    <t>CG1200001580</t>
  </si>
  <si>
    <t>CG1300000912</t>
  </si>
  <si>
    <t>GA1300000849</t>
  </si>
  <si>
    <t>CM1300000930</t>
  </si>
  <si>
    <t>CG1200001598/MN1</t>
  </si>
  <si>
    <t>CG1300000920</t>
  </si>
  <si>
    <t>GA1200002499</t>
  </si>
  <si>
    <t>CM1200002036</t>
  </si>
  <si>
    <t>CG1100001185</t>
  </si>
  <si>
    <t>CG1100001185GREE</t>
  </si>
  <si>
    <t>CG1200001606</t>
  </si>
  <si>
    <t>CG1300000938</t>
  </si>
  <si>
    <t>GA1200002507</t>
  </si>
  <si>
    <t>CM1300000948</t>
  </si>
  <si>
    <t>CG1100001193</t>
  </si>
  <si>
    <t>CG1100001193/GREE</t>
  </si>
  <si>
    <t>CG1200001614</t>
  </si>
  <si>
    <t>CG1300000946</t>
  </si>
  <si>
    <t>GA1100002003</t>
  </si>
  <si>
    <t>CM1200002044</t>
  </si>
  <si>
    <t>CM1300000955</t>
  </si>
  <si>
    <t>GQ1300001526</t>
  </si>
  <si>
    <t>CG1200001622</t>
  </si>
  <si>
    <t>CG1300000953</t>
  </si>
  <si>
    <t>GA1200002515</t>
  </si>
  <si>
    <t>CM1300000963</t>
  </si>
  <si>
    <t>CG1100001201</t>
  </si>
  <si>
    <t>CG1200001630</t>
  </si>
  <si>
    <t>CG1300000961</t>
  </si>
  <si>
    <t>GA1200002523</t>
  </si>
  <si>
    <t>GA1300000856</t>
  </si>
  <si>
    <t>CM1300000971</t>
  </si>
  <si>
    <t>CG1100001219</t>
  </si>
  <si>
    <t>CG1100001219/GREE</t>
  </si>
  <si>
    <t>CG1200001648</t>
  </si>
  <si>
    <t>GQ1300001534</t>
  </si>
  <si>
    <t>GA1100002011</t>
  </si>
  <si>
    <t>GA1300000864</t>
  </si>
  <si>
    <t>CM1200002051</t>
  </si>
  <si>
    <t>CG1100001227</t>
  </si>
  <si>
    <t>CG1200001655</t>
  </si>
  <si>
    <t>CG1300000979</t>
  </si>
  <si>
    <t>GQ1300001542</t>
  </si>
  <si>
    <t>GA1200002531</t>
  </si>
  <si>
    <t>GA1300000872</t>
  </si>
  <si>
    <t>CM1100001161</t>
  </si>
  <si>
    <t>CM1200002069</t>
  </si>
  <si>
    <t>CG1100001235</t>
  </si>
  <si>
    <t>CG1200001663</t>
  </si>
  <si>
    <t>CG1300000987</t>
  </si>
  <si>
    <t>GA1200002549</t>
  </si>
  <si>
    <t>CM1100001179</t>
  </si>
  <si>
    <t>CM1200002077</t>
  </si>
  <si>
    <t>CM1300000989</t>
  </si>
  <si>
    <t>CG1100001243</t>
  </si>
  <si>
    <t>CG1200001671</t>
  </si>
  <si>
    <t>GQ1300001559</t>
  </si>
  <si>
    <t>GA1200002556</t>
  </si>
  <si>
    <t>CM1200002085</t>
  </si>
  <si>
    <t>CM1300000997</t>
  </si>
  <si>
    <t>CG1100001250</t>
  </si>
  <si>
    <t>CG1200001689</t>
  </si>
  <si>
    <t>CG1200001689/GREE</t>
  </si>
  <si>
    <t>GA1100002029</t>
  </si>
  <si>
    <t>CM1200002093</t>
  </si>
  <si>
    <t>CG1100001268</t>
  </si>
  <si>
    <t>CG1200001697</t>
  </si>
  <si>
    <t>GA1100002037</t>
  </si>
  <si>
    <t>GA1200002564</t>
  </si>
  <si>
    <t>CM1200002101</t>
  </si>
  <si>
    <t>CG1100001276</t>
  </si>
  <si>
    <t>CG1200001705</t>
  </si>
  <si>
    <t>GA1200002572</t>
  </si>
  <si>
    <t>CM1300001003</t>
  </si>
  <si>
    <t>CG1200001713</t>
  </si>
  <si>
    <t>CG1100001284</t>
  </si>
  <si>
    <t>GA1200002580</t>
  </si>
  <si>
    <t>CM1200002119</t>
  </si>
  <si>
    <t>CG1200001721</t>
  </si>
  <si>
    <t>CG1100001292</t>
  </si>
  <si>
    <t>CG1300000995</t>
  </si>
  <si>
    <t>GA1300000914</t>
  </si>
  <si>
    <t>GA1200002556/MN2</t>
  </si>
  <si>
    <t>CM1300001011</t>
  </si>
  <si>
    <t>CG1100001300</t>
  </si>
  <si>
    <t>CG1200001739</t>
  </si>
  <si>
    <t>CG1300001001</t>
  </si>
  <si>
    <t>GQ1300001567/MN1</t>
  </si>
  <si>
    <t>GA1200002556/MN3</t>
  </si>
  <si>
    <t>TD1200002103</t>
  </si>
  <si>
    <t>GA1200002432/MN2</t>
  </si>
  <si>
    <t>GA1200002499/MN2</t>
  </si>
  <si>
    <t>GA1200002549/MN2</t>
  </si>
  <si>
    <t>GA1300000922</t>
  </si>
  <si>
    <t>CM1300001029</t>
  </si>
  <si>
    <t>CG1100001318</t>
  </si>
  <si>
    <t>CG1200001747</t>
  </si>
  <si>
    <t>CG1300001019</t>
  </si>
  <si>
    <t>GQ1300001575</t>
  </si>
  <si>
    <t>GA1100002052</t>
  </si>
  <si>
    <t>TD1300000767</t>
  </si>
  <si>
    <t>CM1200002127</t>
  </si>
  <si>
    <t>CM1300001037</t>
  </si>
  <si>
    <t>CG1100001326</t>
  </si>
  <si>
    <t>CG1200001754</t>
  </si>
  <si>
    <t>CG1300001027</t>
  </si>
  <si>
    <t>GA1300000930</t>
  </si>
  <si>
    <t>CM1300001045</t>
  </si>
  <si>
    <t>CG1100001334</t>
  </si>
  <si>
    <t>CG1200001762</t>
  </si>
  <si>
    <t>CG1300001035</t>
  </si>
  <si>
    <t>CG1300001035/GREE</t>
  </si>
  <si>
    <t>GQ1300001583</t>
  </si>
  <si>
    <t>GA1200002598</t>
  </si>
  <si>
    <t>TD1200002111</t>
  </si>
  <si>
    <t>TD1300000775</t>
  </si>
  <si>
    <t>CM1200002135</t>
  </si>
  <si>
    <t>CM1300001052</t>
  </si>
  <si>
    <t>CG1100001342</t>
  </si>
  <si>
    <t>CG1300001043</t>
  </si>
  <si>
    <t>GA1100002060</t>
  </si>
  <si>
    <t>CM1200002143</t>
  </si>
  <si>
    <t>CM1300001060</t>
  </si>
  <si>
    <t>CF1300000061/MN1</t>
  </si>
  <si>
    <t>CF1300000079/MN1</t>
  </si>
  <si>
    <t>CG1100001359</t>
  </si>
  <si>
    <t>CG1200001770</t>
  </si>
  <si>
    <t>CG1200001788</t>
  </si>
  <si>
    <t>CG1300001050</t>
  </si>
  <si>
    <t>GA1100002060/MN1</t>
  </si>
  <si>
    <t>GA1300000948</t>
  </si>
  <si>
    <t>TD1200002129</t>
  </si>
  <si>
    <t>CM1300000781/MN2</t>
  </si>
  <si>
    <t>CG1100001367</t>
  </si>
  <si>
    <t>CG1200001796</t>
  </si>
  <si>
    <t>CG1300001068</t>
  </si>
  <si>
    <t>GQ1300001591</t>
  </si>
  <si>
    <t>GA1200002606</t>
  </si>
  <si>
    <t>GA1300000948/MN1</t>
  </si>
  <si>
    <t>TD1200002137</t>
  </si>
  <si>
    <t>CM1100001187</t>
  </si>
  <si>
    <t>CM1200002150</t>
  </si>
  <si>
    <t>CM1300001078</t>
  </si>
  <si>
    <t>CG1100001375</t>
  </si>
  <si>
    <t>CG1200001804</t>
  </si>
  <si>
    <t>CG1300001076</t>
  </si>
  <si>
    <t>GA1200002614</t>
  </si>
  <si>
    <t>CF1300000087</t>
  </si>
  <si>
    <t>CM1100001195</t>
  </si>
  <si>
    <t>CM1200002168</t>
  </si>
  <si>
    <t>CM1300001086</t>
  </si>
  <si>
    <t>CG1100001383</t>
  </si>
  <si>
    <t>CG1300001084</t>
  </si>
  <si>
    <t>GA1100002078</t>
  </si>
  <si>
    <t>CM1100001203</t>
  </si>
  <si>
    <t>CM1300001094</t>
  </si>
  <si>
    <t>CG1100001391</t>
  </si>
  <si>
    <t>CG1200001812</t>
  </si>
  <si>
    <t>CG1300001092</t>
  </si>
  <si>
    <t>GA1200002499/MN1</t>
  </si>
  <si>
    <t>GA1200002564/MN1</t>
  </si>
  <si>
    <t>GA1200002622/MN</t>
  </si>
  <si>
    <t>GA1300000773/MN1</t>
  </si>
  <si>
    <t>GA1300000799/MN2</t>
  </si>
  <si>
    <t>GA1300000815/MN1</t>
  </si>
  <si>
    <t>GA1300000849/MN1</t>
  </si>
  <si>
    <t>GA1300000955/MN</t>
  </si>
  <si>
    <t>CM1100001211</t>
  </si>
  <si>
    <t>CF1200000476</t>
  </si>
  <si>
    <t>CG1100001409</t>
  </si>
  <si>
    <t>CG1100001409/GREE</t>
  </si>
  <si>
    <t>CG1200001820</t>
  </si>
  <si>
    <t>CG1300001100</t>
  </si>
  <si>
    <t>GA1200002606/MN1</t>
  </si>
  <si>
    <t>GA1200002630</t>
  </si>
  <si>
    <t>GA1300000963</t>
  </si>
  <si>
    <t>TD1200002152</t>
  </si>
  <si>
    <t>CM1200002176</t>
  </si>
  <si>
    <t>CG1200001846</t>
  </si>
  <si>
    <t>CG1300001134</t>
  </si>
  <si>
    <t>CG1200001838</t>
  </si>
  <si>
    <t>CG1300001126</t>
  </si>
  <si>
    <t>CG1300001118</t>
  </si>
  <si>
    <t>GA1200002630/MN1</t>
  </si>
  <si>
    <t>CM1200002184</t>
  </si>
  <si>
    <t>GA1200002648</t>
  </si>
  <si>
    <t>CM1200002192</t>
  </si>
  <si>
    <t>CF1200000476/MN1</t>
  </si>
  <si>
    <t>CG1200001853</t>
  </si>
  <si>
    <t>CG1200001853/GREE</t>
  </si>
  <si>
    <t>CG1300001142</t>
  </si>
  <si>
    <t>GQ1300001609</t>
  </si>
  <si>
    <t>GA1100002086</t>
  </si>
  <si>
    <t>GA1100002094</t>
  </si>
  <si>
    <t>GA1200002655</t>
  </si>
  <si>
    <t>GA1300000971</t>
  </si>
  <si>
    <t>CM1100001229</t>
  </si>
  <si>
    <t>CM1300001102</t>
  </si>
  <si>
    <t>CG1200001861</t>
  </si>
  <si>
    <t>CG1300001159</t>
  </si>
  <si>
    <t>GA1100002102</t>
  </si>
  <si>
    <t>GA1200002655/MN1</t>
  </si>
  <si>
    <t>TD1300000783</t>
  </si>
  <si>
    <t>CM1200002200</t>
  </si>
  <si>
    <t>CG1200001879</t>
  </si>
  <si>
    <t>CG1200001879/GREE</t>
  </si>
  <si>
    <t>CG1300001167</t>
  </si>
  <si>
    <t>GQ1300001617</t>
  </si>
  <si>
    <t>GA1300000989</t>
  </si>
  <si>
    <t>CM1300001110</t>
  </si>
  <si>
    <t>GA1100002110</t>
  </si>
  <si>
    <t>GA1300000997</t>
  </si>
  <si>
    <t>CM1200002218</t>
  </si>
  <si>
    <t>CM1300001128</t>
  </si>
  <si>
    <t>CF1200000476/MN2</t>
  </si>
  <si>
    <t>CG1200001887</t>
  </si>
  <si>
    <t>CG1300001175</t>
  </si>
  <si>
    <t>TD1200002160</t>
  </si>
  <si>
    <t>GA1100002128</t>
  </si>
  <si>
    <t>CM1200002226</t>
  </si>
  <si>
    <t>GQ1300001625</t>
  </si>
  <si>
    <t>GA1100002078/MN1</t>
  </si>
  <si>
    <t>GA1100002136</t>
  </si>
  <si>
    <t>CM1200002234</t>
  </si>
  <si>
    <t>CM1300001136</t>
  </si>
  <si>
    <t>CG1200001903</t>
  </si>
  <si>
    <t>CG1300001183</t>
  </si>
  <si>
    <t>GQ1200000180</t>
  </si>
  <si>
    <t>GA1200002663</t>
  </si>
  <si>
    <t>GA1200002572/MN1</t>
  </si>
  <si>
    <t>GA1100002144</t>
  </si>
  <si>
    <t>CM1300001144</t>
  </si>
  <si>
    <t>CM1200002242</t>
  </si>
  <si>
    <t>CG1200001911</t>
  </si>
  <si>
    <t>CG1300001191</t>
  </si>
  <si>
    <t>GA1200002671</t>
  </si>
  <si>
    <t>GA1200002689</t>
  </si>
  <si>
    <t>GA1200002572/MN2</t>
  </si>
  <si>
    <t>GA1200002572/GREE</t>
  </si>
  <si>
    <t>GA1200002564/MN3</t>
  </si>
  <si>
    <t>CM1300001151</t>
  </si>
  <si>
    <t>CG1200001929</t>
  </si>
  <si>
    <t>CG1200001929/GREE</t>
  </si>
  <si>
    <t>CG1300001209</t>
  </si>
  <si>
    <t>CG1300001209/GREE</t>
  </si>
  <si>
    <t>GQ1300001633</t>
  </si>
  <si>
    <t>GA1100002151</t>
  </si>
  <si>
    <t>TD1300000791</t>
  </si>
  <si>
    <t>CM1100001237</t>
  </si>
  <si>
    <t>CM1300001177/MN1</t>
  </si>
  <si>
    <t>CG1200001937</t>
  </si>
  <si>
    <t>CG1300001217</t>
  </si>
  <si>
    <t>GA1100002086/MN1</t>
  </si>
  <si>
    <t>GA1100002102/MN1</t>
  </si>
  <si>
    <t>GA1200002697</t>
  </si>
  <si>
    <t>CM1200002259</t>
  </si>
  <si>
    <t>CM1300001185</t>
  </si>
  <si>
    <t>CG1200001945</t>
  </si>
  <si>
    <t>CG1300001225</t>
  </si>
  <si>
    <t>GQ1300001641</t>
  </si>
  <si>
    <t>GA1100002094/MN1</t>
  </si>
  <si>
    <t>GA1100002169/MN</t>
  </si>
  <si>
    <t>GA1200002705</t>
  </si>
  <si>
    <t>CM1300001193</t>
  </si>
  <si>
    <t>CG1200001952</t>
  </si>
  <si>
    <t>CG1300001233</t>
  </si>
  <si>
    <t>GA1100002177</t>
  </si>
  <si>
    <t>GA1200002713</t>
  </si>
  <si>
    <t>GA1300001037</t>
  </si>
  <si>
    <t>TD1200002178</t>
  </si>
  <si>
    <t>CM1200002267</t>
  </si>
  <si>
    <t>CM1300001201</t>
  </si>
  <si>
    <t>CG1200001960</t>
  </si>
  <si>
    <t>CG1300001241</t>
  </si>
  <si>
    <t>GA1300001045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</si>
</sst>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C8A84B"/>
      <name val="Arial"/>
    </font>
    <font>
      <b/>
      <sz val="11"/>
      <color rgb="FFFFFFFF"/>
      <name val="Arial"/>
    </font>
    <font>
      <sz val="10"/>
      <name val="Arial"/>
    </font>
    <font>
      <b/>
      <sz val="14"/>
      <color rgb="FFC8A84B"/>
      <name val="Arial"/>
    </font>
    <font>
      <b/>
      <sz val="11"/>
      <name val="Arial"/>
    </font>
    <font>
      <b/>
      <sz val="10"/>
      <name val="Arial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DCE6F1"/>
      </patternFill>
    </fill>
    <fill>
      <patternFill patternType="solid">
        <fgColor rgb="FFC8A84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5" fillId="0" borderId="0" xfId="0" applyFont="1"/>
    <xf numFmtId="0" fontId="3" fillId="3" borderId="1" xfId="0" applyFont="1" applyFill="1" applyBorder="1"/>
    <xf numFmtId="0" fontId="6" fillId="8" borderId="1" xfId="0" applyFont="1" applyFill="1" applyBorder="1"/>
    <xf numFmtId="0" fontId="3" fillId="4" borderId="1" xfId="0" applyFont="1" applyFill="1" applyBorder="1"/>
    <xf numFmtId="0" fontId="7" fillId="5" borderId="1" xfId="1" applyFill="1" applyBorder="1"/>
    <xf numFmtId="14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cnpscmr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Documentation\publication\Statistiques%20Mensuelles%20du%20March&#233;%20des%20Valeurs%20du%20Tr&#233;sor%20de%20la%20CEMAC%20f&#233;vrier%202026.pdf" TargetMode="External"/><Relationship Id="rId1" Type="http://schemas.openxmlformats.org/officeDocument/2006/relationships/hyperlink" Target="Documentation\reglementation\reglement%20cemac%20relatif%20au%20marche%20des%20%20valeurs%20du%20tresor%20(1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baseColWidth="10" defaultColWidth="9.140625" defaultRowHeight="15" x14ac:dyDescent="0.25"/>
  <cols>
    <col min="1" max="1" width="28" customWidth="1"/>
    <col min="2" max="2" width="50" customWidth="1"/>
    <col min="3" max="3" width="45" customWidth="1"/>
  </cols>
  <sheetData>
    <row r="1" spans="1:6" ht="39.950000000000003" customHeight="1" x14ac:dyDescent="0.25">
      <c r="A1" s="16" t="s">
        <v>0</v>
      </c>
      <c r="B1" s="15"/>
      <c r="C1" s="15"/>
      <c r="D1" s="15"/>
      <c r="E1" s="15"/>
      <c r="F1" s="15"/>
    </row>
    <row r="3" spans="1:6" x14ac:dyDescent="0.25">
      <c r="A3" s="1" t="s">
        <v>1</v>
      </c>
      <c r="B3" s="1" t="s">
        <v>2</v>
      </c>
      <c r="C3" s="1" t="s">
        <v>3</v>
      </c>
    </row>
    <row r="4" spans="1:6" x14ac:dyDescent="0.25">
      <c r="A4" s="2" t="s">
        <v>4</v>
      </c>
      <c r="B4" s="2" t="s">
        <v>5</v>
      </c>
      <c r="C4" s="2" t="s">
        <v>6</v>
      </c>
    </row>
    <row r="5" spans="1:6" x14ac:dyDescent="0.25">
      <c r="A5" s="3" t="s">
        <v>7</v>
      </c>
      <c r="B5" s="3" t="s">
        <v>8</v>
      </c>
      <c r="C5" s="3" t="s">
        <v>9</v>
      </c>
    </row>
    <row r="6" spans="1:6" x14ac:dyDescent="0.25">
      <c r="A6" s="2" t="s">
        <v>10</v>
      </c>
      <c r="B6" s="2" t="s">
        <v>11</v>
      </c>
      <c r="C6" s="2" t="s">
        <v>12</v>
      </c>
    </row>
    <row r="7" spans="1:6" x14ac:dyDescent="0.25">
      <c r="A7" s="3" t="s">
        <v>13</v>
      </c>
      <c r="B7" s="3" t="s">
        <v>14</v>
      </c>
      <c r="C7" s="3" t="s">
        <v>15</v>
      </c>
    </row>
    <row r="8" spans="1:6" x14ac:dyDescent="0.25">
      <c r="A8" s="2" t="s">
        <v>16</v>
      </c>
      <c r="B8" s="2" t="s">
        <v>17</v>
      </c>
      <c r="C8" s="2" t="s">
        <v>15</v>
      </c>
    </row>
    <row r="9" spans="1:6" x14ac:dyDescent="0.25">
      <c r="A9" s="3" t="s">
        <v>18</v>
      </c>
      <c r="B9" s="3" t="s">
        <v>19</v>
      </c>
      <c r="C9" s="3" t="s">
        <v>15</v>
      </c>
    </row>
    <row r="10" spans="1:6" x14ac:dyDescent="0.25">
      <c r="A10" s="2" t="s">
        <v>20</v>
      </c>
      <c r="B10" s="2" t="s">
        <v>21</v>
      </c>
      <c r="C10" s="2" t="s">
        <v>22</v>
      </c>
    </row>
    <row r="11" spans="1:6" x14ac:dyDescent="0.25">
      <c r="A11" s="3" t="s">
        <v>23</v>
      </c>
      <c r="B11" s="3" t="s">
        <v>24</v>
      </c>
      <c r="C11" s="3" t="s">
        <v>25</v>
      </c>
    </row>
    <row r="12" spans="1:6" x14ac:dyDescent="0.25">
      <c r="A12" s="2" t="s">
        <v>26</v>
      </c>
      <c r="B12" s="2" t="s">
        <v>27</v>
      </c>
      <c r="C12" s="2" t="s">
        <v>28</v>
      </c>
    </row>
    <row r="13" spans="1:6" x14ac:dyDescent="0.25">
      <c r="A13" s="3" t="s">
        <v>29</v>
      </c>
      <c r="B13" s="3" t="s">
        <v>30</v>
      </c>
      <c r="C13" s="3" t="s">
        <v>31</v>
      </c>
    </row>
    <row r="14" spans="1:6" x14ac:dyDescent="0.25">
      <c r="A14" s="2" t="s">
        <v>32</v>
      </c>
      <c r="B14" s="2" t="s">
        <v>33</v>
      </c>
      <c r="C14" s="2" t="s">
        <v>34</v>
      </c>
    </row>
    <row r="15" spans="1:6" x14ac:dyDescent="0.25">
      <c r="A15" s="3" t="s">
        <v>35</v>
      </c>
      <c r="B15" s="3" t="s">
        <v>36</v>
      </c>
      <c r="C15" s="3" t="s">
        <v>37</v>
      </c>
    </row>
    <row r="16" spans="1:6" x14ac:dyDescent="0.25">
      <c r="A16" s="2" t="s">
        <v>38</v>
      </c>
      <c r="B16" s="2" t="s">
        <v>39</v>
      </c>
      <c r="C16" s="2" t="s">
        <v>40</v>
      </c>
    </row>
    <row r="17" spans="1:3" ht="25.5" x14ac:dyDescent="0.25">
      <c r="A17" s="3" t="s">
        <v>41</v>
      </c>
      <c r="B17" s="3" t="s">
        <v>42</v>
      </c>
      <c r="C17" s="3" t="s">
        <v>43</v>
      </c>
    </row>
    <row r="18" spans="1:3" x14ac:dyDescent="0.25">
      <c r="A18" s="2" t="s">
        <v>44</v>
      </c>
      <c r="B18" s="2" t="s">
        <v>45</v>
      </c>
      <c r="C18" s="2" t="s">
        <v>46</v>
      </c>
    </row>
    <row r="19" spans="1:3" x14ac:dyDescent="0.25">
      <c r="A19" s="3" t="s">
        <v>47</v>
      </c>
      <c r="B19" s="3" t="s">
        <v>48</v>
      </c>
      <c r="C19" s="3" t="s">
        <v>49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351"/>
  <sheetViews>
    <sheetView workbookViewId="0">
      <pane ySplit="3" topLeftCell="A4" activePane="bottomLeft" state="frozen"/>
      <selection pane="bottomLeft" activeCell="H13" sqref="H13"/>
    </sheetView>
  </sheetViews>
  <sheetFormatPr baseColWidth="10" defaultColWidth="9.140625" defaultRowHeight="15" x14ac:dyDescent="0.25"/>
  <cols>
    <col min="1" max="1" width="22" customWidth="1"/>
    <col min="2" max="2" width="14" customWidth="1"/>
    <col min="3" max="3" width="16" customWidth="1"/>
    <col min="4" max="5" width="12" customWidth="1"/>
    <col min="6" max="6" width="20" customWidth="1"/>
    <col min="7" max="8" width="18" customWidth="1"/>
    <col min="9" max="11" width="16" customWidth="1"/>
    <col min="12" max="13" width="14" customWidth="1"/>
    <col min="14" max="14" width="18" customWidth="1"/>
    <col min="15" max="15" width="12" customWidth="1"/>
    <col min="16" max="16" width="18" customWidth="1"/>
    <col min="17" max="19" width="14" customWidth="1"/>
    <col min="20" max="20" width="18" customWidth="1"/>
    <col min="21" max="23" width="14" customWidth="1"/>
  </cols>
  <sheetData>
    <row r="1" spans="1:23" ht="35.1" customHeight="1" x14ac:dyDescent="0.25">
      <c r="A1" s="14" t="s">
        <v>50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3" ht="9.9499999999999993" customHeight="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488</v>
      </c>
      <c r="G2" s="13" t="s">
        <v>489</v>
      </c>
      <c r="H2" s="13" t="s">
        <v>1692</v>
      </c>
      <c r="I2" t="s">
        <v>490</v>
      </c>
      <c r="J2" t="s">
        <v>491</v>
      </c>
      <c r="K2" t="s">
        <v>492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493</v>
      </c>
      <c r="U2" t="s">
        <v>71</v>
      </c>
      <c r="V2" t="s">
        <v>72</v>
      </c>
      <c r="W2" t="s">
        <v>494</v>
      </c>
    </row>
    <row r="3" spans="1:23" ht="45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64</v>
      </c>
      <c r="O3" s="4" t="s">
        <v>65</v>
      </c>
      <c r="P3" s="4" t="s">
        <v>66</v>
      </c>
      <c r="Q3" s="4" t="s">
        <v>67</v>
      </c>
      <c r="R3" s="4" t="s">
        <v>68</v>
      </c>
      <c r="S3" s="4" t="s">
        <v>69</v>
      </c>
      <c r="T3" s="4" t="s">
        <v>70</v>
      </c>
      <c r="U3" s="4" t="s">
        <v>71</v>
      </c>
      <c r="V3" s="4" t="s">
        <v>72</v>
      </c>
      <c r="W3" s="4" t="s">
        <v>73</v>
      </c>
    </row>
    <row r="4" spans="1:23" x14ac:dyDescent="0.25">
      <c r="A4" t="s">
        <v>495</v>
      </c>
      <c r="B4" t="str">
        <f>MID(A4,1,12)</f>
        <v>CM2A00000014</v>
      </c>
      <c r="C4" t="s">
        <v>225</v>
      </c>
      <c r="D4" t="s">
        <v>85</v>
      </c>
      <c r="E4" t="s">
        <v>496</v>
      </c>
      <c r="F4">
        <v>16000</v>
      </c>
      <c r="G4" s="13">
        <v>41430</v>
      </c>
      <c r="H4" s="13">
        <v>42163</v>
      </c>
      <c r="I4">
        <v>16000</v>
      </c>
      <c r="K4">
        <v>16000</v>
      </c>
      <c r="N4">
        <v>0</v>
      </c>
      <c r="O4">
        <v>100.38</v>
      </c>
      <c r="P4">
        <v>87.29</v>
      </c>
      <c r="Q4">
        <v>100</v>
      </c>
      <c r="T4">
        <v>3.9842249423464366</v>
      </c>
      <c r="U4">
        <v>4</v>
      </c>
      <c r="W4" t="s">
        <v>497</v>
      </c>
    </row>
    <row r="5" spans="1:23" x14ac:dyDescent="0.25">
      <c r="A5" t="s">
        <v>498</v>
      </c>
      <c r="B5" t="str">
        <f t="shared" ref="B5:B68" si="0">MID(A5,1,12)</f>
        <v>GA2J00000015</v>
      </c>
      <c r="C5" t="s">
        <v>227</v>
      </c>
      <c r="D5" t="s">
        <v>85</v>
      </c>
      <c r="E5" t="s">
        <v>499</v>
      </c>
      <c r="F5">
        <v>25500</v>
      </c>
      <c r="G5" s="13">
        <v>41486</v>
      </c>
      <c r="H5" s="13">
        <v>42584</v>
      </c>
      <c r="I5">
        <v>20000</v>
      </c>
      <c r="J5">
        <v>5500</v>
      </c>
      <c r="K5">
        <v>25500</v>
      </c>
      <c r="N5">
        <v>0</v>
      </c>
      <c r="O5">
        <v>99.92</v>
      </c>
      <c r="P5">
        <v>36.4</v>
      </c>
      <c r="Q5">
        <v>98.5</v>
      </c>
      <c r="T5">
        <v>4.5036246426797932</v>
      </c>
      <c r="U5">
        <v>4.5</v>
      </c>
      <c r="W5" t="s">
        <v>497</v>
      </c>
    </row>
    <row r="6" spans="1:23" x14ac:dyDescent="0.25">
      <c r="A6" t="s">
        <v>500</v>
      </c>
      <c r="B6" t="str">
        <f t="shared" si="0"/>
        <v>CM2A00000023</v>
      </c>
      <c r="C6" t="s">
        <v>225</v>
      </c>
      <c r="D6" t="s">
        <v>85</v>
      </c>
      <c r="E6" t="s">
        <v>496</v>
      </c>
      <c r="F6">
        <v>7511</v>
      </c>
      <c r="G6" s="13">
        <v>41521</v>
      </c>
      <c r="H6" s="13">
        <v>42254</v>
      </c>
      <c r="I6">
        <v>6011</v>
      </c>
      <c r="J6">
        <v>1500</v>
      </c>
      <c r="K6">
        <v>7511</v>
      </c>
      <c r="N6">
        <v>0</v>
      </c>
      <c r="O6">
        <v>98.5</v>
      </c>
      <c r="P6">
        <v>80.11</v>
      </c>
      <c r="Q6">
        <v>97</v>
      </c>
      <c r="T6">
        <v>4.0634252276730267</v>
      </c>
      <c r="U6">
        <v>4</v>
      </c>
      <c r="W6" t="s">
        <v>497</v>
      </c>
    </row>
    <row r="7" spans="1:23" x14ac:dyDescent="0.25">
      <c r="A7" t="s">
        <v>501</v>
      </c>
      <c r="B7" t="str">
        <f t="shared" si="0"/>
        <v>CM2A00000032</v>
      </c>
      <c r="C7" t="s">
        <v>225</v>
      </c>
      <c r="D7" t="s">
        <v>85</v>
      </c>
      <c r="E7" t="s">
        <v>496</v>
      </c>
      <c r="F7">
        <v>10000</v>
      </c>
      <c r="G7" s="13">
        <v>41857</v>
      </c>
      <c r="H7" s="13">
        <v>42590</v>
      </c>
      <c r="I7">
        <v>7305</v>
      </c>
      <c r="J7">
        <v>2695</v>
      </c>
      <c r="K7">
        <v>10000</v>
      </c>
      <c r="N7">
        <v>0</v>
      </c>
      <c r="O7">
        <v>100.05</v>
      </c>
      <c r="P7">
        <v>191.55</v>
      </c>
      <c r="Q7">
        <v>100</v>
      </c>
      <c r="T7">
        <v>3.7480389943149439</v>
      </c>
      <c r="U7">
        <v>3.75</v>
      </c>
      <c r="W7" t="s">
        <v>497</v>
      </c>
    </row>
    <row r="8" spans="1:23" x14ac:dyDescent="0.25">
      <c r="A8" t="s">
        <v>502</v>
      </c>
      <c r="B8" t="str">
        <f t="shared" si="0"/>
        <v>GA2J00000024</v>
      </c>
      <c r="C8" t="s">
        <v>227</v>
      </c>
      <c r="D8" t="s">
        <v>85</v>
      </c>
      <c r="E8" t="s">
        <v>499</v>
      </c>
      <c r="F8">
        <v>26050</v>
      </c>
      <c r="G8" s="13">
        <v>41906</v>
      </c>
      <c r="H8" s="13">
        <v>43004</v>
      </c>
      <c r="K8">
        <v>0</v>
      </c>
      <c r="N8">
        <v>0</v>
      </c>
      <c r="O8">
        <v>98.89</v>
      </c>
      <c r="P8">
        <v>74.400000000000006</v>
      </c>
      <c r="T8">
        <v>7970.4621296391697</v>
      </c>
      <c r="U8">
        <v>7881.99</v>
      </c>
      <c r="W8" t="s">
        <v>497</v>
      </c>
    </row>
    <row r="9" spans="1:23" x14ac:dyDescent="0.25">
      <c r="A9" t="s">
        <v>503</v>
      </c>
      <c r="B9" t="str">
        <f t="shared" si="0"/>
        <v>GA2J00000042</v>
      </c>
      <c r="C9" t="s">
        <v>227</v>
      </c>
      <c r="D9" t="s">
        <v>85</v>
      </c>
      <c r="E9" t="s">
        <v>499</v>
      </c>
      <c r="F9">
        <v>11006</v>
      </c>
      <c r="G9" s="13">
        <v>41983</v>
      </c>
      <c r="H9" s="13">
        <v>43081</v>
      </c>
      <c r="K9">
        <v>0</v>
      </c>
      <c r="N9">
        <v>0</v>
      </c>
      <c r="O9">
        <v>96.88</v>
      </c>
      <c r="P9">
        <v>31.45</v>
      </c>
      <c r="T9">
        <v>5.4713379692098263</v>
      </c>
      <c r="U9">
        <v>5.3</v>
      </c>
      <c r="W9" t="s">
        <v>497</v>
      </c>
    </row>
    <row r="10" spans="1:23" x14ac:dyDescent="0.25">
      <c r="A10" t="s">
        <v>504</v>
      </c>
      <c r="B10" t="str">
        <f t="shared" si="0"/>
        <v>GA2J00000051</v>
      </c>
      <c r="C10" t="s">
        <v>227</v>
      </c>
      <c r="D10" t="s">
        <v>85</v>
      </c>
      <c r="E10" t="s">
        <v>499</v>
      </c>
      <c r="F10">
        <v>12500</v>
      </c>
      <c r="G10" s="13">
        <v>42102</v>
      </c>
      <c r="H10" s="13">
        <v>43200</v>
      </c>
      <c r="K10">
        <v>0</v>
      </c>
      <c r="N10">
        <v>0</v>
      </c>
      <c r="O10">
        <v>98.23</v>
      </c>
      <c r="P10">
        <v>83.33</v>
      </c>
      <c r="T10">
        <v>5.3958733954363298</v>
      </c>
      <c r="U10">
        <v>5.3</v>
      </c>
      <c r="W10" t="s">
        <v>497</v>
      </c>
    </row>
    <row r="11" spans="1:23" x14ac:dyDescent="0.25">
      <c r="A11" t="s">
        <v>505</v>
      </c>
      <c r="B11" t="str">
        <f t="shared" si="0"/>
        <v>TD2A00000016</v>
      </c>
      <c r="C11" t="s">
        <v>237</v>
      </c>
      <c r="D11" t="s">
        <v>85</v>
      </c>
      <c r="E11" t="s">
        <v>496</v>
      </c>
      <c r="F11">
        <v>2000</v>
      </c>
      <c r="G11" s="13">
        <v>42207</v>
      </c>
      <c r="H11" s="13">
        <v>42940</v>
      </c>
      <c r="I11">
        <v>2000</v>
      </c>
      <c r="J11">
        <v>0</v>
      </c>
      <c r="K11">
        <v>2000</v>
      </c>
      <c r="N11">
        <v>0</v>
      </c>
      <c r="O11">
        <v>97.775000000000006</v>
      </c>
      <c r="P11">
        <v>6.6666600000000003</v>
      </c>
      <c r="Q11">
        <v>94.4</v>
      </c>
      <c r="R11">
        <v>96.4</v>
      </c>
      <c r="S11">
        <v>98.4</v>
      </c>
      <c r="T11">
        <v>4.2480808933356284</v>
      </c>
      <c r="U11">
        <v>4.1500000000000004</v>
      </c>
      <c r="W11" t="s">
        <v>497</v>
      </c>
    </row>
    <row r="12" spans="1:23" x14ac:dyDescent="0.25">
      <c r="A12" t="s">
        <v>505</v>
      </c>
      <c r="B12" t="str">
        <f t="shared" si="0"/>
        <v>TD2A00000016</v>
      </c>
      <c r="C12" t="s">
        <v>237</v>
      </c>
      <c r="D12" t="s">
        <v>85</v>
      </c>
      <c r="E12" t="s">
        <v>496</v>
      </c>
      <c r="F12">
        <v>23500</v>
      </c>
      <c r="G12" s="13">
        <v>42214</v>
      </c>
      <c r="H12" s="13">
        <v>42940</v>
      </c>
      <c r="K12">
        <v>0</v>
      </c>
      <c r="N12">
        <v>0</v>
      </c>
      <c r="O12">
        <v>96.31</v>
      </c>
      <c r="P12">
        <v>78.33</v>
      </c>
      <c r="T12">
        <v>4.3150692205950723</v>
      </c>
      <c r="U12">
        <v>4.1500000000000004</v>
      </c>
      <c r="W12" t="s">
        <v>497</v>
      </c>
    </row>
    <row r="13" spans="1:23" x14ac:dyDescent="0.25">
      <c r="A13" t="s">
        <v>506</v>
      </c>
      <c r="B13" t="str">
        <f t="shared" si="0"/>
        <v>TD2B00000023</v>
      </c>
      <c r="C13" t="s">
        <v>237</v>
      </c>
      <c r="D13" t="s">
        <v>85</v>
      </c>
      <c r="E13" t="s">
        <v>507</v>
      </c>
      <c r="F13">
        <v>48760</v>
      </c>
      <c r="G13" s="13">
        <v>42235</v>
      </c>
      <c r="H13" s="13">
        <v>44064</v>
      </c>
      <c r="K13">
        <v>7050</v>
      </c>
      <c r="N13">
        <v>0</v>
      </c>
      <c r="O13">
        <v>94.23</v>
      </c>
      <c r="P13">
        <v>97.52</v>
      </c>
      <c r="T13">
        <v>4.404176103790113</v>
      </c>
      <c r="U13">
        <v>4.1500000000000004</v>
      </c>
      <c r="W13" t="s">
        <v>497</v>
      </c>
    </row>
    <row r="14" spans="1:23" x14ac:dyDescent="0.25">
      <c r="A14" t="s">
        <v>508</v>
      </c>
      <c r="B14" t="str">
        <f t="shared" si="0"/>
        <v>TD2B00000041</v>
      </c>
      <c r="C14" t="s">
        <v>237</v>
      </c>
      <c r="D14" t="s">
        <v>85</v>
      </c>
      <c r="E14" t="s">
        <v>507</v>
      </c>
      <c r="F14">
        <v>10000</v>
      </c>
      <c r="G14" s="13">
        <v>42270</v>
      </c>
      <c r="H14" s="13">
        <v>44099</v>
      </c>
      <c r="J14">
        <v>10000</v>
      </c>
      <c r="K14">
        <v>10000</v>
      </c>
      <c r="N14">
        <v>0</v>
      </c>
      <c r="O14">
        <v>100</v>
      </c>
      <c r="P14">
        <v>40</v>
      </c>
      <c r="T14">
        <v>4.0999999999999996</v>
      </c>
      <c r="U14">
        <v>4.0999999999999996</v>
      </c>
      <c r="W14" t="s">
        <v>497</v>
      </c>
    </row>
    <row r="15" spans="1:23" x14ac:dyDescent="0.25">
      <c r="A15" t="s">
        <v>509</v>
      </c>
      <c r="B15" t="str">
        <f t="shared" si="0"/>
        <v>TD2B00000051</v>
      </c>
      <c r="C15" t="s">
        <v>237</v>
      </c>
      <c r="D15" t="s">
        <v>85</v>
      </c>
      <c r="E15" t="s">
        <v>507</v>
      </c>
      <c r="F15">
        <v>10000</v>
      </c>
      <c r="G15" s="13">
        <v>42277</v>
      </c>
      <c r="H15" s="13">
        <v>44106</v>
      </c>
      <c r="J15">
        <v>10000</v>
      </c>
      <c r="K15">
        <v>10000</v>
      </c>
      <c r="N15">
        <v>0</v>
      </c>
      <c r="O15">
        <v>100</v>
      </c>
      <c r="P15">
        <v>40</v>
      </c>
      <c r="T15">
        <v>4.0999999999999996</v>
      </c>
      <c r="U15">
        <v>4.0999999999999996</v>
      </c>
      <c r="W15" t="s">
        <v>497</v>
      </c>
    </row>
    <row r="16" spans="1:23" x14ac:dyDescent="0.25">
      <c r="A16" t="s">
        <v>510</v>
      </c>
      <c r="B16" t="str">
        <f t="shared" si="0"/>
        <v>TD2B00000069</v>
      </c>
      <c r="C16" t="s">
        <v>237</v>
      </c>
      <c r="D16" t="s">
        <v>85</v>
      </c>
      <c r="E16" t="s">
        <v>507</v>
      </c>
      <c r="F16">
        <v>15000</v>
      </c>
      <c r="G16" s="13">
        <v>42305</v>
      </c>
      <c r="H16" s="13">
        <v>44134</v>
      </c>
      <c r="J16">
        <v>15000</v>
      </c>
      <c r="K16">
        <v>15000</v>
      </c>
      <c r="N16">
        <v>0</v>
      </c>
      <c r="O16">
        <v>100</v>
      </c>
      <c r="P16">
        <v>100</v>
      </c>
      <c r="T16">
        <v>4.0999999999999996</v>
      </c>
      <c r="U16">
        <v>4.0999999999999996</v>
      </c>
      <c r="W16" t="s">
        <v>497</v>
      </c>
    </row>
    <row r="17" spans="1:23" x14ac:dyDescent="0.25">
      <c r="A17" t="s">
        <v>511</v>
      </c>
      <c r="B17" t="str">
        <f t="shared" si="0"/>
        <v>GA2A00000014</v>
      </c>
      <c r="C17" t="s">
        <v>227</v>
      </c>
      <c r="D17" t="s">
        <v>85</v>
      </c>
      <c r="E17" t="s">
        <v>496</v>
      </c>
      <c r="F17">
        <v>5000</v>
      </c>
      <c r="G17" s="13">
        <v>42333</v>
      </c>
      <c r="H17" s="13">
        <v>43066</v>
      </c>
      <c r="I17">
        <v>2000</v>
      </c>
      <c r="J17">
        <v>3000</v>
      </c>
      <c r="K17">
        <v>5000</v>
      </c>
      <c r="N17">
        <v>0</v>
      </c>
      <c r="O17">
        <v>99.2</v>
      </c>
      <c r="P17">
        <v>100</v>
      </c>
      <c r="T17">
        <v>4.5375238960646191</v>
      </c>
      <c r="U17">
        <v>4.5</v>
      </c>
      <c r="W17" t="s">
        <v>497</v>
      </c>
    </row>
    <row r="18" spans="1:23" x14ac:dyDescent="0.25">
      <c r="A18" t="s">
        <v>512</v>
      </c>
      <c r="B18" t="str">
        <f t="shared" si="0"/>
        <v>TD2J00000017</v>
      </c>
      <c r="C18" t="s">
        <v>237</v>
      </c>
      <c r="D18" t="s">
        <v>85</v>
      </c>
      <c r="E18" t="s">
        <v>499</v>
      </c>
      <c r="F18">
        <v>30000</v>
      </c>
      <c r="G18" s="13">
        <v>42368</v>
      </c>
      <c r="H18" s="13">
        <v>43467</v>
      </c>
      <c r="I18">
        <v>30000</v>
      </c>
      <c r="J18">
        <v>0</v>
      </c>
      <c r="K18">
        <v>30000</v>
      </c>
      <c r="N18">
        <v>0</v>
      </c>
      <c r="O18">
        <v>100</v>
      </c>
      <c r="P18">
        <v>100</v>
      </c>
      <c r="T18">
        <v>4.0999999999999996</v>
      </c>
      <c r="U18">
        <v>4.0999999999999996</v>
      </c>
      <c r="W18" t="s">
        <v>497</v>
      </c>
    </row>
    <row r="19" spans="1:23" x14ac:dyDescent="0.25">
      <c r="A19" t="s">
        <v>513</v>
      </c>
      <c r="B19" t="str">
        <f t="shared" si="0"/>
        <v>TD2A00000025</v>
      </c>
      <c r="C19" t="s">
        <v>237</v>
      </c>
      <c r="D19" t="s">
        <v>85</v>
      </c>
      <c r="E19" t="s">
        <v>496</v>
      </c>
      <c r="F19">
        <v>35000</v>
      </c>
      <c r="G19" s="13">
        <v>42445</v>
      </c>
      <c r="H19" s="13">
        <v>43178</v>
      </c>
      <c r="J19">
        <v>0</v>
      </c>
      <c r="K19">
        <v>17000</v>
      </c>
      <c r="N19">
        <v>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4</v>
      </c>
      <c r="U19">
        <v>4</v>
      </c>
      <c r="W19" t="s">
        <v>497</v>
      </c>
    </row>
    <row r="20" spans="1:23" x14ac:dyDescent="0.25">
      <c r="A20" t="s">
        <v>514</v>
      </c>
      <c r="B20" t="str">
        <f t="shared" si="0"/>
        <v>GA2A00000023</v>
      </c>
      <c r="C20" t="s">
        <v>227</v>
      </c>
      <c r="D20" t="s">
        <v>85</v>
      </c>
      <c r="E20" t="s">
        <v>496</v>
      </c>
      <c r="F20">
        <v>1300</v>
      </c>
      <c r="G20" s="13">
        <v>42452</v>
      </c>
      <c r="H20" s="13">
        <v>43185</v>
      </c>
      <c r="I20">
        <v>1000</v>
      </c>
      <c r="J20">
        <v>300</v>
      </c>
      <c r="K20">
        <v>1300</v>
      </c>
      <c r="N20">
        <v>0</v>
      </c>
      <c r="O20">
        <v>95</v>
      </c>
      <c r="P20">
        <v>18.57</v>
      </c>
      <c r="T20">
        <v>4.7446455663093827</v>
      </c>
      <c r="U20">
        <v>4.5</v>
      </c>
      <c r="W20" t="s">
        <v>497</v>
      </c>
    </row>
    <row r="21" spans="1:23" x14ac:dyDescent="0.25">
      <c r="A21" t="s">
        <v>515</v>
      </c>
      <c r="B21" t="str">
        <f t="shared" si="0"/>
        <v>TD2K00000015</v>
      </c>
      <c r="C21" t="s">
        <v>237</v>
      </c>
      <c r="D21" t="s">
        <v>85</v>
      </c>
      <c r="E21" t="s">
        <v>516</v>
      </c>
      <c r="F21">
        <v>30000</v>
      </c>
      <c r="G21" s="13">
        <v>42452</v>
      </c>
      <c r="H21" s="13">
        <v>43915</v>
      </c>
      <c r="I21">
        <v>15300</v>
      </c>
      <c r="J21">
        <v>14700</v>
      </c>
      <c r="K21">
        <v>30000</v>
      </c>
      <c r="N21">
        <v>0</v>
      </c>
      <c r="O21">
        <v>98</v>
      </c>
      <c r="P21">
        <v>102</v>
      </c>
      <c r="T21">
        <v>4.0817577500981876</v>
      </c>
      <c r="U21" t="s">
        <v>517</v>
      </c>
      <c r="W21" t="s">
        <v>497</v>
      </c>
    </row>
    <row r="22" spans="1:23" x14ac:dyDescent="0.25">
      <c r="A22" t="s">
        <v>518</v>
      </c>
      <c r="B22" t="str">
        <f t="shared" si="0"/>
        <v>TD2A00000043</v>
      </c>
      <c r="C22" t="s">
        <v>237</v>
      </c>
      <c r="D22" t="s">
        <v>85</v>
      </c>
      <c r="E22" t="s">
        <v>496</v>
      </c>
      <c r="F22">
        <v>25000</v>
      </c>
      <c r="G22" s="13">
        <v>42508</v>
      </c>
      <c r="H22" s="13">
        <v>43241</v>
      </c>
      <c r="I22">
        <v>20000</v>
      </c>
      <c r="J22">
        <v>5000</v>
      </c>
      <c r="K22">
        <v>25000</v>
      </c>
      <c r="N22">
        <v>0</v>
      </c>
      <c r="O22">
        <v>99</v>
      </c>
      <c r="P22">
        <v>100</v>
      </c>
      <c r="T22">
        <v>3.5371777516879184</v>
      </c>
      <c r="U22">
        <v>3.5</v>
      </c>
      <c r="W22" t="s">
        <v>497</v>
      </c>
    </row>
    <row r="23" spans="1:23" x14ac:dyDescent="0.25">
      <c r="A23" t="s">
        <v>519</v>
      </c>
      <c r="B23" t="str">
        <f t="shared" si="0"/>
        <v>TD2A00000052</v>
      </c>
      <c r="C23" t="s">
        <v>237</v>
      </c>
      <c r="D23" t="s">
        <v>85</v>
      </c>
      <c r="E23" t="s">
        <v>496</v>
      </c>
      <c r="F23">
        <v>10200</v>
      </c>
      <c r="G23" s="13">
        <v>42515</v>
      </c>
      <c r="H23" s="13">
        <v>43248</v>
      </c>
      <c r="I23">
        <v>0</v>
      </c>
      <c r="J23">
        <v>10200</v>
      </c>
      <c r="K23">
        <v>10200</v>
      </c>
      <c r="N23">
        <v>0</v>
      </c>
      <c r="O23">
        <v>100</v>
      </c>
      <c r="P23">
        <v>100</v>
      </c>
      <c r="T23">
        <v>4</v>
      </c>
      <c r="U23">
        <v>4</v>
      </c>
      <c r="W23" t="s">
        <v>497</v>
      </c>
    </row>
    <row r="24" spans="1:23" x14ac:dyDescent="0.25">
      <c r="A24" t="s">
        <v>520</v>
      </c>
      <c r="B24" t="str">
        <f t="shared" si="0"/>
        <v>TD2A00000061</v>
      </c>
      <c r="C24" t="s">
        <v>237</v>
      </c>
      <c r="D24" t="s">
        <v>85</v>
      </c>
      <c r="E24" t="s">
        <v>496</v>
      </c>
      <c r="F24">
        <v>40157</v>
      </c>
      <c r="G24" s="13">
        <v>42543</v>
      </c>
      <c r="H24" s="13">
        <v>43276</v>
      </c>
      <c r="I24">
        <v>10157</v>
      </c>
      <c r="J24">
        <v>30000</v>
      </c>
      <c r="K24">
        <v>40157</v>
      </c>
      <c r="N24">
        <v>0</v>
      </c>
      <c r="O24">
        <v>100</v>
      </c>
      <c r="P24">
        <v>100</v>
      </c>
      <c r="T24">
        <v>3.5</v>
      </c>
      <c r="U24">
        <v>3.5</v>
      </c>
      <c r="W24" t="s">
        <v>497</v>
      </c>
    </row>
    <row r="25" spans="1:23" x14ac:dyDescent="0.25">
      <c r="A25" t="s">
        <v>514</v>
      </c>
      <c r="B25" t="str">
        <f t="shared" si="0"/>
        <v>GA2A00000023</v>
      </c>
      <c r="C25" t="s">
        <v>227</v>
      </c>
      <c r="D25" t="s">
        <v>85</v>
      </c>
      <c r="E25" t="s">
        <v>496</v>
      </c>
      <c r="F25">
        <v>4000</v>
      </c>
      <c r="G25" s="13">
        <v>42571</v>
      </c>
      <c r="H25" s="13">
        <v>43185</v>
      </c>
      <c r="I25">
        <v>4000</v>
      </c>
      <c r="J25">
        <v>0</v>
      </c>
      <c r="K25">
        <v>4000</v>
      </c>
      <c r="N25">
        <v>0</v>
      </c>
      <c r="O25">
        <v>96</v>
      </c>
      <c r="P25">
        <v>80</v>
      </c>
      <c r="T25">
        <v>4.6937247356012497</v>
      </c>
      <c r="U25">
        <v>4.5</v>
      </c>
      <c r="W25" t="s">
        <v>497</v>
      </c>
    </row>
    <row r="26" spans="1:23" x14ac:dyDescent="0.25">
      <c r="A26" t="s">
        <v>521</v>
      </c>
      <c r="B26" t="str">
        <f t="shared" si="0"/>
        <v>TD2J00000026</v>
      </c>
      <c r="C26" t="s">
        <v>237</v>
      </c>
      <c r="D26" t="s">
        <v>85</v>
      </c>
      <c r="E26" t="s">
        <v>499</v>
      </c>
      <c r="F26">
        <v>5000</v>
      </c>
      <c r="G26" s="13">
        <v>42620</v>
      </c>
      <c r="H26" s="13">
        <v>43717</v>
      </c>
      <c r="I26">
        <v>5000</v>
      </c>
      <c r="J26">
        <v>0</v>
      </c>
      <c r="K26">
        <v>5000</v>
      </c>
      <c r="N26">
        <v>0</v>
      </c>
      <c r="O26">
        <v>99</v>
      </c>
      <c r="P26">
        <v>100</v>
      </c>
      <c r="T26">
        <v>4.0407252209133935</v>
      </c>
      <c r="U26">
        <v>4</v>
      </c>
      <c r="W26" t="s">
        <v>497</v>
      </c>
    </row>
    <row r="27" spans="1:23" x14ac:dyDescent="0.25">
      <c r="A27" t="s">
        <v>522</v>
      </c>
      <c r="B27" t="str">
        <f t="shared" si="0"/>
        <v>TD2A00000383</v>
      </c>
      <c r="C27" t="s">
        <v>237</v>
      </c>
      <c r="D27" t="s">
        <v>85</v>
      </c>
      <c r="E27" t="s">
        <v>496</v>
      </c>
      <c r="F27">
        <v>5000</v>
      </c>
      <c r="G27" s="13">
        <v>42641</v>
      </c>
      <c r="H27" s="13">
        <v>43374</v>
      </c>
      <c r="J27">
        <v>5000</v>
      </c>
      <c r="K27">
        <v>5000</v>
      </c>
      <c r="N27">
        <v>0</v>
      </c>
      <c r="O27">
        <v>100</v>
      </c>
      <c r="P27">
        <v>100</v>
      </c>
      <c r="T27">
        <v>5</v>
      </c>
      <c r="U27">
        <v>5</v>
      </c>
      <c r="W27" t="s">
        <v>497</v>
      </c>
    </row>
    <row r="28" spans="1:23" x14ac:dyDescent="0.25">
      <c r="A28" t="s">
        <v>523</v>
      </c>
      <c r="B28" t="str">
        <f t="shared" si="0"/>
        <v>TD2A00000392</v>
      </c>
      <c r="C28" t="s">
        <v>237</v>
      </c>
      <c r="D28" t="s">
        <v>85</v>
      </c>
      <c r="E28" t="s">
        <v>496</v>
      </c>
      <c r="F28">
        <v>9000</v>
      </c>
      <c r="G28" s="13">
        <v>42662</v>
      </c>
      <c r="H28" s="13">
        <v>43395</v>
      </c>
      <c r="I28">
        <v>9000</v>
      </c>
      <c r="J28">
        <v>0</v>
      </c>
      <c r="K28">
        <v>9000</v>
      </c>
      <c r="N28">
        <v>0</v>
      </c>
      <c r="O28">
        <v>100</v>
      </c>
      <c r="P28">
        <v>100</v>
      </c>
      <c r="T28">
        <v>5</v>
      </c>
      <c r="U28">
        <v>5</v>
      </c>
      <c r="W28" t="s">
        <v>497</v>
      </c>
    </row>
    <row r="29" spans="1:23" x14ac:dyDescent="0.25">
      <c r="A29" t="s">
        <v>524</v>
      </c>
      <c r="B29" t="str">
        <f t="shared" si="0"/>
        <v>GA2A00000032</v>
      </c>
      <c r="C29" t="s">
        <v>227</v>
      </c>
      <c r="D29" t="s">
        <v>85</v>
      </c>
      <c r="E29" t="s">
        <v>496</v>
      </c>
      <c r="F29">
        <v>5000</v>
      </c>
      <c r="G29" s="13">
        <v>42697</v>
      </c>
      <c r="H29" s="13">
        <v>43430</v>
      </c>
      <c r="I29">
        <v>5000</v>
      </c>
      <c r="J29">
        <v>0</v>
      </c>
      <c r="K29">
        <v>5000</v>
      </c>
      <c r="N29">
        <v>0</v>
      </c>
      <c r="O29">
        <v>99.51</v>
      </c>
      <c r="P29">
        <v>250</v>
      </c>
      <c r="T29">
        <v>4.7741165124506644</v>
      </c>
      <c r="U29">
        <v>4.75</v>
      </c>
      <c r="W29" t="s">
        <v>497</v>
      </c>
    </row>
    <row r="30" spans="1:23" x14ac:dyDescent="0.25">
      <c r="A30" t="s">
        <v>525</v>
      </c>
      <c r="B30" t="str">
        <f t="shared" si="0"/>
        <v>GA2A00000032</v>
      </c>
      <c r="C30" t="s">
        <v>227</v>
      </c>
      <c r="D30" t="s">
        <v>85</v>
      </c>
      <c r="E30" t="s">
        <v>496</v>
      </c>
      <c r="F30">
        <v>10000</v>
      </c>
      <c r="G30" s="13">
        <v>42718.715671296297</v>
      </c>
      <c r="H30" s="13">
        <v>43430</v>
      </c>
      <c r="I30">
        <v>5000</v>
      </c>
      <c r="J30">
        <v>5000</v>
      </c>
      <c r="K30">
        <v>10000</v>
      </c>
      <c r="N30">
        <v>0</v>
      </c>
      <c r="O30">
        <v>98.62</v>
      </c>
      <c r="P30">
        <v>100</v>
      </c>
      <c r="T30">
        <v>4.8185194684367882</v>
      </c>
      <c r="U30">
        <v>4.75</v>
      </c>
      <c r="W30" t="s">
        <v>497</v>
      </c>
    </row>
    <row r="31" spans="1:23" x14ac:dyDescent="0.25">
      <c r="A31" t="s">
        <v>526</v>
      </c>
      <c r="B31" t="str">
        <f t="shared" si="0"/>
        <v>TD2A00000409</v>
      </c>
      <c r="C31" t="s">
        <v>237</v>
      </c>
      <c r="D31" t="s">
        <v>85</v>
      </c>
      <c r="E31" t="s">
        <v>496</v>
      </c>
      <c r="F31">
        <v>15000</v>
      </c>
      <c r="G31" s="13">
        <v>42732</v>
      </c>
      <c r="H31" s="13">
        <v>43465</v>
      </c>
      <c r="I31">
        <v>15000</v>
      </c>
      <c r="J31">
        <v>0</v>
      </c>
      <c r="K31">
        <v>15000</v>
      </c>
      <c r="N31">
        <v>0</v>
      </c>
      <c r="O31">
        <v>99</v>
      </c>
      <c r="P31">
        <v>60</v>
      </c>
      <c r="T31">
        <v>4.5469973916627744</v>
      </c>
      <c r="U31">
        <v>4.5</v>
      </c>
      <c r="W31" t="s">
        <v>497</v>
      </c>
    </row>
    <row r="32" spans="1:23" x14ac:dyDescent="0.25">
      <c r="A32" t="s">
        <v>527</v>
      </c>
      <c r="B32" t="str">
        <f t="shared" si="0"/>
        <v>GQ2B00000014</v>
      </c>
      <c r="C32" t="s">
        <v>528</v>
      </c>
      <c r="D32" t="s">
        <v>85</v>
      </c>
      <c r="E32" t="s">
        <v>507</v>
      </c>
      <c r="F32" t="s">
        <v>529</v>
      </c>
      <c r="G32" s="13">
        <v>42823</v>
      </c>
      <c r="H32" s="13" t="s">
        <v>529</v>
      </c>
      <c r="N32">
        <v>0</v>
      </c>
      <c r="O32" t="s">
        <v>529</v>
      </c>
      <c r="P32" t="e">
        <v>#VALUE!</v>
      </c>
      <c r="T32" t="e">
        <v>#VALUE!</v>
      </c>
      <c r="U32" t="s">
        <v>529</v>
      </c>
      <c r="W32" t="s">
        <v>497</v>
      </c>
    </row>
    <row r="33" spans="1:23" x14ac:dyDescent="0.25">
      <c r="A33" t="s">
        <v>530</v>
      </c>
      <c r="B33" t="str">
        <f t="shared" si="0"/>
        <v>TD2A00000418</v>
      </c>
      <c r="C33" t="s">
        <v>237</v>
      </c>
      <c r="D33" t="s">
        <v>85</v>
      </c>
      <c r="E33" t="s">
        <v>496</v>
      </c>
      <c r="F33">
        <v>26800</v>
      </c>
      <c r="G33" s="13">
        <v>42893</v>
      </c>
      <c r="H33" s="13">
        <v>43626</v>
      </c>
      <c r="I33">
        <v>26800</v>
      </c>
      <c r="J33">
        <v>0</v>
      </c>
      <c r="K33">
        <v>26800</v>
      </c>
      <c r="N33">
        <v>0</v>
      </c>
      <c r="O33">
        <v>100</v>
      </c>
      <c r="P33">
        <v>89.33</v>
      </c>
      <c r="Q33">
        <v>100</v>
      </c>
      <c r="R33">
        <v>100</v>
      </c>
      <c r="S33">
        <v>100</v>
      </c>
      <c r="T33">
        <v>4.5</v>
      </c>
      <c r="U33">
        <v>4.5</v>
      </c>
      <c r="W33" t="s">
        <v>497</v>
      </c>
    </row>
    <row r="34" spans="1:23" x14ac:dyDescent="0.25">
      <c r="A34" t="s">
        <v>531</v>
      </c>
      <c r="B34" t="str">
        <f t="shared" si="0"/>
        <v>GA2A00000041</v>
      </c>
      <c r="C34" t="s">
        <v>227</v>
      </c>
      <c r="D34" t="s">
        <v>85</v>
      </c>
      <c r="E34" t="s">
        <v>496</v>
      </c>
      <c r="F34">
        <v>8000</v>
      </c>
      <c r="G34" s="13">
        <v>42998</v>
      </c>
      <c r="H34" s="13">
        <v>43731</v>
      </c>
      <c r="I34">
        <v>0</v>
      </c>
      <c r="J34">
        <v>8000</v>
      </c>
      <c r="K34">
        <v>8000</v>
      </c>
      <c r="N34">
        <v>22.222222222222221</v>
      </c>
      <c r="O34">
        <v>99.38</v>
      </c>
      <c r="P34">
        <v>20</v>
      </c>
      <c r="Q34">
        <v>95</v>
      </c>
      <c r="R34">
        <v>95</v>
      </c>
      <c r="S34">
        <v>100</v>
      </c>
      <c r="T34">
        <v>4.5290295885351002</v>
      </c>
      <c r="U34">
        <v>4.5</v>
      </c>
      <c r="W34" t="s">
        <v>497</v>
      </c>
    </row>
    <row r="35" spans="1:23" x14ac:dyDescent="0.25">
      <c r="A35" t="s">
        <v>532</v>
      </c>
      <c r="B35" t="str">
        <f t="shared" si="0"/>
        <v>GA2A00000051</v>
      </c>
      <c r="C35" t="s">
        <v>227</v>
      </c>
      <c r="D35" t="s">
        <v>85</v>
      </c>
      <c r="E35" t="s">
        <v>496</v>
      </c>
      <c r="F35">
        <v>7500</v>
      </c>
      <c r="G35" s="13">
        <v>43180</v>
      </c>
      <c r="H35" s="13">
        <v>43913</v>
      </c>
      <c r="I35">
        <v>7500</v>
      </c>
      <c r="J35">
        <v>0</v>
      </c>
      <c r="K35">
        <v>7500</v>
      </c>
      <c r="N35">
        <v>11.111111111111111</v>
      </c>
      <c r="O35">
        <v>97.886700000000005</v>
      </c>
      <c r="P35">
        <v>100</v>
      </c>
      <c r="T35">
        <v>4.6004224932894555</v>
      </c>
      <c r="U35">
        <v>4.5</v>
      </c>
      <c r="W35" t="s">
        <v>497</v>
      </c>
    </row>
    <row r="36" spans="1:23" x14ac:dyDescent="0.25">
      <c r="A36" t="s">
        <v>533</v>
      </c>
      <c r="B36" t="str">
        <f t="shared" si="0"/>
        <v>GA2A00000051</v>
      </c>
      <c r="C36" t="s">
        <v>227</v>
      </c>
      <c r="D36" t="s">
        <v>85</v>
      </c>
      <c r="E36" t="s">
        <v>496</v>
      </c>
      <c r="F36">
        <v>4100</v>
      </c>
      <c r="G36" s="13">
        <v>43194</v>
      </c>
      <c r="H36" s="13">
        <v>43913</v>
      </c>
      <c r="I36">
        <v>3995.84</v>
      </c>
      <c r="J36">
        <v>104.15999999999985</v>
      </c>
      <c r="K36">
        <v>4100</v>
      </c>
      <c r="N36">
        <v>16.666666666666664</v>
      </c>
      <c r="O36">
        <v>96.083200000000005</v>
      </c>
      <c r="P36">
        <v>27.3611</v>
      </c>
      <c r="T36">
        <v>4.6895348152973177</v>
      </c>
      <c r="U36">
        <v>4.5</v>
      </c>
      <c r="W36" t="s">
        <v>497</v>
      </c>
    </row>
    <row r="37" spans="1:23" x14ac:dyDescent="0.25">
      <c r="A37" t="s">
        <v>534</v>
      </c>
      <c r="B37" t="str">
        <f t="shared" si="0"/>
        <v>GA2A00000069</v>
      </c>
      <c r="C37" t="s">
        <v>227</v>
      </c>
      <c r="D37" t="s">
        <v>85</v>
      </c>
      <c r="E37" t="s">
        <v>496</v>
      </c>
      <c r="F37">
        <v>27449</v>
      </c>
      <c r="G37" s="13">
        <v>43243</v>
      </c>
      <c r="H37" s="13">
        <v>43976</v>
      </c>
      <c r="I37">
        <v>12000</v>
      </c>
      <c r="J37">
        <v>15449</v>
      </c>
      <c r="K37">
        <v>27449</v>
      </c>
      <c r="N37">
        <v>22.222222222222221</v>
      </c>
      <c r="O37">
        <v>99.974599999999995</v>
      </c>
      <c r="P37">
        <v>78.424999999999997</v>
      </c>
      <c r="T37">
        <v>5.0013066108216551</v>
      </c>
      <c r="U37">
        <v>5</v>
      </c>
      <c r="W37" t="s">
        <v>497</v>
      </c>
    </row>
    <row r="38" spans="1:23" x14ac:dyDescent="0.25">
      <c r="A38" t="s">
        <v>535</v>
      </c>
      <c r="B38" t="str">
        <f t="shared" si="0"/>
        <v>GA2J00000069</v>
      </c>
      <c r="C38" t="s">
        <v>227</v>
      </c>
      <c r="D38" t="s">
        <v>85</v>
      </c>
      <c r="E38" t="s">
        <v>499</v>
      </c>
      <c r="F38">
        <v>8800</v>
      </c>
      <c r="G38" s="13">
        <v>43285</v>
      </c>
      <c r="H38" s="13">
        <v>44382</v>
      </c>
      <c r="I38">
        <v>2100</v>
      </c>
      <c r="J38">
        <v>6700</v>
      </c>
      <c r="K38">
        <v>8800</v>
      </c>
      <c r="N38">
        <v>16.666666666666664</v>
      </c>
      <c r="O38">
        <v>88.244299999999996</v>
      </c>
      <c r="P38">
        <v>80.25</v>
      </c>
      <c r="T38">
        <v>6.5180498698519722</v>
      </c>
      <c r="U38">
        <v>5.75</v>
      </c>
      <c r="W38" t="s">
        <v>497</v>
      </c>
    </row>
    <row r="39" spans="1:23" x14ac:dyDescent="0.25">
      <c r="A39" t="s">
        <v>536</v>
      </c>
      <c r="B39" t="str">
        <f t="shared" si="0"/>
        <v>GA2J00000069</v>
      </c>
      <c r="C39" t="s">
        <v>227</v>
      </c>
      <c r="D39" t="s">
        <v>85</v>
      </c>
      <c r="E39" t="s">
        <v>499</v>
      </c>
      <c r="F39">
        <v>5000</v>
      </c>
      <c r="G39" s="13">
        <v>43313</v>
      </c>
      <c r="H39" s="13">
        <v>44382</v>
      </c>
      <c r="I39">
        <v>0</v>
      </c>
      <c r="J39">
        <v>5000</v>
      </c>
      <c r="K39">
        <v>5000</v>
      </c>
      <c r="N39">
        <v>11.111111111111111</v>
      </c>
      <c r="O39">
        <v>75.441100000000006</v>
      </c>
      <c r="P39">
        <v>66.666700000000006</v>
      </c>
      <c r="T39">
        <v>7.6257142080207032</v>
      </c>
      <c r="U39">
        <v>5.75</v>
      </c>
      <c r="W39" t="s">
        <v>497</v>
      </c>
    </row>
    <row r="40" spans="1:23" x14ac:dyDescent="0.25">
      <c r="A40" t="s">
        <v>537</v>
      </c>
      <c r="B40" t="str">
        <f t="shared" si="0"/>
        <v>GA2B00000026</v>
      </c>
      <c r="C40" t="s">
        <v>227</v>
      </c>
      <c r="D40" t="s">
        <v>85</v>
      </c>
      <c r="E40" t="s">
        <v>507</v>
      </c>
      <c r="F40">
        <v>10000</v>
      </c>
      <c r="G40" s="13">
        <v>43313</v>
      </c>
      <c r="H40" s="13">
        <v>45141</v>
      </c>
      <c r="I40">
        <v>0</v>
      </c>
      <c r="J40">
        <v>10000</v>
      </c>
      <c r="K40">
        <v>10000</v>
      </c>
      <c r="N40">
        <v>5.5555555555555554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7</v>
      </c>
      <c r="U40">
        <v>7</v>
      </c>
      <c r="W40" t="s">
        <v>497</v>
      </c>
    </row>
    <row r="41" spans="1:23" x14ac:dyDescent="0.25">
      <c r="A41" t="s">
        <v>531</v>
      </c>
      <c r="B41" t="str">
        <f t="shared" si="0"/>
        <v>GA2A00000041</v>
      </c>
      <c r="C41" t="s">
        <v>227</v>
      </c>
      <c r="D41" t="s">
        <v>85</v>
      </c>
      <c r="E41" t="s">
        <v>496</v>
      </c>
      <c r="F41">
        <v>18600</v>
      </c>
      <c r="G41" s="13">
        <v>43355</v>
      </c>
      <c r="H41" s="13">
        <v>43731</v>
      </c>
      <c r="I41">
        <v>11100</v>
      </c>
      <c r="J41">
        <v>7500</v>
      </c>
      <c r="K41">
        <v>18600</v>
      </c>
      <c r="N41">
        <v>0</v>
      </c>
      <c r="O41">
        <v>96.1648</v>
      </c>
      <c r="P41">
        <v>93</v>
      </c>
      <c r="Q41">
        <v>75</v>
      </c>
      <c r="R41">
        <v>75</v>
      </c>
      <c r="S41">
        <v>100</v>
      </c>
      <c r="T41">
        <v>4.7193484518243682</v>
      </c>
      <c r="U41">
        <v>4.5</v>
      </c>
      <c r="W41" t="s">
        <v>497</v>
      </c>
    </row>
    <row r="42" spans="1:23" x14ac:dyDescent="0.25">
      <c r="A42" t="s">
        <v>538</v>
      </c>
      <c r="B42" t="str">
        <f t="shared" si="0"/>
        <v>GA2A00000051</v>
      </c>
      <c r="C42" t="s">
        <v>227</v>
      </c>
      <c r="D42" t="s">
        <v>85</v>
      </c>
      <c r="E42" t="s">
        <v>496</v>
      </c>
      <c r="F42">
        <v>3282</v>
      </c>
      <c r="G42" s="13">
        <v>43397</v>
      </c>
      <c r="H42" s="13">
        <v>43913</v>
      </c>
      <c r="I42">
        <v>2980</v>
      </c>
      <c r="J42">
        <v>302</v>
      </c>
      <c r="K42">
        <v>3282</v>
      </c>
      <c r="N42">
        <v>11.111111111111111</v>
      </c>
      <c r="O42">
        <v>91.761300000000006</v>
      </c>
      <c r="P42">
        <v>21.88</v>
      </c>
      <c r="T42">
        <v>4.9170083522101953</v>
      </c>
      <c r="U42">
        <v>4.5</v>
      </c>
      <c r="W42" t="s">
        <v>497</v>
      </c>
    </row>
    <row r="43" spans="1:23" x14ac:dyDescent="0.25">
      <c r="A43" t="s">
        <v>539</v>
      </c>
      <c r="B43" t="str">
        <f t="shared" si="0"/>
        <v>GA2A00000051</v>
      </c>
      <c r="C43" t="s">
        <v>227</v>
      </c>
      <c r="D43" t="s">
        <v>85</v>
      </c>
      <c r="E43" t="s">
        <v>496</v>
      </c>
      <c r="F43">
        <v>15000</v>
      </c>
      <c r="G43" s="13">
        <v>43432</v>
      </c>
      <c r="H43" s="13">
        <v>43913</v>
      </c>
      <c r="I43">
        <v>15000</v>
      </c>
      <c r="J43">
        <v>0</v>
      </c>
      <c r="K43">
        <v>15000</v>
      </c>
      <c r="N43">
        <v>22.222222222222221</v>
      </c>
      <c r="O43">
        <v>101.7735</v>
      </c>
      <c r="P43">
        <v>136.66669999999999</v>
      </c>
      <c r="Q43">
        <v>96</v>
      </c>
      <c r="R43">
        <v>96</v>
      </c>
      <c r="S43">
        <v>100</v>
      </c>
      <c r="T43">
        <v>4.4188684205100195</v>
      </c>
      <c r="U43">
        <v>4.5</v>
      </c>
      <c r="W43" t="s">
        <v>497</v>
      </c>
    </row>
    <row r="44" spans="1:23" x14ac:dyDescent="0.25">
      <c r="A44" t="s">
        <v>539</v>
      </c>
      <c r="B44" t="str">
        <f t="shared" si="0"/>
        <v>GA2A00000051</v>
      </c>
      <c r="C44" t="s">
        <v>227</v>
      </c>
      <c r="D44" t="s">
        <v>85</v>
      </c>
      <c r="E44" t="s">
        <v>496</v>
      </c>
      <c r="F44">
        <v>11000</v>
      </c>
      <c r="G44" s="13">
        <v>43446</v>
      </c>
      <c r="H44" s="13">
        <v>43913</v>
      </c>
      <c r="I44">
        <v>5000</v>
      </c>
      <c r="J44">
        <v>6000</v>
      </c>
      <c r="K44">
        <v>11000</v>
      </c>
      <c r="N44">
        <v>22.222222222222221</v>
      </c>
      <c r="O44">
        <v>99.391000000000005</v>
      </c>
      <c r="P44">
        <v>93.6</v>
      </c>
      <c r="Q44">
        <v>95</v>
      </c>
      <c r="R44">
        <v>95</v>
      </c>
      <c r="S44">
        <v>97</v>
      </c>
      <c r="T44">
        <v>4.5285114661114054</v>
      </c>
      <c r="U44">
        <v>4.5</v>
      </c>
      <c r="W44" t="s">
        <v>497</v>
      </c>
    </row>
    <row r="45" spans="1:23" x14ac:dyDescent="0.25">
      <c r="A45" t="s">
        <v>540</v>
      </c>
      <c r="B45" t="str">
        <f t="shared" si="0"/>
        <v>CM2J00000014</v>
      </c>
      <c r="C45" t="s">
        <v>225</v>
      </c>
      <c r="D45" t="s">
        <v>85</v>
      </c>
      <c r="E45" t="s">
        <v>499</v>
      </c>
      <c r="F45">
        <v>14770</v>
      </c>
      <c r="G45" s="13">
        <v>43516</v>
      </c>
      <c r="H45" s="13">
        <v>44614</v>
      </c>
      <c r="I45">
        <v>12770</v>
      </c>
      <c r="J45">
        <v>2000</v>
      </c>
      <c r="K45">
        <v>14770</v>
      </c>
      <c r="N45">
        <v>28.571428571428569</v>
      </c>
      <c r="O45">
        <v>98.515000000000001</v>
      </c>
      <c r="P45">
        <v>78.2</v>
      </c>
      <c r="Q45">
        <v>96.5</v>
      </c>
      <c r="R45">
        <v>96.5</v>
      </c>
      <c r="S45">
        <v>100</v>
      </c>
      <c r="T45">
        <v>3.756304399452961</v>
      </c>
      <c r="U45">
        <v>3.7</v>
      </c>
      <c r="W45" t="s">
        <v>497</v>
      </c>
    </row>
    <row r="46" spans="1:23" x14ac:dyDescent="0.25">
      <c r="A46" t="s">
        <v>541</v>
      </c>
      <c r="B46" t="str">
        <f t="shared" si="0"/>
        <v>GQ2A00000015</v>
      </c>
      <c r="C46" t="s">
        <v>528</v>
      </c>
      <c r="D46" t="s">
        <v>85</v>
      </c>
      <c r="E46" t="s">
        <v>496</v>
      </c>
      <c r="F46">
        <v>32333.33</v>
      </c>
      <c r="G46" s="13">
        <v>43509</v>
      </c>
      <c r="H46" s="13">
        <v>44240</v>
      </c>
      <c r="I46">
        <v>32333.33</v>
      </c>
      <c r="J46">
        <v>0</v>
      </c>
      <c r="K46">
        <v>32333.33</v>
      </c>
      <c r="N46">
        <v>0</v>
      </c>
      <c r="T46">
        <v>5</v>
      </c>
      <c r="U46">
        <v>5</v>
      </c>
      <c r="W46" t="s">
        <v>542</v>
      </c>
    </row>
    <row r="47" spans="1:23" x14ac:dyDescent="0.25">
      <c r="A47" t="s">
        <v>543</v>
      </c>
      <c r="B47" t="str">
        <f t="shared" si="0"/>
        <v>GQ2J00000016</v>
      </c>
      <c r="C47" t="s">
        <v>528</v>
      </c>
      <c r="D47" t="s">
        <v>85</v>
      </c>
      <c r="E47" t="s">
        <v>499</v>
      </c>
      <c r="F47">
        <v>32333.33</v>
      </c>
      <c r="G47" s="13">
        <v>43509</v>
      </c>
      <c r="H47" s="13">
        <v>44605</v>
      </c>
      <c r="I47">
        <v>32333.33</v>
      </c>
      <c r="J47">
        <v>0</v>
      </c>
      <c r="K47">
        <v>32333.33</v>
      </c>
      <c r="N47">
        <v>0</v>
      </c>
      <c r="T47">
        <v>5</v>
      </c>
      <c r="U47">
        <v>5</v>
      </c>
      <c r="W47" t="s">
        <v>542</v>
      </c>
    </row>
    <row r="48" spans="1:23" x14ac:dyDescent="0.25">
      <c r="A48" t="s">
        <v>544</v>
      </c>
      <c r="B48" t="str">
        <f t="shared" si="0"/>
        <v>GQ2K00000013</v>
      </c>
      <c r="C48" t="s">
        <v>528</v>
      </c>
      <c r="D48" t="s">
        <v>85</v>
      </c>
      <c r="E48" t="s">
        <v>516</v>
      </c>
      <c r="F48">
        <v>32333.33</v>
      </c>
      <c r="G48" s="13">
        <v>43509</v>
      </c>
      <c r="H48" s="13">
        <v>44970</v>
      </c>
      <c r="I48">
        <v>32333.33</v>
      </c>
      <c r="J48">
        <v>0</v>
      </c>
      <c r="K48">
        <v>32333.33</v>
      </c>
      <c r="N48">
        <v>0</v>
      </c>
      <c r="T48">
        <v>5</v>
      </c>
      <c r="U48">
        <v>5</v>
      </c>
      <c r="W48" t="s">
        <v>542</v>
      </c>
    </row>
    <row r="49" spans="1:23" x14ac:dyDescent="0.25">
      <c r="A49" t="s">
        <v>545</v>
      </c>
      <c r="B49" t="str">
        <f t="shared" si="0"/>
        <v>GQ2B00000014</v>
      </c>
      <c r="C49" t="s">
        <v>528</v>
      </c>
      <c r="D49" t="s">
        <v>85</v>
      </c>
      <c r="E49" t="s">
        <v>507</v>
      </c>
      <c r="F49">
        <v>32333.33</v>
      </c>
      <c r="G49" s="13">
        <v>43509</v>
      </c>
      <c r="H49" s="13">
        <v>45335</v>
      </c>
      <c r="I49">
        <v>32333.33</v>
      </c>
      <c r="J49">
        <v>0</v>
      </c>
      <c r="K49">
        <v>32333.33</v>
      </c>
      <c r="N49">
        <v>0</v>
      </c>
      <c r="T49">
        <v>5</v>
      </c>
      <c r="U49">
        <v>5</v>
      </c>
      <c r="W49" t="s">
        <v>542</v>
      </c>
    </row>
    <row r="50" spans="1:23" x14ac:dyDescent="0.25">
      <c r="A50" t="s">
        <v>546</v>
      </c>
      <c r="B50" t="str">
        <f t="shared" si="0"/>
        <v>GQ2L00000012</v>
      </c>
      <c r="C50" t="s">
        <v>528</v>
      </c>
      <c r="D50" t="s">
        <v>85</v>
      </c>
      <c r="E50" t="s">
        <v>547</v>
      </c>
      <c r="F50">
        <v>32333.33</v>
      </c>
      <c r="G50" s="13">
        <v>43509</v>
      </c>
      <c r="H50" s="13">
        <v>45701</v>
      </c>
      <c r="I50">
        <v>32333.33</v>
      </c>
      <c r="J50">
        <v>0</v>
      </c>
      <c r="K50">
        <v>32333.33</v>
      </c>
      <c r="N50">
        <v>0</v>
      </c>
      <c r="T50">
        <v>5</v>
      </c>
      <c r="U50">
        <v>5</v>
      </c>
      <c r="W50" t="s">
        <v>542</v>
      </c>
    </row>
    <row r="51" spans="1:23" x14ac:dyDescent="0.25">
      <c r="A51" t="s">
        <v>548</v>
      </c>
      <c r="B51" t="str">
        <f t="shared" si="0"/>
        <v>GQ2C00000013</v>
      </c>
      <c r="C51" t="s">
        <v>528</v>
      </c>
      <c r="D51" t="s">
        <v>85</v>
      </c>
      <c r="E51" t="s">
        <v>549</v>
      </c>
      <c r="F51">
        <v>32333.33</v>
      </c>
      <c r="G51" s="13">
        <v>43509</v>
      </c>
      <c r="H51" s="13">
        <v>46066</v>
      </c>
      <c r="I51">
        <v>32333.33</v>
      </c>
      <c r="J51">
        <v>0</v>
      </c>
      <c r="K51">
        <v>32333.33</v>
      </c>
      <c r="N51">
        <v>0</v>
      </c>
      <c r="T51">
        <v>5</v>
      </c>
      <c r="U51">
        <v>5</v>
      </c>
      <c r="W51" t="s">
        <v>542</v>
      </c>
    </row>
    <row r="52" spans="1:23" x14ac:dyDescent="0.25">
      <c r="A52" t="s">
        <v>550</v>
      </c>
      <c r="B52" t="str">
        <f t="shared" si="0"/>
        <v>GQ2M00000011</v>
      </c>
      <c r="C52" t="s">
        <v>528</v>
      </c>
      <c r="D52" t="s">
        <v>85</v>
      </c>
      <c r="E52" t="s">
        <v>551</v>
      </c>
      <c r="F52">
        <v>32333.33</v>
      </c>
      <c r="G52" s="13">
        <v>43509</v>
      </c>
      <c r="H52" s="13">
        <v>46431</v>
      </c>
      <c r="I52">
        <v>32333.33</v>
      </c>
      <c r="J52">
        <v>0</v>
      </c>
      <c r="K52">
        <v>32333.33</v>
      </c>
      <c r="N52">
        <v>0</v>
      </c>
      <c r="T52">
        <v>5</v>
      </c>
      <c r="U52">
        <v>5</v>
      </c>
      <c r="W52" t="s">
        <v>542</v>
      </c>
    </row>
    <row r="53" spans="1:23" x14ac:dyDescent="0.25">
      <c r="A53" t="s">
        <v>552</v>
      </c>
      <c r="B53" t="str">
        <f t="shared" si="0"/>
        <v>GQ2N00000010</v>
      </c>
      <c r="C53" t="s">
        <v>528</v>
      </c>
      <c r="D53" t="s">
        <v>85</v>
      </c>
      <c r="E53" t="s">
        <v>553</v>
      </c>
      <c r="F53">
        <v>32333.33</v>
      </c>
      <c r="G53" s="13">
        <v>43509</v>
      </c>
      <c r="H53" s="13">
        <v>46796</v>
      </c>
      <c r="I53">
        <v>32333.33</v>
      </c>
      <c r="J53">
        <v>0</v>
      </c>
      <c r="K53">
        <v>32333.33</v>
      </c>
      <c r="N53">
        <v>0</v>
      </c>
      <c r="T53">
        <v>5</v>
      </c>
      <c r="U53">
        <v>5</v>
      </c>
      <c r="W53" t="s">
        <v>542</v>
      </c>
    </row>
    <row r="54" spans="1:23" x14ac:dyDescent="0.25">
      <c r="A54" t="s">
        <v>554</v>
      </c>
      <c r="B54" t="str">
        <f t="shared" si="0"/>
        <v>GQ2D00000012</v>
      </c>
      <c r="C54" t="s">
        <v>528</v>
      </c>
      <c r="D54" t="s">
        <v>85</v>
      </c>
      <c r="E54" t="s">
        <v>555</v>
      </c>
      <c r="F54">
        <v>32333.33</v>
      </c>
      <c r="G54" s="13">
        <v>43509</v>
      </c>
      <c r="H54" s="13">
        <v>47162</v>
      </c>
      <c r="I54">
        <v>32333.33</v>
      </c>
      <c r="J54">
        <v>0</v>
      </c>
      <c r="K54">
        <v>32333.33</v>
      </c>
      <c r="N54">
        <v>0</v>
      </c>
      <c r="T54">
        <v>5</v>
      </c>
      <c r="U54">
        <v>5</v>
      </c>
      <c r="W54" t="s">
        <v>542</v>
      </c>
    </row>
    <row r="55" spans="1:23" x14ac:dyDescent="0.25">
      <c r="A55" t="s">
        <v>556</v>
      </c>
      <c r="B55" t="str">
        <f t="shared" si="0"/>
        <v>GA2J00000085</v>
      </c>
      <c r="C55" t="s">
        <v>227</v>
      </c>
      <c r="D55" t="s">
        <v>85</v>
      </c>
      <c r="E55" t="s">
        <v>499</v>
      </c>
      <c r="F55">
        <v>15000</v>
      </c>
      <c r="G55" s="13">
        <v>43565</v>
      </c>
      <c r="H55" s="13">
        <v>44649</v>
      </c>
      <c r="I55">
        <v>15000</v>
      </c>
      <c r="J55">
        <v>0</v>
      </c>
      <c r="K55">
        <v>15000</v>
      </c>
      <c r="N55">
        <v>5.5555555555555554</v>
      </c>
      <c r="O55">
        <v>99.219899999999996</v>
      </c>
      <c r="P55">
        <v>85.714299999999994</v>
      </c>
      <c r="Q55">
        <v>99</v>
      </c>
      <c r="R55">
        <v>99</v>
      </c>
      <c r="S55">
        <v>99</v>
      </c>
      <c r="T55">
        <v>5.7953540946887312</v>
      </c>
      <c r="U55">
        <v>5.75</v>
      </c>
      <c r="W55" t="s">
        <v>497</v>
      </c>
    </row>
    <row r="56" spans="1:23" x14ac:dyDescent="0.25">
      <c r="A56" t="s">
        <v>557</v>
      </c>
      <c r="B56" t="str">
        <f t="shared" si="0"/>
        <v>CM2J00000022</v>
      </c>
      <c r="C56" t="s">
        <v>225</v>
      </c>
      <c r="D56" t="s">
        <v>85</v>
      </c>
      <c r="E56" t="s">
        <v>499</v>
      </c>
      <c r="F56">
        <v>72540</v>
      </c>
      <c r="G56" s="13">
        <v>43607</v>
      </c>
      <c r="H56" s="13">
        <v>44705</v>
      </c>
      <c r="I56">
        <v>64540</v>
      </c>
      <c r="J56">
        <v>8000</v>
      </c>
      <c r="K56">
        <v>72540</v>
      </c>
      <c r="N56">
        <v>38.095238095238095</v>
      </c>
      <c r="O56">
        <v>99.672600000000003</v>
      </c>
      <c r="P56">
        <v>77.14</v>
      </c>
      <c r="Q56">
        <v>98</v>
      </c>
      <c r="R56">
        <v>98</v>
      </c>
      <c r="S56">
        <v>100</v>
      </c>
      <c r="T56">
        <v>4.0132444807126726</v>
      </c>
      <c r="U56">
        <v>4</v>
      </c>
      <c r="W56" t="s">
        <v>497</v>
      </c>
    </row>
    <row r="57" spans="1:23" x14ac:dyDescent="0.25">
      <c r="A57" t="s">
        <v>558</v>
      </c>
      <c r="B57" t="str">
        <f t="shared" si="0"/>
        <v>CM2K00000011</v>
      </c>
      <c r="C57" t="s">
        <v>225</v>
      </c>
      <c r="D57" t="s">
        <v>85</v>
      </c>
      <c r="E57" t="s">
        <v>516</v>
      </c>
      <c r="F57">
        <v>48482</v>
      </c>
      <c r="G57" s="13">
        <v>43614</v>
      </c>
      <c r="H57" s="13">
        <v>45077</v>
      </c>
      <c r="I57">
        <v>48482</v>
      </c>
      <c r="J57">
        <v>0</v>
      </c>
      <c r="K57">
        <v>48482</v>
      </c>
      <c r="N57">
        <v>28.571428571428569</v>
      </c>
      <c r="O57">
        <v>98.278499999999994</v>
      </c>
      <c r="P57">
        <v>48.654000000000003</v>
      </c>
      <c r="Q57">
        <v>96</v>
      </c>
      <c r="R57">
        <v>96</v>
      </c>
      <c r="S57">
        <v>100</v>
      </c>
      <c r="T57">
        <v>4.8332767837960358</v>
      </c>
      <c r="U57">
        <v>4.75</v>
      </c>
      <c r="W57" t="s">
        <v>497</v>
      </c>
    </row>
    <row r="58" spans="1:23" x14ac:dyDescent="0.25">
      <c r="A58" t="s">
        <v>559</v>
      </c>
      <c r="B58" t="str">
        <f t="shared" si="0"/>
        <v>GA2J00000069</v>
      </c>
      <c r="C58" t="s">
        <v>227</v>
      </c>
      <c r="D58" t="s">
        <v>85</v>
      </c>
      <c r="E58" t="s">
        <v>499</v>
      </c>
      <c r="F58">
        <v>8500</v>
      </c>
      <c r="G58" s="13">
        <v>43593</v>
      </c>
      <c r="H58" s="13">
        <v>44382</v>
      </c>
      <c r="I58">
        <v>1500</v>
      </c>
      <c r="J58">
        <v>7000</v>
      </c>
      <c r="K58">
        <v>8500</v>
      </c>
      <c r="N58">
        <v>22.222222222222221</v>
      </c>
      <c r="O58">
        <v>101.82259999999999</v>
      </c>
      <c r="P58">
        <v>85</v>
      </c>
      <c r="Q58">
        <v>94</v>
      </c>
      <c r="R58">
        <v>94</v>
      </c>
      <c r="S58">
        <v>100</v>
      </c>
      <c r="T58">
        <v>5.6447349365282848</v>
      </c>
      <c r="U58">
        <v>5.75</v>
      </c>
      <c r="W58" t="s">
        <v>497</v>
      </c>
    </row>
    <row r="59" spans="1:23" x14ac:dyDescent="0.25">
      <c r="A59" t="s">
        <v>560</v>
      </c>
      <c r="B59" t="str">
        <f t="shared" si="0"/>
        <v>CG2A00000015</v>
      </c>
      <c r="C59" t="s">
        <v>229</v>
      </c>
      <c r="D59" t="s">
        <v>85</v>
      </c>
      <c r="E59" t="s">
        <v>496</v>
      </c>
      <c r="F59">
        <v>22500</v>
      </c>
      <c r="G59" s="13">
        <v>43635</v>
      </c>
      <c r="H59" s="13">
        <v>44368</v>
      </c>
      <c r="I59">
        <v>0</v>
      </c>
      <c r="J59">
        <v>22500</v>
      </c>
      <c r="K59">
        <v>22500</v>
      </c>
      <c r="N59">
        <v>8.695652173913043</v>
      </c>
      <c r="O59">
        <v>88.555599999999998</v>
      </c>
      <c r="P59">
        <v>120</v>
      </c>
      <c r="Q59">
        <v>87</v>
      </c>
      <c r="R59">
        <v>87</v>
      </c>
      <c r="S59">
        <v>90</v>
      </c>
      <c r="T59">
        <v>7.3538375645435332</v>
      </c>
      <c r="U59">
        <v>6.5</v>
      </c>
      <c r="W59" t="s">
        <v>497</v>
      </c>
    </row>
    <row r="60" spans="1:23" x14ac:dyDescent="0.25">
      <c r="A60" t="s">
        <v>561</v>
      </c>
      <c r="B60" t="str">
        <f t="shared" si="0"/>
        <v>CM2B00000020</v>
      </c>
      <c r="C60" t="s">
        <v>225</v>
      </c>
      <c r="D60" t="s">
        <v>85</v>
      </c>
      <c r="E60" t="s">
        <v>507</v>
      </c>
      <c r="F60">
        <v>100000</v>
      </c>
      <c r="G60" s="13">
        <v>43628</v>
      </c>
      <c r="H60" s="13">
        <v>45457</v>
      </c>
      <c r="I60">
        <v>53585.1</v>
      </c>
      <c r="J60">
        <v>0</v>
      </c>
      <c r="K60">
        <v>53585.1</v>
      </c>
      <c r="N60">
        <v>23.809523809523807</v>
      </c>
      <c r="O60">
        <v>98.174999999999997</v>
      </c>
      <c r="P60">
        <v>53.585099999999997</v>
      </c>
      <c r="Q60">
        <v>96</v>
      </c>
      <c r="R60">
        <v>96</v>
      </c>
      <c r="S60">
        <v>100</v>
      </c>
      <c r="T60">
        <v>5.7041076520188145</v>
      </c>
      <c r="U60">
        <v>5.6</v>
      </c>
      <c r="W60" t="s">
        <v>497</v>
      </c>
    </row>
    <row r="61" spans="1:23" x14ac:dyDescent="0.25">
      <c r="A61" t="s">
        <v>556</v>
      </c>
      <c r="B61" t="str">
        <f t="shared" si="0"/>
        <v>GA2J00000085</v>
      </c>
      <c r="C61" t="s">
        <v>227</v>
      </c>
      <c r="D61" t="s">
        <v>85</v>
      </c>
      <c r="E61" t="s">
        <v>499</v>
      </c>
      <c r="F61">
        <v>18050</v>
      </c>
      <c r="G61" s="13">
        <v>43649.583333333336</v>
      </c>
      <c r="H61" s="13">
        <v>44649</v>
      </c>
      <c r="I61">
        <v>2000</v>
      </c>
      <c r="J61">
        <v>16050</v>
      </c>
      <c r="K61">
        <v>18050</v>
      </c>
      <c r="N61">
        <v>16.666666666666664</v>
      </c>
      <c r="O61">
        <v>99.86</v>
      </c>
      <c r="P61">
        <v>90.25</v>
      </c>
      <c r="Q61">
        <v>94</v>
      </c>
      <c r="R61">
        <v>94</v>
      </c>
      <c r="S61">
        <v>100</v>
      </c>
      <c r="T61">
        <v>5.7580875251239076</v>
      </c>
      <c r="U61">
        <v>5.75</v>
      </c>
      <c r="W61" t="s">
        <v>497</v>
      </c>
    </row>
    <row r="62" spans="1:23" x14ac:dyDescent="0.25">
      <c r="A62" t="s">
        <v>561</v>
      </c>
      <c r="B62" t="str">
        <f t="shared" si="0"/>
        <v>CM2B00000020</v>
      </c>
      <c r="C62" t="s">
        <v>225</v>
      </c>
      <c r="D62" t="s">
        <v>85</v>
      </c>
      <c r="E62" t="s">
        <v>507</v>
      </c>
      <c r="F62">
        <v>18418</v>
      </c>
      <c r="G62" s="13">
        <v>43677.645833333336</v>
      </c>
      <c r="H62" s="13">
        <v>45457</v>
      </c>
      <c r="I62">
        <v>18418</v>
      </c>
      <c r="J62">
        <v>0</v>
      </c>
      <c r="K62">
        <v>18418</v>
      </c>
      <c r="N62">
        <v>28.571428571428569</v>
      </c>
      <c r="O62">
        <v>99</v>
      </c>
      <c r="P62">
        <v>24.417999999999999</v>
      </c>
      <c r="Q62">
        <v>96.5</v>
      </c>
      <c r="R62">
        <v>96.5</v>
      </c>
      <c r="S62">
        <v>100</v>
      </c>
      <c r="T62">
        <v>5.656570028752153</v>
      </c>
      <c r="U62">
        <v>5.6</v>
      </c>
      <c r="W62" t="s">
        <v>497</v>
      </c>
    </row>
    <row r="63" spans="1:23" x14ac:dyDescent="0.25">
      <c r="A63" t="s">
        <v>557</v>
      </c>
      <c r="B63" t="str">
        <f t="shared" si="0"/>
        <v>CM2J00000022</v>
      </c>
      <c r="C63" t="s">
        <v>225</v>
      </c>
      <c r="D63" t="s">
        <v>85</v>
      </c>
      <c r="E63" t="s">
        <v>499</v>
      </c>
      <c r="F63">
        <v>10500</v>
      </c>
      <c r="G63" s="13">
        <v>43698.583333333336</v>
      </c>
      <c r="H63" s="13">
        <v>44705</v>
      </c>
      <c r="I63">
        <v>10500</v>
      </c>
      <c r="J63">
        <v>0</v>
      </c>
      <c r="K63">
        <v>10500</v>
      </c>
      <c r="N63">
        <v>14.285714285714285</v>
      </c>
      <c r="O63">
        <v>98.994500000000002</v>
      </c>
      <c r="P63">
        <v>28</v>
      </c>
      <c r="Q63">
        <v>98</v>
      </c>
      <c r="R63">
        <v>98</v>
      </c>
      <c r="S63">
        <v>98</v>
      </c>
      <c r="T63">
        <v>4.0409514589668873</v>
      </c>
      <c r="U63">
        <v>4</v>
      </c>
      <c r="W63" t="s">
        <v>497</v>
      </c>
    </row>
    <row r="64" spans="1:23" x14ac:dyDescent="0.25">
      <c r="A64" t="s">
        <v>562</v>
      </c>
      <c r="B64" t="str">
        <f t="shared" si="0"/>
        <v>CG2A00000023</v>
      </c>
      <c r="C64" t="s">
        <v>229</v>
      </c>
      <c r="D64" t="s">
        <v>85</v>
      </c>
      <c r="E64" t="s">
        <v>496</v>
      </c>
      <c r="F64">
        <v>24000</v>
      </c>
      <c r="G64" s="13">
        <v>43712</v>
      </c>
      <c r="H64" s="13">
        <v>44445</v>
      </c>
      <c r="I64">
        <v>20000</v>
      </c>
      <c r="J64">
        <v>4000</v>
      </c>
      <c r="K64">
        <v>24000</v>
      </c>
      <c r="N64">
        <v>21.739130434782609</v>
      </c>
      <c r="O64">
        <v>90.416700000000006</v>
      </c>
      <c r="P64">
        <v>136</v>
      </c>
      <c r="Q64">
        <v>90</v>
      </c>
      <c r="R64">
        <v>90</v>
      </c>
      <c r="S64">
        <v>90</v>
      </c>
      <c r="T64">
        <v>7.2004575619132991</v>
      </c>
      <c r="U64">
        <v>6.5</v>
      </c>
      <c r="W64" t="s">
        <v>497</v>
      </c>
    </row>
    <row r="65" spans="1:23" x14ac:dyDescent="0.25">
      <c r="A65" t="s">
        <v>563</v>
      </c>
      <c r="B65" t="str">
        <f t="shared" si="0"/>
        <v>CG2A00000031</v>
      </c>
      <c r="C65" t="s">
        <v>229</v>
      </c>
      <c r="D65" t="s">
        <v>85</v>
      </c>
      <c r="E65" t="s">
        <v>496</v>
      </c>
      <c r="F65">
        <v>15000</v>
      </c>
      <c r="G65" s="13">
        <v>43719</v>
      </c>
      <c r="H65" s="13">
        <v>44452</v>
      </c>
      <c r="I65">
        <v>15000</v>
      </c>
      <c r="J65">
        <v>0</v>
      </c>
      <c r="K65">
        <v>15000</v>
      </c>
      <c r="N65">
        <v>8.695652173913043</v>
      </c>
      <c r="O65">
        <v>89.33</v>
      </c>
      <c r="P65">
        <v>100</v>
      </c>
      <c r="Q65">
        <v>89</v>
      </c>
      <c r="R65">
        <v>89</v>
      </c>
      <c r="S65">
        <v>90</v>
      </c>
      <c r="T65">
        <v>7.2892492963358997</v>
      </c>
      <c r="U65">
        <v>6.5</v>
      </c>
      <c r="W65" t="s">
        <v>497</v>
      </c>
    </row>
    <row r="66" spans="1:23" x14ac:dyDescent="0.25">
      <c r="A66" t="s">
        <v>537</v>
      </c>
      <c r="B66" t="str">
        <f t="shared" si="0"/>
        <v>GA2B00000026</v>
      </c>
      <c r="C66" t="s">
        <v>227</v>
      </c>
      <c r="D66" t="s">
        <v>85</v>
      </c>
      <c r="E66" t="s">
        <v>507</v>
      </c>
      <c r="F66">
        <v>20500</v>
      </c>
      <c r="G66" s="13">
        <v>43712</v>
      </c>
      <c r="H66" s="13">
        <v>45141</v>
      </c>
      <c r="I66">
        <v>18000</v>
      </c>
      <c r="J66">
        <v>2500</v>
      </c>
      <c r="K66">
        <v>20500</v>
      </c>
      <c r="N66">
        <v>16.666666666666664</v>
      </c>
      <c r="O66">
        <v>99.674700000000001</v>
      </c>
      <c r="P66">
        <v>91.111099999999993</v>
      </c>
      <c r="Q66">
        <v>92</v>
      </c>
      <c r="R66">
        <v>92</v>
      </c>
      <c r="S66">
        <v>92</v>
      </c>
      <c r="T66">
        <v>7.022850849325077</v>
      </c>
      <c r="U66">
        <v>7</v>
      </c>
      <c r="W66" t="s">
        <v>497</v>
      </c>
    </row>
    <row r="67" spans="1:23" x14ac:dyDescent="0.25">
      <c r="A67" t="s">
        <v>564</v>
      </c>
      <c r="B67" t="str">
        <f t="shared" si="0"/>
        <v>GA2A00000076</v>
      </c>
      <c r="C67" t="s">
        <v>227</v>
      </c>
      <c r="D67" t="s">
        <v>85</v>
      </c>
      <c r="E67" t="s">
        <v>496</v>
      </c>
      <c r="F67">
        <v>2500</v>
      </c>
      <c r="G67" s="13">
        <v>43712</v>
      </c>
      <c r="H67" s="13">
        <v>44431</v>
      </c>
      <c r="I67">
        <v>2500</v>
      </c>
      <c r="J67">
        <v>0</v>
      </c>
      <c r="K67">
        <v>2500</v>
      </c>
      <c r="N67">
        <v>5.5555555555555554</v>
      </c>
      <c r="O67">
        <v>98.181700000000006</v>
      </c>
      <c r="P67">
        <v>25</v>
      </c>
      <c r="Q67">
        <v>98</v>
      </c>
      <c r="R67">
        <v>98</v>
      </c>
      <c r="S67">
        <v>98</v>
      </c>
      <c r="T67">
        <v>4.8406760838349188</v>
      </c>
      <c r="U67">
        <v>4.75</v>
      </c>
      <c r="W67" t="s">
        <v>497</v>
      </c>
    </row>
    <row r="68" spans="1:23" x14ac:dyDescent="0.25">
      <c r="A68" t="s">
        <v>565</v>
      </c>
      <c r="B68" t="str">
        <f t="shared" si="0"/>
        <v>CM2A00000047</v>
      </c>
      <c r="C68" t="s">
        <v>225</v>
      </c>
      <c r="D68" t="s">
        <v>85</v>
      </c>
      <c r="E68" t="s">
        <v>496</v>
      </c>
      <c r="F68">
        <v>21910</v>
      </c>
      <c r="G68" s="13">
        <v>43761</v>
      </c>
      <c r="H68" s="13">
        <v>44494</v>
      </c>
      <c r="I68">
        <v>21910</v>
      </c>
      <c r="J68">
        <v>0</v>
      </c>
      <c r="K68">
        <v>21910</v>
      </c>
      <c r="N68">
        <v>33.333333333333329</v>
      </c>
      <c r="O68">
        <v>98.706100000000006</v>
      </c>
      <c r="P68">
        <v>55.274999999999999</v>
      </c>
      <c r="Q68">
        <v>97</v>
      </c>
      <c r="R68">
        <v>97</v>
      </c>
      <c r="S68">
        <v>100</v>
      </c>
      <c r="T68">
        <v>3.4469758672910236</v>
      </c>
      <c r="U68">
        <v>3.4</v>
      </c>
      <c r="W68" t="s">
        <v>497</v>
      </c>
    </row>
    <row r="69" spans="1:23" x14ac:dyDescent="0.25">
      <c r="A69" t="s">
        <v>537</v>
      </c>
      <c r="B69" t="str">
        <f t="shared" ref="B69:B132" si="1">MID(A69,1,12)</f>
        <v>GA2B00000026</v>
      </c>
      <c r="C69" t="s">
        <v>227</v>
      </c>
      <c r="D69" t="s">
        <v>85</v>
      </c>
      <c r="E69" t="s">
        <v>507</v>
      </c>
      <c r="F69">
        <v>12000</v>
      </c>
      <c r="G69" s="13">
        <v>43761</v>
      </c>
      <c r="H69" s="13">
        <v>45141</v>
      </c>
      <c r="I69">
        <v>0</v>
      </c>
      <c r="J69">
        <v>12000</v>
      </c>
      <c r="K69">
        <v>12000</v>
      </c>
      <c r="N69">
        <v>11.111111111111111</v>
      </c>
      <c r="O69">
        <v>91.587400000000002</v>
      </c>
      <c r="P69">
        <v>96</v>
      </c>
      <c r="Q69">
        <v>90</v>
      </c>
      <c r="R69">
        <v>90</v>
      </c>
      <c r="S69">
        <v>90</v>
      </c>
      <c r="T69">
        <v>9.58</v>
      </c>
      <c r="U69">
        <v>7</v>
      </c>
      <c r="W69" t="s">
        <v>497</v>
      </c>
    </row>
    <row r="70" spans="1:23" x14ac:dyDescent="0.25">
      <c r="A70" t="s">
        <v>566</v>
      </c>
      <c r="B70" t="str">
        <f t="shared" si="1"/>
        <v>GA2J00000093</v>
      </c>
      <c r="C70" t="s">
        <v>227</v>
      </c>
      <c r="D70" t="s">
        <v>85</v>
      </c>
      <c r="E70" t="s">
        <v>499</v>
      </c>
      <c r="F70">
        <v>11231.12</v>
      </c>
      <c r="G70" s="13">
        <v>43761</v>
      </c>
      <c r="H70" s="13">
        <v>44859</v>
      </c>
      <c r="I70">
        <v>4000</v>
      </c>
      <c r="J70">
        <v>7231.1200000000008</v>
      </c>
      <c r="K70">
        <v>11231.12</v>
      </c>
      <c r="N70">
        <v>22.222222222222221</v>
      </c>
      <c r="O70">
        <v>91.869799999999998</v>
      </c>
      <c r="P70">
        <v>89.849000000000004</v>
      </c>
      <c r="Q70">
        <v>90</v>
      </c>
      <c r="R70">
        <v>95</v>
      </c>
      <c r="S70">
        <v>90</v>
      </c>
      <c r="T70">
        <v>8.11</v>
      </c>
      <c r="U70">
        <v>5</v>
      </c>
      <c r="W70" t="s">
        <v>497</v>
      </c>
    </row>
    <row r="71" spans="1:23" x14ac:dyDescent="0.25">
      <c r="A71" t="s">
        <v>567</v>
      </c>
      <c r="B71" t="str">
        <f t="shared" si="1"/>
        <v>CG2A00000049</v>
      </c>
      <c r="C71" t="s">
        <v>229</v>
      </c>
      <c r="D71" t="s">
        <v>85</v>
      </c>
      <c r="E71" t="s">
        <v>496</v>
      </c>
      <c r="F71">
        <v>40000</v>
      </c>
      <c r="G71" s="13">
        <v>43789.666666666664</v>
      </c>
      <c r="H71" s="13">
        <v>44522</v>
      </c>
      <c r="I71">
        <v>20000</v>
      </c>
      <c r="J71">
        <v>12000</v>
      </c>
      <c r="K71">
        <v>32000</v>
      </c>
      <c r="N71">
        <v>17.391304347826086</v>
      </c>
      <c r="O71">
        <v>91.693799999999996</v>
      </c>
      <c r="P71">
        <v>80</v>
      </c>
      <c r="Q71">
        <v>90</v>
      </c>
      <c r="R71">
        <v>96</v>
      </c>
      <c r="S71">
        <v>90</v>
      </c>
      <c r="T71">
        <v>10.99</v>
      </c>
      <c r="W71" t="s">
        <v>497</v>
      </c>
    </row>
    <row r="72" spans="1:23" x14ac:dyDescent="0.25">
      <c r="A72" t="s">
        <v>568</v>
      </c>
      <c r="B72" t="str">
        <f t="shared" si="1"/>
        <v>CG2J00000016</v>
      </c>
      <c r="C72" t="s">
        <v>229</v>
      </c>
      <c r="D72" t="s">
        <v>85</v>
      </c>
      <c r="E72" t="s">
        <v>499</v>
      </c>
      <c r="F72">
        <v>40000</v>
      </c>
      <c r="G72" s="13">
        <v>43782.666666666664</v>
      </c>
      <c r="H72" s="13">
        <v>44880</v>
      </c>
      <c r="I72">
        <v>30000</v>
      </c>
      <c r="J72">
        <v>0</v>
      </c>
      <c r="K72">
        <v>30000</v>
      </c>
      <c r="N72">
        <v>13.043478260869565</v>
      </c>
      <c r="O72">
        <v>94.674999999999997</v>
      </c>
      <c r="P72">
        <v>80</v>
      </c>
      <c r="Q72">
        <v>94</v>
      </c>
      <c r="R72">
        <v>98.5</v>
      </c>
      <c r="S72">
        <v>94</v>
      </c>
      <c r="T72">
        <v>8.5500000000000007</v>
      </c>
      <c r="W72" t="s">
        <v>497</v>
      </c>
    </row>
    <row r="73" spans="1:23" x14ac:dyDescent="0.25">
      <c r="A73" t="s">
        <v>569</v>
      </c>
      <c r="B73" t="str">
        <f t="shared" si="1"/>
        <v>GA2A00000076</v>
      </c>
      <c r="C73" t="s">
        <v>227</v>
      </c>
      <c r="D73" t="s">
        <v>85</v>
      </c>
      <c r="E73" t="s">
        <v>496</v>
      </c>
      <c r="F73">
        <v>20000</v>
      </c>
      <c r="G73" s="13">
        <v>43803</v>
      </c>
      <c r="H73" s="13">
        <v>44431</v>
      </c>
      <c r="I73">
        <v>700</v>
      </c>
      <c r="J73">
        <v>19300</v>
      </c>
      <c r="K73">
        <v>20000</v>
      </c>
      <c r="N73">
        <v>27.777777777777779</v>
      </c>
      <c r="O73">
        <v>89</v>
      </c>
      <c r="P73">
        <v>131</v>
      </c>
      <c r="Q73">
        <v>89</v>
      </c>
      <c r="R73">
        <v>97</v>
      </c>
      <c r="S73">
        <v>89</v>
      </c>
      <c r="T73">
        <v>8.6999999999999993</v>
      </c>
      <c r="W73" t="s">
        <v>497</v>
      </c>
    </row>
    <row r="74" spans="1:23" x14ac:dyDescent="0.25">
      <c r="A74" t="s">
        <v>570</v>
      </c>
      <c r="B74" t="str">
        <f t="shared" si="1"/>
        <v>GA2J00000093</v>
      </c>
      <c r="C74" t="s">
        <v>227</v>
      </c>
      <c r="D74" t="s">
        <v>85</v>
      </c>
      <c r="E74" t="s">
        <v>499</v>
      </c>
      <c r="F74">
        <v>20000</v>
      </c>
      <c r="G74" s="13">
        <v>43803.5</v>
      </c>
      <c r="H74" s="13">
        <v>44859</v>
      </c>
      <c r="I74">
        <v>0</v>
      </c>
      <c r="J74">
        <v>20000</v>
      </c>
      <c r="K74">
        <v>20000</v>
      </c>
      <c r="N74">
        <v>11.111111111111111</v>
      </c>
      <c r="O74">
        <v>88.258799999999994</v>
      </c>
      <c r="P74">
        <v>100</v>
      </c>
      <c r="Q74">
        <v>87.3</v>
      </c>
      <c r="R74">
        <v>95</v>
      </c>
      <c r="S74">
        <v>87.3</v>
      </c>
      <c r="T74">
        <v>9.6</v>
      </c>
      <c r="W74" t="s">
        <v>497</v>
      </c>
    </row>
    <row r="75" spans="1:23" x14ac:dyDescent="0.25">
      <c r="A75" t="s">
        <v>571</v>
      </c>
      <c r="B75" t="str">
        <f t="shared" si="1"/>
        <v>GA2J00000093</v>
      </c>
      <c r="C75" t="s">
        <v>227</v>
      </c>
      <c r="D75" t="s">
        <v>85</v>
      </c>
      <c r="E75" t="s">
        <v>499</v>
      </c>
      <c r="F75">
        <v>7500</v>
      </c>
      <c r="G75" s="13">
        <v>43824.5</v>
      </c>
      <c r="H75" s="13">
        <v>44859</v>
      </c>
      <c r="I75">
        <v>0</v>
      </c>
      <c r="J75">
        <v>5000</v>
      </c>
      <c r="K75">
        <v>5000</v>
      </c>
      <c r="N75">
        <v>11.111111111111111</v>
      </c>
      <c r="O75">
        <v>92.360699999999994</v>
      </c>
      <c r="P75">
        <v>93.333299999999994</v>
      </c>
      <c r="Q75">
        <v>90</v>
      </c>
      <c r="R75">
        <v>93</v>
      </c>
      <c r="S75">
        <v>90</v>
      </c>
      <c r="T75">
        <v>7.91</v>
      </c>
      <c r="W75" t="s">
        <v>497</v>
      </c>
    </row>
    <row r="76" spans="1:23" x14ac:dyDescent="0.25">
      <c r="A76" t="s">
        <v>572</v>
      </c>
      <c r="B76" t="str">
        <f t="shared" si="1"/>
        <v>GA2A00000076</v>
      </c>
      <c r="C76" t="s">
        <v>227</v>
      </c>
      <c r="D76" t="s">
        <v>85</v>
      </c>
      <c r="E76" t="s">
        <v>496</v>
      </c>
      <c r="F76">
        <v>15000</v>
      </c>
      <c r="G76" s="13">
        <v>43824.5</v>
      </c>
      <c r="H76" s="13">
        <v>44431</v>
      </c>
      <c r="I76">
        <v>0</v>
      </c>
      <c r="J76">
        <v>13700</v>
      </c>
      <c r="K76">
        <v>13700</v>
      </c>
      <c r="N76">
        <v>16.666666666666664</v>
      </c>
      <c r="O76">
        <v>94.065899999999999</v>
      </c>
      <c r="P76">
        <v>91.333299999999994</v>
      </c>
      <c r="Q76">
        <v>89</v>
      </c>
      <c r="R76">
        <v>95</v>
      </c>
      <c r="S76">
        <v>89</v>
      </c>
      <c r="T76">
        <v>8.02</v>
      </c>
      <c r="W76" t="s">
        <v>497</v>
      </c>
    </row>
    <row r="77" spans="1:23" x14ac:dyDescent="0.25">
      <c r="A77" t="s">
        <v>573</v>
      </c>
      <c r="B77" t="str">
        <f t="shared" si="1"/>
        <v>CG2A00000056</v>
      </c>
      <c r="C77" t="s">
        <v>229</v>
      </c>
      <c r="D77" t="s">
        <v>85</v>
      </c>
      <c r="E77" t="s">
        <v>496</v>
      </c>
      <c r="F77">
        <v>35000</v>
      </c>
      <c r="G77" s="13">
        <v>43810.666666666664</v>
      </c>
      <c r="H77" s="13">
        <v>44543</v>
      </c>
      <c r="I77">
        <v>20000</v>
      </c>
      <c r="J77">
        <v>10000</v>
      </c>
      <c r="K77">
        <v>30000</v>
      </c>
      <c r="N77">
        <v>8.695652173913043</v>
      </c>
      <c r="O77">
        <v>90</v>
      </c>
      <c r="P77">
        <v>85.714299999999994</v>
      </c>
      <c r="Q77">
        <v>90</v>
      </c>
      <c r="R77">
        <v>90</v>
      </c>
      <c r="S77">
        <v>90</v>
      </c>
      <c r="T77">
        <v>12.02</v>
      </c>
      <c r="W77" t="s">
        <v>497</v>
      </c>
    </row>
    <row r="78" spans="1:23" x14ac:dyDescent="0.25">
      <c r="A78" t="s">
        <v>574</v>
      </c>
      <c r="B78" t="str">
        <f t="shared" si="1"/>
        <v>GA2A00000084</v>
      </c>
      <c r="C78" t="s">
        <v>227</v>
      </c>
      <c r="D78" t="s">
        <v>85</v>
      </c>
      <c r="E78" t="s">
        <v>496</v>
      </c>
      <c r="F78">
        <v>12500</v>
      </c>
      <c r="G78" s="13">
        <v>43859.5</v>
      </c>
      <c r="H78" s="13">
        <v>44592</v>
      </c>
      <c r="I78">
        <v>0</v>
      </c>
      <c r="J78">
        <v>12500</v>
      </c>
      <c r="K78">
        <v>12500</v>
      </c>
      <c r="N78">
        <v>16.666666666666664</v>
      </c>
      <c r="O78">
        <v>91.042199999999994</v>
      </c>
      <c r="P78">
        <v>141.76</v>
      </c>
      <c r="Q78">
        <v>90.1</v>
      </c>
      <c r="R78">
        <v>95</v>
      </c>
      <c r="S78">
        <v>90</v>
      </c>
      <c r="T78">
        <v>9.76</v>
      </c>
      <c r="U78">
        <v>4.75</v>
      </c>
      <c r="W78" t="s">
        <v>497</v>
      </c>
    </row>
    <row r="79" spans="1:23" x14ac:dyDescent="0.25">
      <c r="A79" t="s">
        <v>575</v>
      </c>
      <c r="B79" t="str">
        <f t="shared" si="1"/>
        <v>CG2A00000072</v>
      </c>
      <c r="C79" t="s">
        <v>229</v>
      </c>
      <c r="D79" t="s">
        <v>85</v>
      </c>
      <c r="E79" t="s">
        <v>496</v>
      </c>
      <c r="F79">
        <v>30000</v>
      </c>
      <c r="G79" s="13">
        <v>43860.708333333336</v>
      </c>
      <c r="H79" s="13">
        <v>44592</v>
      </c>
      <c r="I79">
        <v>30000</v>
      </c>
      <c r="J79">
        <v>0</v>
      </c>
      <c r="K79">
        <v>30000</v>
      </c>
      <c r="N79">
        <v>8.695652173913043</v>
      </c>
      <c r="O79">
        <v>90.093329999999995</v>
      </c>
      <c r="P79">
        <v>110</v>
      </c>
      <c r="Q79">
        <v>90</v>
      </c>
      <c r="R79">
        <v>91</v>
      </c>
      <c r="S79">
        <v>90</v>
      </c>
      <c r="T79">
        <v>11.18</v>
      </c>
      <c r="U79">
        <v>6</v>
      </c>
      <c r="W79" t="s">
        <v>497</v>
      </c>
    </row>
    <row r="80" spans="1:23" x14ac:dyDescent="0.25">
      <c r="A80" t="s">
        <v>576</v>
      </c>
      <c r="B80" t="str">
        <f t="shared" si="1"/>
        <v>CG2A00000072</v>
      </c>
      <c r="C80" t="s">
        <v>229</v>
      </c>
      <c r="D80" t="s">
        <v>85</v>
      </c>
      <c r="E80" t="s">
        <v>496</v>
      </c>
      <c r="F80">
        <v>11000</v>
      </c>
      <c r="G80" s="13">
        <v>43866</v>
      </c>
      <c r="H80" s="13">
        <v>44592</v>
      </c>
      <c r="I80">
        <v>8333.33</v>
      </c>
      <c r="J80">
        <v>1666.67</v>
      </c>
      <c r="K80">
        <v>10000</v>
      </c>
      <c r="N80">
        <v>13.043478260869565</v>
      </c>
      <c r="O80">
        <v>90.615400000000008</v>
      </c>
      <c r="P80">
        <v>110</v>
      </c>
      <c r="Q80">
        <v>90</v>
      </c>
      <c r="R80">
        <v>91</v>
      </c>
      <c r="S80">
        <v>90</v>
      </c>
      <c r="T80">
        <v>11.38</v>
      </c>
      <c r="U80">
        <v>6</v>
      </c>
      <c r="W80" t="s">
        <v>497</v>
      </c>
    </row>
    <row r="81" spans="1:23" x14ac:dyDescent="0.25">
      <c r="A81" t="s">
        <v>577</v>
      </c>
      <c r="B81" t="str">
        <f t="shared" si="1"/>
        <v>GA2J00000101</v>
      </c>
      <c r="C81" t="s">
        <v>227</v>
      </c>
      <c r="D81" t="s">
        <v>85</v>
      </c>
      <c r="E81" t="s">
        <v>499</v>
      </c>
      <c r="F81">
        <v>15000</v>
      </c>
      <c r="G81" s="13">
        <v>43880</v>
      </c>
      <c r="H81" s="13">
        <v>44978</v>
      </c>
      <c r="I81">
        <v>0</v>
      </c>
      <c r="J81">
        <v>11300</v>
      </c>
      <c r="K81">
        <v>11300</v>
      </c>
      <c r="N81">
        <v>22.222222222222221</v>
      </c>
      <c r="O81">
        <v>92.024299999999997</v>
      </c>
      <c r="P81">
        <v>123.667</v>
      </c>
      <c r="Q81">
        <v>91.5</v>
      </c>
      <c r="R81">
        <v>95</v>
      </c>
      <c r="S81">
        <v>91</v>
      </c>
      <c r="T81">
        <v>8.0500000000000007</v>
      </c>
      <c r="U81">
        <v>5</v>
      </c>
      <c r="W81" t="s">
        <v>497</v>
      </c>
    </row>
    <row r="82" spans="1:23" x14ac:dyDescent="0.25">
      <c r="A82" t="s">
        <v>578</v>
      </c>
      <c r="B82" t="str">
        <f t="shared" si="1"/>
        <v>CG2A00000080</v>
      </c>
      <c r="C82" t="s">
        <v>229</v>
      </c>
      <c r="D82" t="s">
        <v>85</v>
      </c>
      <c r="E82" t="s">
        <v>496</v>
      </c>
      <c r="F82">
        <v>35000</v>
      </c>
      <c r="G82" s="13">
        <v>43894.708333333336</v>
      </c>
      <c r="H82" s="13">
        <v>44626</v>
      </c>
      <c r="I82">
        <v>29533.46</v>
      </c>
      <c r="J82">
        <v>5466.54</v>
      </c>
      <c r="K82">
        <v>35000</v>
      </c>
      <c r="N82">
        <v>30.434782608695656</v>
      </c>
      <c r="O82">
        <v>91.245000000000005</v>
      </c>
      <c r="P82">
        <v>120.2</v>
      </c>
      <c r="Q82">
        <v>90</v>
      </c>
      <c r="R82">
        <v>96</v>
      </c>
      <c r="S82">
        <v>90</v>
      </c>
      <c r="T82">
        <v>11</v>
      </c>
      <c r="U82">
        <v>6</v>
      </c>
      <c r="W82" t="s">
        <v>497</v>
      </c>
    </row>
    <row r="83" spans="1:23" x14ac:dyDescent="0.25">
      <c r="A83" t="s">
        <v>579</v>
      </c>
      <c r="B83" t="str">
        <f t="shared" si="1"/>
        <v>GA2K00000017</v>
      </c>
      <c r="C83" t="s">
        <v>227</v>
      </c>
      <c r="D83" t="s">
        <v>85</v>
      </c>
      <c r="E83" t="s">
        <v>516</v>
      </c>
      <c r="F83">
        <v>17500</v>
      </c>
      <c r="G83" s="13">
        <v>44272</v>
      </c>
      <c r="H83" s="13">
        <v>45371</v>
      </c>
      <c r="I83">
        <v>700</v>
      </c>
      <c r="J83">
        <v>16800</v>
      </c>
      <c r="K83">
        <v>17500</v>
      </c>
      <c r="N83">
        <v>27.777777777777779</v>
      </c>
      <c r="O83">
        <v>87.408600000000007</v>
      </c>
      <c r="P83">
        <v>109.1429</v>
      </c>
      <c r="Q83">
        <v>86</v>
      </c>
      <c r="R83">
        <v>93</v>
      </c>
      <c r="S83">
        <v>86</v>
      </c>
      <c r="T83">
        <v>10.43</v>
      </c>
      <c r="U83">
        <v>6.5</v>
      </c>
      <c r="W83" t="s">
        <v>497</v>
      </c>
    </row>
    <row r="84" spans="1:23" x14ac:dyDescent="0.25">
      <c r="A84" t="s">
        <v>580</v>
      </c>
      <c r="B84" t="str">
        <f t="shared" si="1"/>
        <v>GA2J00000101</v>
      </c>
      <c r="C84" t="s">
        <v>227</v>
      </c>
      <c r="D84" t="s">
        <v>85</v>
      </c>
      <c r="E84" t="s">
        <v>499</v>
      </c>
      <c r="F84">
        <v>20000</v>
      </c>
      <c r="G84" s="13">
        <v>43908.625</v>
      </c>
      <c r="H84" s="13">
        <v>44978</v>
      </c>
      <c r="I84">
        <v>1500</v>
      </c>
      <c r="J84">
        <v>12500</v>
      </c>
      <c r="K84">
        <v>14000</v>
      </c>
      <c r="N84">
        <v>11.111111111111111</v>
      </c>
      <c r="O84">
        <v>88.328900000000004</v>
      </c>
      <c r="P84">
        <v>71</v>
      </c>
      <c r="Q84">
        <v>87</v>
      </c>
      <c r="R84">
        <v>91.5</v>
      </c>
      <c r="S84">
        <v>87</v>
      </c>
      <c r="T84">
        <v>9.57</v>
      </c>
      <c r="U84">
        <v>5</v>
      </c>
      <c r="W84" t="s">
        <v>497</v>
      </c>
    </row>
    <row r="85" spans="1:23" x14ac:dyDescent="0.25">
      <c r="A85" t="s">
        <v>581</v>
      </c>
      <c r="B85" t="str">
        <f t="shared" si="1"/>
        <v>CM2B00000038</v>
      </c>
      <c r="C85" t="s">
        <v>225</v>
      </c>
      <c r="D85" t="s">
        <v>85</v>
      </c>
      <c r="E85" t="s">
        <v>507</v>
      </c>
      <c r="F85">
        <v>100000</v>
      </c>
      <c r="G85" s="13">
        <v>43929</v>
      </c>
      <c r="H85" s="13">
        <v>45757</v>
      </c>
      <c r="I85">
        <v>71637.8</v>
      </c>
      <c r="J85">
        <v>0</v>
      </c>
      <c r="K85">
        <v>71637.8</v>
      </c>
      <c r="N85">
        <v>33.333333333333329</v>
      </c>
      <c r="O85">
        <v>97.651200000000003</v>
      </c>
      <c r="P85">
        <v>75.637799999999999</v>
      </c>
      <c r="Q85">
        <v>96</v>
      </c>
      <c r="R85">
        <v>100</v>
      </c>
      <c r="S85">
        <v>96</v>
      </c>
      <c r="T85">
        <v>5.7</v>
      </c>
      <c r="U85">
        <v>5.7</v>
      </c>
      <c r="W85" t="s">
        <v>497</v>
      </c>
    </row>
    <row r="86" spans="1:23" x14ac:dyDescent="0.25">
      <c r="A86" t="s">
        <v>582</v>
      </c>
      <c r="B86" t="str">
        <f t="shared" si="1"/>
        <v>CG2A00000098</v>
      </c>
      <c r="C86" t="s">
        <v>229</v>
      </c>
      <c r="D86" t="s">
        <v>85</v>
      </c>
      <c r="E86" t="s">
        <v>496</v>
      </c>
      <c r="F86">
        <v>15000</v>
      </c>
      <c r="G86" s="13">
        <v>43929</v>
      </c>
      <c r="H86" s="13">
        <v>44661</v>
      </c>
      <c r="I86">
        <v>10711.57</v>
      </c>
      <c r="J86">
        <v>4288.43</v>
      </c>
      <c r="K86">
        <v>15000</v>
      </c>
      <c r="N86">
        <v>17.391304347826086</v>
      </c>
      <c r="O86">
        <v>92.333299999999994</v>
      </c>
      <c r="P86">
        <v>115.36669999999999</v>
      </c>
      <c r="Q86">
        <v>92</v>
      </c>
      <c r="R86">
        <v>92</v>
      </c>
      <c r="S86">
        <v>92</v>
      </c>
      <c r="T86">
        <v>10.34</v>
      </c>
      <c r="U86">
        <v>6</v>
      </c>
      <c r="W86" t="s">
        <v>497</v>
      </c>
    </row>
    <row r="87" spans="1:23" x14ac:dyDescent="0.25">
      <c r="A87" t="s">
        <v>583</v>
      </c>
      <c r="B87" t="str">
        <f t="shared" si="1"/>
        <v>CM2J00000030</v>
      </c>
      <c r="C87" t="s">
        <v>225</v>
      </c>
      <c r="D87" t="s">
        <v>85</v>
      </c>
      <c r="E87" t="s">
        <v>499</v>
      </c>
      <c r="F87">
        <v>70000</v>
      </c>
      <c r="G87" s="13">
        <v>43936</v>
      </c>
      <c r="H87" s="13">
        <v>45033</v>
      </c>
      <c r="I87">
        <v>35000</v>
      </c>
      <c r="J87">
        <v>0</v>
      </c>
      <c r="K87">
        <v>35000</v>
      </c>
      <c r="N87">
        <v>28.571428571428569</v>
      </c>
      <c r="O87">
        <v>96.424300000000002</v>
      </c>
      <c r="P87">
        <v>52.9236</v>
      </c>
      <c r="Q87">
        <v>95</v>
      </c>
      <c r="R87">
        <v>100</v>
      </c>
      <c r="S87">
        <v>95</v>
      </c>
      <c r="T87">
        <v>5.31</v>
      </c>
      <c r="U87">
        <v>4</v>
      </c>
      <c r="W87" t="s">
        <v>497</v>
      </c>
    </row>
    <row r="88" spans="1:23" x14ac:dyDescent="0.25">
      <c r="A88" t="s">
        <v>584</v>
      </c>
      <c r="B88" t="str">
        <f t="shared" si="1"/>
        <v>GA2A00000084</v>
      </c>
      <c r="C88" t="s">
        <v>227</v>
      </c>
      <c r="D88" t="s">
        <v>85</v>
      </c>
      <c r="E88" t="s">
        <v>496</v>
      </c>
      <c r="F88">
        <v>20000</v>
      </c>
      <c r="G88" s="13">
        <v>43936</v>
      </c>
      <c r="H88" s="13">
        <v>44592</v>
      </c>
      <c r="I88">
        <v>2500</v>
      </c>
      <c r="J88">
        <v>10930</v>
      </c>
      <c r="K88">
        <v>13430</v>
      </c>
      <c r="N88">
        <v>22.222222222222221</v>
      </c>
      <c r="O88">
        <v>92.913700000000006</v>
      </c>
      <c r="P88">
        <v>67.150000000000006</v>
      </c>
      <c r="Q88">
        <v>90</v>
      </c>
      <c r="R88">
        <v>92</v>
      </c>
      <c r="S88">
        <v>90</v>
      </c>
      <c r="T88">
        <v>8.69</v>
      </c>
      <c r="U88">
        <v>4.75</v>
      </c>
      <c r="W88" t="s">
        <v>497</v>
      </c>
    </row>
    <row r="89" spans="1:23" x14ac:dyDescent="0.25">
      <c r="A89" t="s">
        <v>585</v>
      </c>
      <c r="B89" t="str">
        <f t="shared" si="1"/>
        <v>GA2K00000017</v>
      </c>
      <c r="C89" t="s">
        <v>227</v>
      </c>
      <c r="D89" t="s">
        <v>85</v>
      </c>
      <c r="E89" t="s">
        <v>516</v>
      </c>
      <c r="F89">
        <v>15000</v>
      </c>
      <c r="G89" s="13">
        <v>43936</v>
      </c>
      <c r="H89" s="13">
        <v>45371</v>
      </c>
      <c r="I89">
        <v>571</v>
      </c>
      <c r="J89">
        <v>0</v>
      </c>
      <c r="K89">
        <v>571</v>
      </c>
      <c r="N89">
        <v>5.5555555555555554</v>
      </c>
      <c r="O89">
        <v>99.480199999999996</v>
      </c>
      <c r="P89">
        <v>3.8067000000000002</v>
      </c>
      <c r="Q89">
        <v>98.5</v>
      </c>
      <c r="R89">
        <v>99</v>
      </c>
      <c r="S89">
        <v>98.5</v>
      </c>
      <c r="T89">
        <v>6.65</v>
      </c>
      <c r="U89">
        <v>6.5</v>
      </c>
      <c r="W89" t="s">
        <v>497</v>
      </c>
    </row>
    <row r="90" spans="1:23" x14ac:dyDescent="0.25">
      <c r="A90" t="s">
        <v>586</v>
      </c>
      <c r="B90" t="str">
        <f t="shared" si="1"/>
        <v>CM2A00000054</v>
      </c>
      <c r="C90" t="s">
        <v>225</v>
      </c>
      <c r="D90" t="s">
        <v>85</v>
      </c>
      <c r="E90" t="s">
        <v>496</v>
      </c>
      <c r="F90">
        <v>50000</v>
      </c>
      <c r="G90" s="13">
        <v>43950</v>
      </c>
      <c r="H90" s="13">
        <v>44682</v>
      </c>
      <c r="I90">
        <v>33346</v>
      </c>
      <c r="J90">
        <v>0</v>
      </c>
      <c r="K90">
        <v>33346</v>
      </c>
      <c r="N90">
        <v>28.571428571428569</v>
      </c>
      <c r="O90">
        <v>97.378799999999998</v>
      </c>
      <c r="P90">
        <v>86.739800000000002</v>
      </c>
      <c r="Q90">
        <v>96.5</v>
      </c>
      <c r="R90">
        <v>100</v>
      </c>
      <c r="S90">
        <v>96.5</v>
      </c>
      <c r="T90">
        <v>4.8899999999999997</v>
      </c>
      <c r="U90">
        <v>3.5</v>
      </c>
      <c r="W90" t="s">
        <v>497</v>
      </c>
    </row>
    <row r="91" spans="1:23" x14ac:dyDescent="0.25">
      <c r="A91" t="s">
        <v>587</v>
      </c>
      <c r="B91" t="str">
        <f t="shared" si="1"/>
        <v>GA2A00000084</v>
      </c>
      <c r="C91" t="s">
        <v>227</v>
      </c>
      <c r="D91" t="s">
        <v>85</v>
      </c>
      <c r="E91" t="s">
        <v>496</v>
      </c>
      <c r="F91">
        <v>7000</v>
      </c>
      <c r="G91" s="13">
        <v>43950</v>
      </c>
      <c r="H91" s="13">
        <v>44592</v>
      </c>
      <c r="I91">
        <v>0</v>
      </c>
      <c r="J91">
        <v>7000</v>
      </c>
      <c r="K91">
        <v>7000</v>
      </c>
      <c r="N91">
        <v>11.111111111111111</v>
      </c>
      <c r="O91">
        <v>93.180999999999997</v>
      </c>
      <c r="P91">
        <v>128.57140000000001</v>
      </c>
      <c r="Q91">
        <v>92</v>
      </c>
      <c r="R91">
        <v>92</v>
      </c>
      <c r="S91">
        <v>92</v>
      </c>
      <c r="T91">
        <v>8.5299999999999994</v>
      </c>
      <c r="U91">
        <v>4.75</v>
      </c>
      <c r="W91" t="s">
        <v>497</v>
      </c>
    </row>
    <row r="92" spans="1:23" x14ac:dyDescent="0.25">
      <c r="A92" t="s">
        <v>588</v>
      </c>
      <c r="B92" t="str">
        <f t="shared" si="1"/>
        <v>GA2K00000017</v>
      </c>
      <c r="C92" t="s">
        <v>227</v>
      </c>
      <c r="D92" t="s">
        <v>85</v>
      </c>
      <c r="E92" t="s">
        <v>516</v>
      </c>
      <c r="F92">
        <v>15000</v>
      </c>
      <c r="G92" s="13">
        <v>43950</v>
      </c>
      <c r="H92" s="13">
        <v>45371</v>
      </c>
      <c r="I92">
        <v>0</v>
      </c>
      <c r="J92">
        <v>1050</v>
      </c>
      <c r="K92">
        <v>1050</v>
      </c>
      <c r="N92">
        <v>11.111111111111111</v>
      </c>
      <c r="O92">
        <v>93.890799999999999</v>
      </c>
      <c r="P92">
        <v>7</v>
      </c>
      <c r="Q92">
        <v>92</v>
      </c>
      <c r="R92">
        <v>96</v>
      </c>
      <c r="S92">
        <v>92</v>
      </c>
      <c r="T92">
        <v>8.33</v>
      </c>
      <c r="U92">
        <v>6.5</v>
      </c>
      <c r="W92" t="s">
        <v>497</v>
      </c>
    </row>
    <row r="93" spans="1:23" x14ac:dyDescent="0.25">
      <c r="A93" t="s">
        <v>589</v>
      </c>
      <c r="B93" t="str">
        <f t="shared" si="1"/>
        <v>CG2A00000106</v>
      </c>
      <c r="C93" t="s">
        <v>229</v>
      </c>
      <c r="D93" t="s">
        <v>85</v>
      </c>
      <c r="E93" t="s">
        <v>496</v>
      </c>
      <c r="F93">
        <v>35000</v>
      </c>
      <c r="G93" s="13">
        <v>43950</v>
      </c>
      <c r="H93" s="13">
        <v>44682</v>
      </c>
      <c r="I93">
        <v>10000</v>
      </c>
      <c r="J93">
        <v>7101</v>
      </c>
      <c r="K93">
        <v>17101</v>
      </c>
      <c r="N93">
        <v>17.391304347826086</v>
      </c>
      <c r="O93">
        <v>91.664400000000001</v>
      </c>
      <c r="P93">
        <v>48.86</v>
      </c>
      <c r="Q93">
        <v>91</v>
      </c>
      <c r="R93">
        <v>100</v>
      </c>
      <c r="S93">
        <v>91</v>
      </c>
      <c r="T93">
        <v>10.74</v>
      </c>
      <c r="U93">
        <v>6</v>
      </c>
      <c r="W93" t="s">
        <v>497</v>
      </c>
    </row>
    <row r="94" spans="1:23" x14ac:dyDescent="0.25">
      <c r="A94" t="s">
        <v>590</v>
      </c>
      <c r="B94" t="str">
        <f t="shared" si="1"/>
        <v>CG2A00000106</v>
      </c>
      <c r="C94" t="s">
        <v>229</v>
      </c>
      <c r="D94" t="s">
        <v>85</v>
      </c>
      <c r="E94" t="s">
        <v>496</v>
      </c>
      <c r="F94">
        <v>15000</v>
      </c>
      <c r="G94" s="13">
        <v>43957</v>
      </c>
      <c r="H94" s="13">
        <v>44682</v>
      </c>
      <c r="I94">
        <v>10000</v>
      </c>
      <c r="J94">
        <v>0</v>
      </c>
      <c r="K94">
        <v>10000</v>
      </c>
      <c r="N94">
        <v>4.3478260869565215</v>
      </c>
      <c r="O94">
        <v>92.115099999999998</v>
      </c>
      <c r="P94">
        <v>66.666700000000006</v>
      </c>
      <c r="Q94">
        <v>92</v>
      </c>
      <c r="R94">
        <v>92</v>
      </c>
      <c r="S94">
        <v>92</v>
      </c>
      <c r="T94">
        <v>10.47</v>
      </c>
      <c r="U94">
        <v>6</v>
      </c>
      <c r="W94" t="s">
        <v>497</v>
      </c>
    </row>
    <row r="95" spans="1:23" x14ac:dyDescent="0.25">
      <c r="A95" t="s">
        <v>591</v>
      </c>
      <c r="B95" t="str">
        <f t="shared" si="1"/>
        <v>CM2D00000028</v>
      </c>
      <c r="C95" t="s">
        <v>225</v>
      </c>
      <c r="D95" t="s">
        <v>85</v>
      </c>
      <c r="E95" t="s">
        <v>555</v>
      </c>
      <c r="F95">
        <v>25000</v>
      </c>
      <c r="G95" s="13">
        <v>43957</v>
      </c>
      <c r="H95" s="13">
        <v>47611</v>
      </c>
      <c r="I95">
        <v>25000</v>
      </c>
      <c r="J95">
        <v>0</v>
      </c>
      <c r="K95">
        <v>25000</v>
      </c>
      <c r="N95">
        <v>33.333333333333329</v>
      </c>
      <c r="O95">
        <v>99.54</v>
      </c>
      <c r="P95">
        <v>106.86</v>
      </c>
      <c r="Q95">
        <v>99</v>
      </c>
      <c r="R95">
        <v>100</v>
      </c>
      <c r="S95">
        <v>99</v>
      </c>
      <c r="T95">
        <v>7.07</v>
      </c>
      <c r="U95">
        <v>7</v>
      </c>
      <c r="W95" t="s">
        <v>497</v>
      </c>
    </row>
    <row r="96" spans="1:23" x14ac:dyDescent="0.25">
      <c r="A96" t="s">
        <v>592</v>
      </c>
      <c r="B96" t="str">
        <f t="shared" si="1"/>
        <v>GA2A00000092</v>
      </c>
      <c r="C96" t="s">
        <v>227</v>
      </c>
      <c r="D96" t="s">
        <v>85</v>
      </c>
      <c r="E96" t="s">
        <v>496</v>
      </c>
      <c r="F96">
        <v>17500</v>
      </c>
      <c r="G96" s="13">
        <v>43971</v>
      </c>
      <c r="H96" s="13">
        <v>44703</v>
      </c>
      <c r="I96">
        <v>9500</v>
      </c>
      <c r="J96">
        <v>0</v>
      </c>
      <c r="K96">
        <v>9500</v>
      </c>
      <c r="N96">
        <v>11.111111111111111</v>
      </c>
      <c r="O96">
        <v>93.026300000000006</v>
      </c>
      <c r="P96">
        <v>54.285699999999999</v>
      </c>
      <c r="Q96">
        <v>93</v>
      </c>
      <c r="R96">
        <v>94</v>
      </c>
      <c r="S96">
        <v>93</v>
      </c>
      <c r="T96">
        <v>8.6199999999999992</v>
      </c>
      <c r="U96">
        <v>4.75</v>
      </c>
      <c r="W96" t="s">
        <v>497</v>
      </c>
    </row>
    <row r="97" spans="1:23" x14ac:dyDescent="0.25">
      <c r="A97" t="s">
        <v>593</v>
      </c>
      <c r="B97" t="str">
        <f t="shared" si="1"/>
        <v>GA2J00000119</v>
      </c>
      <c r="C97" t="s">
        <v>227</v>
      </c>
      <c r="D97" t="s">
        <v>85</v>
      </c>
      <c r="E97" t="s">
        <v>499</v>
      </c>
      <c r="F97">
        <v>27500</v>
      </c>
      <c r="G97" s="13">
        <v>43971</v>
      </c>
      <c r="H97" s="13">
        <v>45068</v>
      </c>
      <c r="I97">
        <v>10000</v>
      </c>
      <c r="J97">
        <v>0</v>
      </c>
      <c r="K97">
        <v>10000</v>
      </c>
      <c r="N97">
        <v>11.111111111111111</v>
      </c>
      <c r="O97">
        <v>92.3</v>
      </c>
      <c r="P97">
        <v>36.363599999999998</v>
      </c>
      <c r="Q97">
        <v>92</v>
      </c>
      <c r="R97">
        <v>95</v>
      </c>
      <c r="S97">
        <v>92</v>
      </c>
      <c r="T97">
        <v>8.4600000000000009</v>
      </c>
      <c r="U97">
        <v>5.5</v>
      </c>
      <c r="W97" t="s">
        <v>497</v>
      </c>
    </row>
    <row r="98" spans="1:23" x14ac:dyDescent="0.25">
      <c r="A98" t="s">
        <v>594</v>
      </c>
      <c r="B98" t="str">
        <f t="shared" si="1"/>
        <v>CM2B00000038</v>
      </c>
      <c r="C98" t="s">
        <v>225</v>
      </c>
      <c r="D98" t="s">
        <v>85</v>
      </c>
      <c r="E98" t="s">
        <v>507</v>
      </c>
      <c r="F98">
        <v>35000</v>
      </c>
      <c r="G98" s="13">
        <v>43978</v>
      </c>
      <c r="H98" s="13">
        <v>45757</v>
      </c>
      <c r="I98">
        <v>28000</v>
      </c>
      <c r="J98">
        <v>7000</v>
      </c>
      <c r="K98">
        <v>35000</v>
      </c>
      <c r="N98">
        <v>23.809523809523807</v>
      </c>
      <c r="O98">
        <v>99.468100000000007</v>
      </c>
      <c r="P98">
        <v>157.48859999999999</v>
      </c>
      <c r="Q98">
        <v>98</v>
      </c>
      <c r="R98">
        <v>100</v>
      </c>
      <c r="S98">
        <v>98</v>
      </c>
      <c r="T98">
        <v>5.82</v>
      </c>
      <c r="U98">
        <v>5.7</v>
      </c>
      <c r="W98" t="s">
        <v>497</v>
      </c>
    </row>
    <row r="99" spans="1:23" x14ac:dyDescent="0.25">
      <c r="A99" t="s">
        <v>595</v>
      </c>
      <c r="B99" t="str">
        <f t="shared" si="1"/>
        <v>GA2J00000119</v>
      </c>
      <c r="C99" t="s">
        <v>227</v>
      </c>
      <c r="D99" t="s">
        <v>85</v>
      </c>
      <c r="E99" t="s">
        <v>499</v>
      </c>
      <c r="F99">
        <v>22500</v>
      </c>
      <c r="G99" s="13">
        <v>43985</v>
      </c>
      <c r="H99" s="13">
        <v>45068</v>
      </c>
      <c r="I99">
        <v>40</v>
      </c>
      <c r="J99">
        <v>12000</v>
      </c>
      <c r="K99">
        <v>12040</v>
      </c>
      <c r="N99">
        <v>16.666666666666664</v>
      </c>
      <c r="O99">
        <v>90.56</v>
      </c>
      <c r="P99">
        <v>53.51</v>
      </c>
      <c r="Q99">
        <v>90</v>
      </c>
      <c r="R99">
        <v>96</v>
      </c>
      <c r="S99">
        <v>90</v>
      </c>
      <c r="T99">
        <v>9.17</v>
      </c>
      <c r="U99">
        <v>5.5</v>
      </c>
      <c r="W99" t="s">
        <v>497</v>
      </c>
    </row>
    <row r="100" spans="1:23" x14ac:dyDescent="0.25">
      <c r="A100" t="s">
        <v>596</v>
      </c>
      <c r="B100" t="str">
        <f t="shared" si="1"/>
        <v>GA2A00000092</v>
      </c>
      <c r="C100" t="s">
        <v>227</v>
      </c>
      <c r="D100" t="s">
        <v>85</v>
      </c>
      <c r="E100" t="s">
        <v>496</v>
      </c>
      <c r="F100">
        <v>20000</v>
      </c>
      <c r="G100" s="13">
        <v>43985</v>
      </c>
      <c r="H100" s="13">
        <v>44703</v>
      </c>
      <c r="I100">
        <v>12800</v>
      </c>
      <c r="J100">
        <v>2699</v>
      </c>
      <c r="K100">
        <v>15499</v>
      </c>
      <c r="N100">
        <v>16.666666666666664</v>
      </c>
      <c r="O100">
        <v>97.36</v>
      </c>
      <c r="P100">
        <v>80.989999999999995</v>
      </c>
      <c r="Q100">
        <v>92</v>
      </c>
      <c r="R100">
        <v>100</v>
      </c>
      <c r="S100">
        <v>92</v>
      </c>
      <c r="T100">
        <v>6.17</v>
      </c>
      <c r="U100">
        <v>4.75</v>
      </c>
      <c r="W100" t="s">
        <v>497</v>
      </c>
    </row>
    <row r="101" spans="1:23" x14ac:dyDescent="0.25">
      <c r="A101" t="s">
        <v>597</v>
      </c>
      <c r="B101" t="str">
        <f t="shared" si="1"/>
        <v>GA2K00000017</v>
      </c>
      <c r="C101" t="s">
        <v>227</v>
      </c>
      <c r="D101" t="s">
        <v>85</v>
      </c>
      <c r="E101" t="s">
        <v>516</v>
      </c>
      <c r="F101">
        <v>20000</v>
      </c>
      <c r="G101" s="13">
        <v>43999</v>
      </c>
      <c r="H101" s="13">
        <v>45371</v>
      </c>
      <c r="I101">
        <v>10500</v>
      </c>
      <c r="J101">
        <v>2020</v>
      </c>
      <c r="K101">
        <v>12520</v>
      </c>
      <c r="N101">
        <v>27.777777777777779</v>
      </c>
      <c r="O101">
        <v>99.81</v>
      </c>
      <c r="P101">
        <v>113.65</v>
      </c>
      <c r="Q101">
        <v>90</v>
      </c>
      <c r="R101">
        <v>100</v>
      </c>
      <c r="S101">
        <v>90</v>
      </c>
      <c r="T101">
        <v>6.5</v>
      </c>
      <c r="U101">
        <v>6.5</v>
      </c>
      <c r="W101" t="s">
        <v>497</v>
      </c>
    </row>
    <row r="102" spans="1:23" x14ac:dyDescent="0.25">
      <c r="A102" t="s">
        <v>598</v>
      </c>
      <c r="B102" t="str">
        <f t="shared" si="1"/>
        <v>GA2A00000100</v>
      </c>
      <c r="C102" t="s">
        <v>227</v>
      </c>
      <c r="D102" t="s">
        <v>85</v>
      </c>
      <c r="E102" t="s">
        <v>496</v>
      </c>
      <c r="F102">
        <v>22500</v>
      </c>
      <c r="G102" s="13">
        <v>43999</v>
      </c>
      <c r="H102" s="13">
        <v>44731</v>
      </c>
      <c r="I102">
        <v>20000</v>
      </c>
      <c r="J102">
        <v>2500</v>
      </c>
      <c r="K102">
        <v>22500</v>
      </c>
      <c r="N102">
        <v>16.666666666666664</v>
      </c>
      <c r="O102">
        <v>93.9</v>
      </c>
      <c r="P102">
        <v>100</v>
      </c>
      <c r="Q102">
        <v>91</v>
      </c>
      <c r="R102">
        <v>94.35</v>
      </c>
      <c r="S102">
        <v>91</v>
      </c>
      <c r="T102">
        <v>8.11</v>
      </c>
      <c r="U102">
        <v>4.75</v>
      </c>
      <c r="W102" t="s">
        <v>497</v>
      </c>
    </row>
    <row r="103" spans="1:23" x14ac:dyDescent="0.25">
      <c r="A103" t="s">
        <v>599</v>
      </c>
      <c r="B103" t="str">
        <f t="shared" si="1"/>
        <v>CM2C00000037</v>
      </c>
      <c r="C103" t="s">
        <v>225</v>
      </c>
      <c r="D103" t="s">
        <v>85</v>
      </c>
      <c r="E103" t="s">
        <v>549</v>
      </c>
      <c r="F103">
        <v>25000</v>
      </c>
      <c r="G103" s="13">
        <v>43999</v>
      </c>
      <c r="H103" s="13">
        <v>46557</v>
      </c>
      <c r="I103">
        <v>17729</v>
      </c>
      <c r="J103">
        <v>0</v>
      </c>
      <c r="K103">
        <v>17729</v>
      </c>
      <c r="N103">
        <v>28.571428571428569</v>
      </c>
      <c r="O103">
        <v>98.55</v>
      </c>
      <c r="P103">
        <v>70.91</v>
      </c>
      <c r="Q103">
        <v>98</v>
      </c>
      <c r="R103">
        <v>100</v>
      </c>
      <c r="S103">
        <v>98</v>
      </c>
      <c r="T103">
        <v>6.76</v>
      </c>
      <c r="U103">
        <v>6.5</v>
      </c>
      <c r="W103" t="s">
        <v>497</v>
      </c>
    </row>
    <row r="104" spans="1:23" x14ac:dyDescent="0.25">
      <c r="A104" t="s">
        <v>600</v>
      </c>
      <c r="B104" t="str">
        <f t="shared" si="1"/>
        <v>CG2A00000114</v>
      </c>
      <c r="C104" t="s">
        <v>229</v>
      </c>
      <c r="D104" t="s">
        <v>85</v>
      </c>
      <c r="E104" t="s">
        <v>496</v>
      </c>
      <c r="F104">
        <v>30000</v>
      </c>
      <c r="G104" s="13">
        <v>44006</v>
      </c>
      <c r="H104" s="13">
        <v>44738</v>
      </c>
      <c r="I104">
        <v>20820.75</v>
      </c>
      <c r="J104">
        <v>9179</v>
      </c>
      <c r="K104">
        <v>29999.75</v>
      </c>
      <c r="N104">
        <v>17.391304347826086</v>
      </c>
      <c r="O104">
        <v>90.58</v>
      </c>
      <c r="P104">
        <v>109.07</v>
      </c>
      <c r="Q104">
        <v>90</v>
      </c>
      <c r="R104">
        <v>100</v>
      </c>
      <c r="S104">
        <v>90</v>
      </c>
      <c r="T104">
        <v>11.4</v>
      </c>
      <c r="U104">
        <v>6</v>
      </c>
      <c r="W104" t="s">
        <v>497</v>
      </c>
    </row>
    <row r="105" spans="1:23" x14ac:dyDescent="0.25">
      <c r="A105" t="s">
        <v>601</v>
      </c>
      <c r="B105" t="str">
        <f t="shared" si="1"/>
        <v>GA2J00000127</v>
      </c>
      <c r="C105" t="s">
        <v>227</v>
      </c>
      <c r="D105" t="s">
        <v>85</v>
      </c>
      <c r="E105" t="s">
        <v>499</v>
      </c>
      <c r="F105">
        <v>17500</v>
      </c>
      <c r="G105" s="13">
        <v>44013</v>
      </c>
      <c r="H105" s="13">
        <v>45110</v>
      </c>
      <c r="I105">
        <v>3000</v>
      </c>
      <c r="J105">
        <v>0</v>
      </c>
      <c r="K105">
        <v>3000</v>
      </c>
      <c r="N105">
        <v>5.5555555555555554</v>
      </c>
      <c r="O105">
        <v>91</v>
      </c>
      <c r="P105">
        <v>17.142900000000001</v>
      </c>
      <c r="Q105">
        <v>91</v>
      </c>
      <c r="R105">
        <v>91</v>
      </c>
      <c r="S105">
        <v>91</v>
      </c>
      <c r="T105">
        <v>9.25</v>
      </c>
      <c r="U105">
        <v>5.75</v>
      </c>
      <c r="W105" t="s">
        <v>497</v>
      </c>
    </row>
    <row r="106" spans="1:23" x14ac:dyDescent="0.25">
      <c r="A106" t="s">
        <v>602</v>
      </c>
      <c r="B106" t="str">
        <f t="shared" si="1"/>
        <v>GA2K00000017</v>
      </c>
      <c r="C106" t="s">
        <v>227</v>
      </c>
      <c r="D106" t="s">
        <v>85</v>
      </c>
      <c r="E106" t="s">
        <v>516</v>
      </c>
      <c r="F106">
        <v>10000</v>
      </c>
      <c r="G106" s="13">
        <v>44013</v>
      </c>
      <c r="H106" s="13">
        <v>45371</v>
      </c>
      <c r="I106">
        <v>0</v>
      </c>
      <c r="J106">
        <v>2821</v>
      </c>
      <c r="K106">
        <v>2821</v>
      </c>
      <c r="N106">
        <v>5.5555555555555554</v>
      </c>
      <c r="O106">
        <v>92.224299999999999</v>
      </c>
      <c r="P106">
        <v>28.215</v>
      </c>
      <c r="Q106">
        <v>90</v>
      </c>
      <c r="R106">
        <v>91</v>
      </c>
      <c r="S106">
        <v>90</v>
      </c>
      <c r="T106">
        <v>8.85</v>
      </c>
      <c r="U106">
        <v>6.5</v>
      </c>
      <c r="W106" t="s">
        <v>497</v>
      </c>
    </row>
    <row r="107" spans="1:23" x14ac:dyDescent="0.25">
      <c r="A107" t="s">
        <v>603</v>
      </c>
      <c r="B107" t="str">
        <f t="shared" si="1"/>
        <v>CG2A00000098</v>
      </c>
      <c r="C107" t="s">
        <v>229</v>
      </c>
      <c r="D107" t="s">
        <v>85</v>
      </c>
      <c r="E107" t="s">
        <v>496</v>
      </c>
      <c r="F107">
        <v>10000</v>
      </c>
      <c r="G107" s="13">
        <v>44027</v>
      </c>
      <c r="H107" s="13">
        <v>44661</v>
      </c>
      <c r="I107">
        <v>7015</v>
      </c>
      <c r="J107">
        <v>100</v>
      </c>
      <c r="K107">
        <v>7115</v>
      </c>
      <c r="N107">
        <v>13.043478260869565</v>
      </c>
      <c r="O107">
        <v>92.627099999999984</v>
      </c>
      <c r="P107">
        <v>71.150000000000006</v>
      </c>
      <c r="Q107">
        <v>91</v>
      </c>
      <c r="R107">
        <v>92</v>
      </c>
      <c r="S107">
        <v>91</v>
      </c>
      <c r="T107">
        <v>10.17</v>
      </c>
      <c r="U107">
        <v>6</v>
      </c>
      <c r="W107" t="s">
        <v>497</v>
      </c>
    </row>
    <row r="108" spans="1:23" x14ac:dyDescent="0.25">
      <c r="A108" t="s">
        <v>604</v>
      </c>
      <c r="B108" t="str">
        <f t="shared" si="1"/>
        <v>CG2J00000024</v>
      </c>
      <c r="C108" t="s">
        <v>229</v>
      </c>
      <c r="D108" t="s">
        <v>85</v>
      </c>
      <c r="E108" t="s">
        <v>499</v>
      </c>
      <c r="F108">
        <v>15000</v>
      </c>
      <c r="G108" s="13">
        <v>44027</v>
      </c>
      <c r="H108" s="13">
        <v>45124</v>
      </c>
      <c r="I108">
        <v>9874.7800000000007</v>
      </c>
      <c r="J108">
        <v>5125.2199999999993</v>
      </c>
      <c r="K108">
        <v>15000</v>
      </c>
      <c r="N108">
        <v>30.434782608695656</v>
      </c>
      <c r="O108">
        <v>93.627099999999999</v>
      </c>
      <c r="P108">
        <v>164.71109999999999</v>
      </c>
      <c r="Q108">
        <v>90</v>
      </c>
      <c r="R108">
        <v>100</v>
      </c>
      <c r="S108">
        <v>90</v>
      </c>
      <c r="T108">
        <v>8.66</v>
      </c>
      <c r="U108">
        <v>6.2</v>
      </c>
      <c r="W108" t="s">
        <v>497</v>
      </c>
    </row>
    <row r="109" spans="1:23" x14ac:dyDescent="0.25">
      <c r="A109" t="s">
        <v>605</v>
      </c>
      <c r="B109" t="str">
        <f t="shared" si="1"/>
        <v>CG2J00000024</v>
      </c>
      <c r="C109" t="s">
        <v>229</v>
      </c>
      <c r="D109" t="s">
        <v>85</v>
      </c>
      <c r="E109" t="s">
        <v>499</v>
      </c>
      <c r="F109">
        <v>10000</v>
      </c>
      <c r="G109" s="13">
        <v>44034</v>
      </c>
      <c r="H109" s="13">
        <v>45124</v>
      </c>
      <c r="I109">
        <v>9691.39</v>
      </c>
      <c r="J109">
        <v>0</v>
      </c>
      <c r="K109">
        <v>9691.39</v>
      </c>
      <c r="N109">
        <v>4.3478260869565215</v>
      </c>
      <c r="O109">
        <v>90.118899999999996</v>
      </c>
      <c r="P109">
        <v>96.913899999999998</v>
      </c>
      <c r="Q109">
        <v>90</v>
      </c>
      <c r="R109">
        <v>90</v>
      </c>
      <c r="S109">
        <v>90</v>
      </c>
      <c r="T109">
        <v>10.1</v>
      </c>
      <c r="U109">
        <v>6.2</v>
      </c>
      <c r="W109" t="s">
        <v>497</v>
      </c>
    </row>
    <row r="110" spans="1:23" x14ac:dyDescent="0.25">
      <c r="A110" t="s">
        <v>606</v>
      </c>
      <c r="B110" t="str">
        <f t="shared" si="1"/>
        <v>GA2A00000118</v>
      </c>
      <c r="C110" t="s">
        <v>227</v>
      </c>
      <c r="D110" t="s">
        <v>85</v>
      </c>
      <c r="E110" t="s">
        <v>496</v>
      </c>
      <c r="F110">
        <v>25000</v>
      </c>
      <c r="G110" s="13">
        <v>44034</v>
      </c>
      <c r="H110" s="13">
        <v>44766</v>
      </c>
      <c r="I110">
        <v>9340</v>
      </c>
      <c r="J110">
        <v>0</v>
      </c>
      <c r="K110">
        <v>9340</v>
      </c>
      <c r="N110">
        <v>11.111111111111111</v>
      </c>
      <c r="O110">
        <v>91</v>
      </c>
      <c r="P110">
        <v>37.36</v>
      </c>
      <c r="Q110">
        <v>90.5</v>
      </c>
      <c r="R110">
        <v>93</v>
      </c>
      <c r="S110">
        <v>90.5</v>
      </c>
      <c r="T110">
        <v>9.82</v>
      </c>
      <c r="U110">
        <v>4.75</v>
      </c>
      <c r="W110" t="s">
        <v>497</v>
      </c>
    </row>
    <row r="111" spans="1:23" x14ac:dyDescent="0.25">
      <c r="A111" t="s">
        <v>607</v>
      </c>
      <c r="B111" t="str">
        <f t="shared" si="1"/>
        <v>GA2J00000127</v>
      </c>
      <c r="C111" t="s">
        <v>227</v>
      </c>
      <c r="D111" t="s">
        <v>85</v>
      </c>
      <c r="E111" t="s">
        <v>499</v>
      </c>
      <c r="F111">
        <v>22500</v>
      </c>
      <c r="G111" s="13">
        <v>44034</v>
      </c>
      <c r="H111" s="13">
        <v>45110</v>
      </c>
      <c r="I111">
        <v>3450</v>
      </c>
      <c r="J111">
        <v>55</v>
      </c>
      <c r="K111">
        <v>3505</v>
      </c>
      <c r="N111">
        <v>27.777777777777779</v>
      </c>
      <c r="O111">
        <v>97.497700000000009</v>
      </c>
      <c r="P111">
        <v>15.64</v>
      </c>
      <c r="Q111">
        <v>92</v>
      </c>
      <c r="R111">
        <v>98</v>
      </c>
      <c r="S111">
        <v>92</v>
      </c>
      <c r="T111">
        <v>6.68</v>
      </c>
      <c r="U111">
        <v>5.75</v>
      </c>
      <c r="W111" t="s">
        <v>497</v>
      </c>
    </row>
    <row r="112" spans="1:23" x14ac:dyDescent="0.25">
      <c r="A112" t="s">
        <v>608</v>
      </c>
      <c r="B112" t="str">
        <f t="shared" si="1"/>
        <v>GA2J00000127</v>
      </c>
      <c r="C112" t="s">
        <v>227</v>
      </c>
      <c r="D112" t="s">
        <v>85</v>
      </c>
      <c r="E112" t="s">
        <v>499</v>
      </c>
      <c r="F112">
        <v>20000</v>
      </c>
      <c r="G112" s="13">
        <v>44062</v>
      </c>
      <c r="H112" s="13">
        <v>45110</v>
      </c>
      <c r="I112">
        <v>4000</v>
      </c>
      <c r="J112">
        <v>16000</v>
      </c>
      <c r="K112">
        <v>20000</v>
      </c>
      <c r="N112">
        <v>16.666666666666664</v>
      </c>
      <c r="O112">
        <v>89.971900000000005</v>
      </c>
      <c r="P112">
        <v>105.5</v>
      </c>
      <c r="Q112">
        <v>89</v>
      </c>
      <c r="R112">
        <v>90</v>
      </c>
      <c r="S112">
        <v>89</v>
      </c>
      <c r="T112">
        <v>9.68</v>
      </c>
      <c r="U112">
        <v>5.75</v>
      </c>
      <c r="W112" t="s">
        <v>497</v>
      </c>
    </row>
    <row r="113" spans="1:23" x14ac:dyDescent="0.25">
      <c r="A113" t="s">
        <v>609</v>
      </c>
      <c r="B113" t="str">
        <f t="shared" si="1"/>
        <v>GA2B00000034</v>
      </c>
      <c r="C113" t="s">
        <v>227</v>
      </c>
      <c r="D113" t="s">
        <v>85</v>
      </c>
      <c r="E113" t="s">
        <v>507</v>
      </c>
      <c r="F113">
        <v>25000</v>
      </c>
      <c r="G113" s="13">
        <v>44062</v>
      </c>
      <c r="H113" s="13">
        <v>45890</v>
      </c>
      <c r="I113">
        <v>0</v>
      </c>
      <c r="J113">
        <v>25000</v>
      </c>
      <c r="K113">
        <v>25000</v>
      </c>
      <c r="N113">
        <v>33.333333333333329</v>
      </c>
      <c r="O113">
        <v>87.7727</v>
      </c>
      <c r="P113">
        <v>100.752</v>
      </c>
      <c r="Q113">
        <v>87</v>
      </c>
      <c r="R113">
        <v>94.01</v>
      </c>
      <c r="S113">
        <v>87</v>
      </c>
      <c r="T113">
        <v>10.18</v>
      </c>
      <c r="U113">
        <v>7</v>
      </c>
      <c r="W113" t="s">
        <v>497</v>
      </c>
    </row>
    <row r="114" spans="1:23" x14ac:dyDescent="0.25">
      <c r="A114" t="s">
        <v>610</v>
      </c>
      <c r="B114" t="str">
        <f t="shared" si="1"/>
        <v>TD2B00000072</v>
      </c>
      <c r="C114" t="s">
        <v>237</v>
      </c>
      <c r="D114" t="s">
        <v>85</v>
      </c>
      <c r="E114" t="s">
        <v>507</v>
      </c>
      <c r="F114">
        <v>12190</v>
      </c>
      <c r="G114" s="13">
        <v>44062</v>
      </c>
      <c r="H114" s="13">
        <v>45890</v>
      </c>
      <c r="I114">
        <v>9590.75</v>
      </c>
      <c r="J114">
        <v>0</v>
      </c>
      <c r="K114">
        <v>9590.75</v>
      </c>
      <c r="N114">
        <v>8.3333333333333321</v>
      </c>
      <c r="O114">
        <v>100</v>
      </c>
      <c r="P114">
        <v>78.677199999999999</v>
      </c>
      <c r="Q114">
        <v>100</v>
      </c>
      <c r="R114">
        <v>100</v>
      </c>
      <c r="S114">
        <v>100</v>
      </c>
      <c r="T114">
        <v>5.5</v>
      </c>
      <c r="U114">
        <v>5.5</v>
      </c>
      <c r="W114" t="s">
        <v>497</v>
      </c>
    </row>
    <row r="115" spans="1:23" x14ac:dyDescent="0.25">
      <c r="A115" t="s">
        <v>611</v>
      </c>
      <c r="B115" t="str">
        <f t="shared" si="1"/>
        <v>TD2K00000022</v>
      </c>
      <c r="C115" t="s">
        <v>237</v>
      </c>
      <c r="D115" t="s">
        <v>85</v>
      </c>
      <c r="E115" t="s">
        <v>516</v>
      </c>
      <c r="F115">
        <v>12190</v>
      </c>
      <c r="G115" s="13">
        <v>44062</v>
      </c>
      <c r="H115" s="13">
        <v>45525</v>
      </c>
      <c r="I115">
        <v>9590.75</v>
      </c>
      <c r="J115">
        <v>0</v>
      </c>
      <c r="K115">
        <v>9590.75</v>
      </c>
      <c r="N115">
        <v>8.3333333333333321</v>
      </c>
      <c r="O115">
        <v>100</v>
      </c>
      <c r="P115">
        <v>78.677199999999999</v>
      </c>
      <c r="Q115">
        <v>100</v>
      </c>
      <c r="R115">
        <v>100</v>
      </c>
      <c r="S115">
        <v>100</v>
      </c>
      <c r="T115">
        <v>5.5</v>
      </c>
      <c r="U115">
        <v>5.5</v>
      </c>
      <c r="W115" t="s">
        <v>497</v>
      </c>
    </row>
    <row r="116" spans="1:23" x14ac:dyDescent="0.25">
      <c r="A116" t="s">
        <v>612</v>
      </c>
      <c r="B116" t="str">
        <f t="shared" si="1"/>
        <v>TD2J00000033</v>
      </c>
      <c r="C116" t="s">
        <v>237</v>
      </c>
      <c r="D116" t="s">
        <v>85</v>
      </c>
      <c r="E116" t="s">
        <v>499</v>
      </c>
      <c r="F116">
        <v>12190</v>
      </c>
      <c r="G116" s="13">
        <v>44062</v>
      </c>
      <c r="H116" s="13">
        <v>45159</v>
      </c>
      <c r="I116">
        <v>11640.75</v>
      </c>
      <c r="J116">
        <v>0</v>
      </c>
      <c r="K116">
        <v>11640.75</v>
      </c>
      <c r="N116">
        <v>25</v>
      </c>
      <c r="O116">
        <v>100</v>
      </c>
      <c r="P116">
        <v>95.49</v>
      </c>
      <c r="Q116">
        <v>100</v>
      </c>
      <c r="R116">
        <v>100</v>
      </c>
      <c r="S116">
        <v>100</v>
      </c>
      <c r="T116">
        <v>5.5</v>
      </c>
      <c r="U116">
        <v>5.5</v>
      </c>
      <c r="W116" t="s">
        <v>497</v>
      </c>
    </row>
    <row r="117" spans="1:23" x14ac:dyDescent="0.25">
      <c r="A117" t="s">
        <v>613</v>
      </c>
      <c r="B117" t="str">
        <f t="shared" si="1"/>
        <v>TD2A00000420</v>
      </c>
      <c r="C117" t="s">
        <v>237</v>
      </c>
      <c r="D117" t="s">
        <v>85</v>
      </c>
      <c r="E117" t="s">
        <v>496</v>
      </c>
      <c r="F117">
        <v>12190</v>
      </c>
      <c r="G117" s="13">
        <v>44062</v>
      </c>
      <c r="H117" s="13">
        <v>44794</v>
      </c>
      <c r="I117">
        <v>12190</v>
      </c>
      <c r="J117">
        <v>0</v>
      </c>
      <c r="K117">
        <v>12190</v>
      </c>
      <c r="N117">
        <v>25</v>
      </c>
      <c r="O117">
        <v>100</v>
      </c>
      <c r="P117">
        <v>134.35400000000001</v>
      </c>
      <c r="Q117">
        <v>100</v>
      </c>
      <c r="R117">
        <v>100</v>
      </c>
      <c r="S117">
        <v>100</v>
      </c>
      <c r="T117">
        <v>5</v>
      </c>
      <c r="U117">
        <v>5</v>
      </c>
      <c r="W117" t="s">
        <v>497</v>
      </c>
    </row>
    <row r="118" spans="1:23" x14ac:dyDescent="0.25">
      <c r="A118" t="s">
        <v>614</v>
      </c>
      <c r="B118" t="str">
        <f t="shared" si="1"/>
        <v>CG2J00000032</v>
      </c>
      <c r="C118" t="s">
        <v>229</v>
      </c>
      <c r="D118" t="s">
        <v>85</v>
      </c>
      <c r="E118" t="s">
        <v>499</v>
      </c>
      <c r="F118">
        <v>25000</v>
      </c>
      <c r="G118" s="13">
        <v>44069</v>
      </c>
      <c r="H118" s="13">
        <v>45166</v>
      </c>
      <c r="I118">
        <v>10300</v>
      </c>
      <c r="J118">
        <v>7057</v>
      </c>
      <c r="K118">
        <v>17357</v>
      </c>
      <c r="N118">
        <v>21.739130434782609</v>
      </c>
      <c r="O118">
        <v>95.233199999999997</v>
      </c>
      <c r="P118">
        <v>69.828000000000003</v>
      </c>
      <c r="Q118">
        <v>91.5</v>
      </c>
      <c r="R118">
        <v>100</v>
      </c>
      <c r="S118">
        <v>91.5</v>
      </c>
      <c r="T118">
        <v>8.02</v>
      </c>
      <c r="U118">
        <v>6.2</v>
      </c>
      <c r="W118" t="s">
        <v>497</v>
      </c>
    </row>
    <row r="119" spans="1:23" x14ac:dyDescent="0.25">
      <c r="A119" t="s">
        <v>615</v>
      </c>
      <c r="B119" t="str">
        <f t="shared" si="1"/>
        <v>CG2A00000122</v>
      </c>
      <c r="C119" t="s">
        <v>229</v>
      </c>
      <c r="D119" t="s">
        <v>85</v>
      </c>
      <c r="E119" t="s">
        <v>496</v>
      </c>
      <c r="F119">
        <v>13910</v>
      </c>
      <c r="G119" s="13">
        <v>44083</v>
      </c>
      <c r="H119" s="13">
        <v>44815</v>
      </c>
      <c r="I119">
        <v>12700</v>
      </c>
      <c r="J119">
        <v>1210</v>
      </c>
      <c r="K119">
        <v>13910</v>
      </c>
      <c r="N119">
        <v>26.086956521739129</v>
      </c>
      <c r="O119">
        <v>91.14</v>
      </c>
      <c r="P119">
        <v>69.55</v>
      </c>
      <c r="Q119">
        <v>90</v>
      </c>
      <c r="R119">
        <v>100</v>
      </c>
      <c r="S119">
        <v>90</v>
      </c>
      <c r="T119">
        <v>11.06</v>
      </c>
      <c r="U119">
        <v>6</v>
      </c>
      <c r="W119" t="s">
        <v>497</v>
      </c>
    </row>
    <row r="120" spans="1:23" x14ac:dyDescent="0.25">
      <c r="A120" t="s">
        <v>616</v>
      </c>
      <c r="B120" t="str">
        <f t="shared" si="1"/>
        <v>CM2J00000055</v>
      </c>
      <c r="C120" t="s">
        <v>225</v>
      </c>
      <c r="D120" t="s">
        <v>85</v>
      </c>
      <c r="E120" t="s">
        <v>499</v>
      </c>
      <c r="F120">
        <v>30000</v>
      </c>
      <c r="G120" s="13">
        <v>44090</v>
      </c>
      <c r="H120" s="13">
        <v>45187</v>
      </c>
      <c r="I120">
        <v>28900</v>
      </c>
      <c r="J120">
        <v>1100</v>
      </c>
      <c r="K120">
        <v>30000</v>
      </c>
      <c r="N120">
        <v>33.333333333333329</v>
      </c>
      <c r="O120">
        <v>99.64</v>
      </c>
      <c r="P120">
        <v>180.29</v>
      </c>
      <c r="Q120">
        <v>99</v>
      </c>
      <c r="R120">
        <v>101</v>
      </c>
      <c r="S120">
        <v>99</v>
      </c>
      <c r="T120">
        <v>4.13</v>
      </c>
      <c r="U120">
        <v>4</v>
      </c>
      <c r="W120" t="s">
        <v>497</v>
      </c>
    </row>
    <row r="121" spans="1:23" x14ac:dyDescent="0.25">
      <c r="A121" t="s">
        <v>617</v>
      </c>
      <c r="B121" t="str">
        <f t="shared" si="1"/>
        <v>CG2J00000040</v>
      </c>
      <c r="C121" t="s">
        <v>229</v>
      </c>
      <c r="D121" t="s">
        <v>85</v>
      </c>
      <c r="E121" t="s">
        <v>499</v>
      </c>
      <c r="F121">
        <v>20000</v>
      </c>
      <c r="G121" s="13">
        <v>44104</v>
      </c>
      <c r="H121" s="13">
        <v>45201</v>
      </c>
      <c r="I121">
        <v>9795</v>
      </c>
      <c r="J121">
        <v>215</v>
      </c>
      <c r="K121">
        <v>10010</v>
      </c>
      <c r="N121">
        <v>26.086956521739129</v>
      </c>
      <c r="O121">
        <v>90.099400000000003</v>
      </c>
      <c r="P121">
        <v>50.05</v>
      </c>
      <c r="Q121">
        <v>90</v>
      </c>
      <c r="R121">
        <v>100</v>
      </c>
      <c r="S121">
        <v>90</v>
      </c>
      <c r="T121">
        <v>9.9</v>
      </c>
      <c r="U121">
        <v>6</v>
      </c>
      <c r="W121" t="s">
        <v>497</v>
      </c>
    </row>
    <row r="122" spans="1:23" x14ac:dyDescent="0.25">
      <c r="A122" t="s">
        <v>618</v>
      </c>
      <c r="B122" t="str">
        <f t="shared" si="1"/>
        <v>CG2J00000057</v>
      </c>
      <c r="C122" t="s">
        <v>229</v>
      </c>
      <c r="D122" t="s">
        <v>85</v>
      </c>
      <c r="E122" t="s">
        <v>499</v>
      </c>
      <c r="F122">
        <v>25000</v>
      </c>
      <c r="G122" s="13">
        <v>44111</v>
      </c>
      <c r="H122" s="13">
        <v>45208</v>
      </c>
      <c r="I122">
        <v>10000</v>
      </c>
      <c r="J122">
        <v>100</v>
      </c>
      <c r="K122">
        <v>10100</v>
      </c>
      <c r="N122">
        <v>8.695652173913043</v>
      </c>
      <c r="O122">
        <v>90.029700000000005</v>
      </c>
      <c r="P122">
        <v>40.4</v>
      </c>
      <c r="Q122">
        <v>90</v>
      </c>
      <c r="R122">
        <v>93</v>
      </c>
      <c r="S122">
        <v>90</v>
      </c>
      <c r="T122">
        <v>9.92</v>
      </c>
      <c r="U122">
        <v>6</v>
      </c>
      <c r="W122" t="s">
        <v>497</v>
      </c>
    </row>
    <row r="123" spans="1:23" x14ac:dyDescent="0.25">
      <c r="A123" t="s">
        <v>619</v>
      </c>
      <c r="B123" t="str">
        <f t="shared" si="1"/>
        <v>CM2L00000010</v>
      </c>
      <c r="C123" t="s">
        <v>225</v>
      </c>
      <c r="D123" t="s">
        <v>85</v>
      </c>
      <c r="E123" t="s">
        <v>547</v>
      </c>
      <c r="F123">
        <v>35000</v>
      </c>
      <c r="G123" s="13">
        <v>44111</v>
      </c>
      <c r="H123" s="13">
        <v>46304</v>
      </c>
      <c r="I123">
        <v>35000</v>
      </c>
      <c r="J123">
        <v>0</v>
      </c>
      <c r="K123">
        <v>35000</v>
      </c>
      <c r="N123">
        <v>28.571428571428569</v>
      </c>
      <c r="O123">
        <v>97.986400000000003</v>
      </c>
      <c r="P123">
        <v>102.7786</v>
      </c>
      <c r="Q123">
        <v>97</v>
      </c>
      <c r="R123">
        <v>100</v>
      </c>
      <c r="S123">
        <v>97</v>
      </c>
      <c r="T123">
        <v>6.41</v>
      </c>
      <c r="U123">
        <v>6</v>
      </c>
      <c r="W123" t="s">
        <v>497</v>
      </c>
    </row>
    <row r="124" spans="1:23" x14ac:dyDescent="0.25">
      <c r="A124" t="s">
        <v>620</v>
      </c>
      <c r="B124" t="str">
        <f t="shared" si="1"/>
        <v>CM2D00000036</v>
      </c>
      <c r="C124" t="s">
        <v>225</v>
      </c>
      <c r="D124" t="s">
        <v>85</v>
      </c>
      <c r="E124" t="s">
        <v>555</v>
      </c>
      <c r="F124">
        <v>35000</v>
      </c>
      <c r="G124" s="13">
        <v>44125</v>
      </c>
      <c r="H124" s="13">
        <v>47779</v>
      </c>
      <c r="I124">
        <v>20000</v>
      </c>
      <c r="J124">
        <v>0</v>
      </c>
      <c r="K124">
        <v>20000</v>
      </c>
      <c r="N124">
        <v>14.285714285714285</v>
      </c>
      <c r="O124">
        <v>99.3399</v>
      </c>
      <c r="P124">
        <v>59.317100000000003</v>
      </c>
      <c r="Q124">
        <v>97</v>
      </c>
      <c r="R124">
        <v>100</v>
      </c>
      <c r="S124">
        <v>97</v>
      </c>
      <c r="T124">
        <v>7.09</v>
      </c>
      <c r="U124">
        <v>7</v>
      </c>
      <c r="W124" t="s">
        <v>497</v>
      </c>
    </row>
    <row r="125" spans="1:23" x14ac:dyDescent="0.25">
      <c r="A125" t="s">
        <v>621</v>
      </c>
      <c r="B125" t="str">
        <f t="shared" si="1"/>
        <v>CG2A00000130</v>
      </c>
      <c r="C125" t="s">
        <v>229</v>
      </c>
      <c r="D125" t="s">
        <v>85</v>
      </c>
      <c r="E125" t="s">
        <v>496</v>
      </c>
      <c r="F125">
        <v>25000</v>
      </c>
      <c r="G125" s="13">
        <v>44125</v>
      </c>
      <c r="H125" s="13">
        <v>44857</v>
      </c>
      <c r="I125">
        <v>16050</v>
      </c>
      <c r="J125">
        <v>7980</v>
      </c>
      <c r="K125">
        <v>24030</v>
      </c>
      <c r="N125">
        <v>21.739130434782609</v>
      </c>
      <c r="O125">
        <v>91.614199999999997</v>
      </c>
      <c r="P125">
        <v>96.12</v>
      </c>
      <c r="Q125">
        <v>90</v>
      </c>
      <c r="R125">
        <v>99</v>
      </c>
      <c r="S125">
        <v>90</v>
      </c>
      <c r="T125">
        <v>10.77</v>
      </c>
      <c r="U125">
        <v>6</v>
      </c>
      <c r="W125" t="s">
        <v>497</v>
      </c>
    </row>
    <row r="126" spans="1:23" x14ac:dyDescent="0.25">
      <c r="A126" t="s">
        <v>622</v>
      </c>
      <c r="B126" t="str">
        <f t="shared" si="1"/>
        <v>CG2A00000148</v>
      </c>
      <c r="C126" t="s">
        <v>229</v>
      </c>
      <c r="D126" t="s">
        <v>85</v>
      </c>
      <c r="E126" t="s">
        <v>496</v>
      </c>
      <c r="F126">
        <v>15000</v>
      </c>
      <c r="G126" s="13">
        <v>44132</v>
      </c>
      <c r="H126" s="13">
        <v>44864</v>
      </c>
      <c r="I126">
        <v>14980</v>
      </c>
      <c r="J126">
        <v>20</v>
      </c>
      <c r="K126">
        <v>15000</v>
      </c>
      <c r="N126">
        <v>13.043478260869565</v>
      </c>
      <c r="O126">
        <v>90.011700000000005</v>
      </c>
      <c r="P126">
        <v>100.13330000000001</v>
      </c>
      <c r="Q126">
        <v>90</v>
      </c>
      <c r="R126">
        <v>98.75</v>
      </c>
      <c r="S126">
        <v>90</v>
      </c>
      <c r="T126">
        <v>11.75</v>
      </c>
      <c r="U126">
        <v>6</v>
      </c>
      <c r="W126" t="s">
        <v>497</v>
      </c>
    </row>
    <row r="127" spans="1:23" x14ac:dyDescent="0.25">
      <c r="A127" t="s">
        <v>623</v>
      </c>
      <c r="B127" t="str">
        <f t="shared" si="1"/>
        <v>CG2B00000014</v>
      </c>
      <c r="C127" t="s">
        <v>229</v>
      </c>
      <c r="D127" t="s">
        <v>85</v>
      </c>
      <c r="E127" t="s">
        <v>507</v>
      </c>
      <c r="F127">
        <v>32000</v>
      </c>
      <c r="G127" s="13">
        <v>44139</v>
      </c>
      <c r="H127" s="13">
        <v>45966</v>
      </c>
      <c r="I127">
        <v>30714.36</v>
      </c>
      <c r="J127">
        <v>0</v>
      </c>
      <c r="K127">
        <v>30714.36</v>
      </c>
      <c r="N127">
        <v>4.3478260869565215</v>
      </c>
      <c r="O127">
        <v>96.227800000000002</v>
      </c>
      <c r="P127">
        <v>95.982399999999998</v>
      </c>
      <c r="Q127">
        <v>96.21</v>
      </c>
      <c r="R127">
        <v>96.21</v>
      </c>
      <c r="S127">
        <v>96.21</v>
      </c>
      <c r="T127">
        <v>7.72</v>
      </c>
      <c r="U127">
        <v>6.5</v>
      </c>
      <c r="W127" t="s">
        <v>497</v>
      </c>
    </row>
    <row r="128" spans="1:23" x14ac:dyDescent="0.25">
      <c r="A128" t="s">
        <v>624</v>
      </c>
      <c r="B128" t="str">
        <f t="shared" si="1"/>
        <v>CG2A00000155</v>
      </c>
      <c r="C128" t="s">
        <v>229</v>
      </c>
      <c r="D128" t="s">
        <v>85</v>
      </c>
      <c r="E128" t="s">
        <v>496</v>
      </c>
      <c r="F128">
        <v>32000</v>
      </c>
      <c r="G128" s="13">
        <v>44139</v>
      </c>
      <c r="H128" s="13">
        <v>44871</v>
      </c>
      <c r="I128">
        <v>30714.44</v>
      </c>
      <c r="K128">
        <v>30714.44</v>
      </c>
      <c r="N128">
        <v>4.3478260869565215</v>
      </c>
      <c r="O128">
        <v>96.21</v>
      </c>
      <c r="P128">
        <v>95.982600000000005</v>
      </c>
      <c r="Q128">
        <v>96.21</v>
      </c>
      <c r="R128">
        <v>96.21</v>
      </c>
      <c r="S128">
        <v>96.21</v>
      </c>
      <c r="T128">
        <v>8.09</v>
      </c>
      <c r="U128">
        <v>6</v>
      </c>
      <c r="W128" t="s">
        <v>497</v>
      </c>
    </row>
    <row r="129" spans="1:23" x14ac:dyDescent="0.25">
      <c r="A129" t="s">
        <v>625</v>
      </c>
      <c r="B129" t="str">
        <f t="shared" si="1"/>
        <v>CG2J00000065</v>
      </c>
      <c r="C129" t="s">
        <v>229</v>
      </c>
      <c r="D129" t="s">
        <v>85</v>
      </c>
      <c r="E129" t="s">
        <v>499</v>
      </c>
      <c r="F129">
        <v>32000</v>
      </c>
      <c r="G129" s="13">
        <v>44139</v>
      </c>
      <c r="H129" s="13">
        <v>45236</v>
      </c>
      <c r="I129">
        <v>30714.42</v>
      </c>
      <c r="J129">
        <v>0</v>
      </c>
      <c r="K129">
        <v>30714.42</v>
      </c>
      <c r="N129">
        <v>4.3478260869565215</v>
      </c>
      <c r="O129">
        <v>96.21</v>
      </c>
      <c r="P129">
        <v>95.982600000000005</v>
      </c>
      <c r="Q129">
        <v>96.21</v>
      </c>
      <c r="R129">
        <v>96.21</v>
      </c>
      <c r="S129">
        <v>96.21</v>
      </c>
      <c r="T129">
        <v>7.74</v>
      </c>
      <c r="U129">
        <v>6.3</v>
      </c>
      <c r="W129" t="s">
        <v>497</v>
      </c>
    </row>
    <row r="130" spans="1:23" x14ac:dyDescent="0.25">
      <c r="A130" t="s">
        <v>626</v>
      </c>
      <c r="B130" t="str">
        <f t="shared" si="1"/>
        <v>CM2C00000045</v>
      </c>
      <c r="C130" t="s">
        <v>225</v>
      </c>
      <c r="D130" t="s">
        <v>85</v>
      </c>
      <c r="E130" t="s">
        <v>549</v>
      </c>
      <c r="F130">
        <v>0</v>
      </c>
      <c r="G130" s="13">
        <v>44139</v>
      </c>
      <c r="H130" s="13">
        <v>46697</v>
      </c>
      <c r="I130">
        <v>0</v>
      </c>
      <c r="J130">
        <v>0</v>
      </c>
      <c r="K130">
        <v>0</v>
      </c>
      <c r="N130">
        <v>19.047619047619047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W130" t="s">
        <v>497</v>
      </c>
    </row>
    <row r="131" spans="1:23" x14ac:dyDescent="0.25">
      <c r="A131" t="s">
        <v>627</v>
      </c>
      <c r="B131" t="str">
        <f t="shared" si="1"/>
        <v>GA2B00000042</v>
      </c>
      <c r="C131" t="s">
        <v>227</v>
      </c>
      <c r="D131" t="s">
        <v>85</v>
      </c>
      <c r="E131" t="s">
        <v>507</v>
      </c>
      <c r="F131">
        <v>20000</v>
      </c>
      <c r="G131" s="13">
        <v>44146</v>
      </c>
      <c r="H131" s="13">
        <v>45925</v>
      </c>
      <c r="I131">
        <v>14462</v>
      </c>
      <c r="J131">
        <v>5538</v>
      </c>
      <c r="K131">
        <v>20000</v>
      </c>
      <c r="N131">
        <v>27.777777777777779</v>
      </c>
      <c r="O131">
        <v>93.916300000000007</v>
      </c>
      <c r="P131">
        <v>155.64330000000001</v>
      </c>
      <c r="Q131">
        <v>88</v>
      </c>
      <c r="R131">
        <v>95</v>
      </c>
      <c r="S131">
        <v>88</v>
      </c>
      <c r="T131">
        <v>8</v>
      </c>
      <c r="U131">
        <v>6.5</v>
      </c>
      <c r="W131" t="s">
        <v>497</v>
      </c>
    </row>
    <row r="132" spans="1:23" x14ac:dyDescent="0.25">
      <c r="A132" t="s">
        <v>628</v>
      </c>
      <c r="B132" t="str">
        <f t="shared" si="1"/>
        <v>GA2J00000135</v>
      </c>
      <c r="C132" t="s">
        <v>227</v>
      </c>
      <c r="D132" t="s">
        <v>85</v>
      </c>
      <c r="E132" t="s">
        <v>499</v>
      </c>
      <c r="F132">
        <v>25000</v>
      </c>
      <c r="G132" s="13">
        <v>44146</v>
      </c>
      <c r="H132" s="13">
        <v>45215</v>
      </c>
      <c r="I132">
        <v>14011</v>
      </c>
      <c r="J132">
        <v>10989</v>
      </c>
      <c r="K132">
        <v>25000</v>
      </c>
      <c r="N132">
        <v>27.777777777777779</v>
      </c>
      <c r="O132">
        <v>94.7393</v>
      </c>
      <c r="P132">
        <v>100</v>
      </c>
      <c r="Q132">
        <v>92</v>
      </c>
      <c r="R132">
        <v>100</v>
      </c>
      <c r="S132">
        <v>92</v>
      </c>
      <c r="T132">
        <v>7.23</v>
      </c>
      <c r="U132">
        <v>5.25</v>
      </c>
      <c r="W132" t="s">
        <v>497</v>
      </c>
    </row>
    <row r="133" spans="1:23" x14ac:dyDescent="0.25">
      <c r="A133" t="s">
        <v>629</v>
      </c>
      <c r="B133" t="str">
        <f t="shared" ref="B133:B196" si="2">MID(A133,1,12)</f>
        <v>CG2A00000163</v>
      </c>
      <c r="C133" t="s">
        <v>229</v>
      </c>
      <c r="D133" t="s">
        <v>85</v>
      </c>
      <c r="E133" t="s">
        <v>496</v>
      </c>
      <c r="F133">
        <v>15000</v>
      </c>
      <c r="G133" s="13">
        <v>44146</v>
      </c>
      <c r="H133" s="13">
        <v>44878</v>
      </c>
      <c r="I133">
        <v>14967.7</v>
      </c>
      <c r="J133">
        <v>32.299999999999272</v>
      </c>
      <c r="K133">
        <v>15000</v>
      </c>
      <c r="N133">
        <v>21.739130434782609</v>
      </c>
      <c r="O133">
        <v>90.198300000000003</v>
      </c>
      <c r="P133">
        <v>101.2513</v>
      </c>
      <c r="Q133">
        <v>90</v>
      </c>
      <c r="R133">
        <v>96</v>
      </c>
      <c r="S133">
        <v>90</v>
      </c>
      <c r="T133">
        <v>11.63</v>
      </c>
      <c r="U133">
        <v>6</v>
      </c>
      <c r="W133" t="s">
        <v>497</v>
      </c>
    </row>
    <row r="134" spans="1:23" x14ac:dyDescent="0.25">
      <c r="A134" t="s">
        <v>630</v>
      </c>
      <c r="B134" t="str">
        <f t="shared" si="2"/>
        <v>CM2A00000062</v>
      </c>
      <c r="C134" t="s">
        <v>225</v>
      </c>
      <c r="D134" t="s">
        <v>85</v>
      </c>
      <c r="E134" t="s">
        <v>496</v>
      </c>
      <c r="F134">
        <v>35000</v>
      </c>
      <c r="G134" s="13">
        <v>44153</v>
      </c>
      <c r="H134" s="13">
        <v>44885</v>
      </c>
      <c r="I134">
        <v>20000</v>
      </c>
      <c r="J134">
        <v>8000</v>
      </c>
      <c r="K134">
        <v>28000</v>
      </c>
      <c r="N134">
        <v>28.571428571428569</v>
      </c>
      <c r="O134">
        <v>99.792900000000003</v>
      </c>
      <c r="P134">
        <v>86</v>
      </c>
      <c r="Q134">
        <v>99</v>
      </c>
      <c r="R134">
        <v>100</v>
      </c>
      <c r="S134">
        <v>99</v>
      </c>
      <c r="T134">
        <v>3.51</v>
      </c>
      <c r="U134">
        <v>3.4</v>
      </c>
      <c r="W134" t="s">
        <v>497</v>
      </c>
    </row>
    <row r="135" spans="1:23" x14ac:dyDescent="0.25">
      <c r="A135" t="s">
        <v>631</v>
      </c>
      <c r="B135" t="str">
        <f t="shared" si="2"/>
        <v>GA2B00000059</v>
      </c>
      <c r="C135" t="s">
        <v>227</v>
      </c>
      <c r="D135" t="s">
        <v>85</v>
      </c>
      <c r="E135" t="s">
        <v>507</v>
      </c>
      <c r="F135">
        <v>30000</v>
      </c>
      <c r="G135" s="13">
        <v>44160</v>
      </c>
      <c r="H135" s="13">
        <v>45988</v>
      </c>
      <c r="I135">
        <v>15425</v>
      </c>
      <c r="J135">
        <v>14575</v>
      </c>
      <c r="K135">
        <v>30000</v>
      </c>
      <c r="N135">
        <v>44.444444444444443</v>
      </c>
      <c r="O135">
        <v>87.817899999999995</v>
      </c>
      <c r="P135">
        <v>100</v>
      </c>
      <c r="Q135">
        <v>87</v>
      </c>
      <c r="R135">
        <v>98</v>
      </c>
      <c r="S135">
        <v>87</v>
      </c>
      <c r="T135">
        <v>9.6300000000000008</v>
      </c>
      <c r="U135">
        <v>6.5</v>
      </c>
      <c r="W135" t="s">
        <v>497</v>
      </c>
    </row>
    <row r="136" spans="1:23" x14ac:dyDescent="0.25">
      <c r="A136" t="s">
        <v>606</v>
      </c>
      <c r="B136" t="str">
        <f t="shared" si="2"/>
        <v>GA2A00000118</v>
      </c>
      <c r="C136" t="s">
        <v>227</v>
      </c>
      <c r="D136" t="s">
        <v>85</v>
      </c>
      <c r="E136" t="s">
        <v>496</v>
      </c>
      <c r="F136">
        <v>17500</v>
      </c>
      <c r="G136" s="13">
        <v>44160</v>
      </c>
      <c r="H136" s="13">
        <v>44766</v>
      </c>
      <c r="I136">
        <v>13700</v>
      </c>
      <c r="J136">
        <v>3800</v>
      </c>
      <c r="K136">
        <v>17500</v>
      </c>
      <c r="N136">
        <v>27.777777777777779</v>
      </c>
      <c r="O136">
        <v>94.104100000000003</v>
      </c>
      <c r="P136">
        <v>100.3429</v>
      </c>
      <c r="Q136">
        <v>90</v>
      </c>
      <c r="R136">
        <v>95</v>
      </c>
      <c r="S136">
        <v>90</v>
      </c>
      <c r="T136">
        <v>8</v>
      </c>
      <c r="U136">
        <v>4.75</v>
      </c>
      <c r="W136" t="s">
        <v>497</v>
      </c>
    </row>
    <row r="137" spans="1:23" x14ac:dyDescent="0.25">
      <c r="A137" t="s">
        <v>632</v>
      </c>
      <c r="B137" t="str">
        <f t="shared" si="2"/>
        <v>CG2J00000073</v>
      </c>
      <c r="C137" t="s">
        <v>229</v>
      </c>
      <c r="D137" t="s">
        <v>85</v>
      </c>
      <c r="E137" t="s">
        <v>499</v>
      </c>
      <c r="F137">
        <v>30000</v>
      </c>
      <c r="G137" s="13">
        <v>44167</v>
      </c>
      <c r="H137" s="13">
        <v>45264</v>
      </c>
      <c r="I137">
        <v>9688.18</v>
      </c>
      <c r="J137">
        <v>1585</v>
      </c>
      <c r="K137">
        <v>11273.18</v>
      </c>
      <c r="N137">
        <v>21.739130434782609</v>
      </c>
      <c r="O137">
        <v>90.355999999999995</v>
      </c>
      <c r="P137">
        <v>37.577300000000001</v>
      </c>
      <c r="Q137">
        <v>90</v>
      </c>
      <c r="R137">
        <v>95</v>
      </c>
      <c r="S137">
        <v>90</v>
      </c>
      <c r="T137">
        <v>9.7899999999999991</v>
      </c>
      <c r="U137">
        <v>6</v>
      </c>
      <c r="W137" t="s">
        <v>497</v>
      </c>
    </row>
    <row r="138" spans="1:23" x14ac:dyDescent="0.25">
      <c r="A138" t="s">
        <v>633</v>
      </c>
      <c r="B138" t="str">
        <f t="shared" si="2"/>
        <v>CF2A00000017</v>
      </c>
      <c r="C138" t="s">
        <v>634</v>
      </c>
      <c r="D138" t="s">
        <v>85</v>
      </c>
      <c r="E138" t="s">
        <v>496</v>
      </c>
      <c r="F138">
        <v>3657.15</v>
      </c>
      <c r="G138" s="13">
        <v>44167</v>
      </c>
      <c r="H138" s="13">
        <v>44899</v>
      </c>
      <c r="I138">
        <v>0</v>
      </c>
      <c r="J138">
        <v>0</v>
      </c>
      <c r="K138">
        <v>3657.15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2.95</v>
      </c>
      <c r="U138">
        <v>2.95</v>
      </c>
      <c r="W138" t="s">
        <v>542</v>
      </c>
    </row>
    <row r="139" spans="1:23" x14ac:dyDescent="0.25">
      <c r="A139" t="s">
        <v>635</v>
      </c>
      <c r="B139" t="str">
        <f t="shared" si="2"/>
        <v>CF2B00000016</v>
      </c>
      <c r="C139" t="s">
        <v>634</v>
      </c>
      <c r="D139" t="s">
        <v>85</v>
      </c>
      <c r="E139" t="s">
        <v>507</v>
      </c>
      <c r="F139">
        <v>3657.16</v>
      </c>
      <c r="G139" s="13">
        <v>44167</v>
      </c>
      <c r="H139" s="13">
        <v>45995</v>
      </c>
      <c r="I139">
        <v>0</v>
      </c>
      <c r="J139">
        <v>0</v>
      </c>
      <c r="K139">
        <v>3657.16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2.95</v>
      </c>
      <c r="U139">
        <v>2.95</v>
      </c>
      <c r="W139" t="s">
        <v>542</v>
      </c>
    </row>
    <row r="140" spans="1:23" x14ac:dyDescent="0.25">
      <c r="A140" t="s">
        <v>636</v>
      </c>
      <c r="B140" t="str">
        <f t="shared" si="2"/>
        <v>CF2J00000018</v>
      </c>
      <c r="C140" t="s">
        <v>634</v>
      </c>
      <c r="D140" t="s">
        <v>85</v>
      </c>
      <c r="E140" t="s">
        <v>499</v>
      </c>
      <c r="F140">
        <v>3657.16</v>
      </c>
      <c r="G140" s="13">
        <v>44167</v>
      </c>
      <c r="H140" s="13">
        <v>45264</v>
      </c>
      <c r="I140">
        <v>0</v>
      </c>
      <c r="J140">
        <v>0</v>
      </c>
      <c r="K140">
        <v>3657.16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2.95</v>
      </c>
      <c r="U140">
        <v>2.95</v>
      </c>
      <c r="W140" t="s">
        <v>542</v>
      </c>
    </row>
    <row r="141" spans="1:23" x14ac:dyDescent="0.25">
      <c r="A141" t="s">
        <v>637</v>
      </c>
      <c r="B141" t="str">
        <f t="shared" si="2"/>
        <v>CF2K00000015</v>
      </c>
      <c r="C141" t="s">
        <v>634</v>
      </c>
      <c r="D141" t="s">
        <v>85</v>
      </c>
      <c r="E141" t="s">
        <v>516</v>
      </c>
      <c r="F141">
        <v>3657.16</v>
      </c>
      <c r="G141" s="13">
        <v>44167</v>
      </c>
      <c r="H141" s="13">
        <v>45630</v>
      </c>
      <c r="I141">
        <v>0</v>
      </c>
      <c r="J141">
        <v>0</v>
      </c>
      <c r="K141">
        <v>3657.16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2.95</v>
      </c>
      <c r="U141">
        <v>2.95</v>
      </c>
      <c r="W141" t="s">
        <v>542</v>
      </c>
    </row>
    <row r="142" spans="1:23" x14ac:dyDescent="0.25">
      <c r="A142" t="s">
        <v>638</v>
      </c>
      <c r="B142" t="str">
        <f t="shared" si="2"/>
        <v>CF2L00000014</v>
      </c>
      <c r="C142" t="s">
        <v>634</v>
      </c>
      <c r="D142" t="s">
        <v>85</v>
      </c>
      <c r="E142" t="s">
        <v>547</v>
      </c>
      <c r="F142">
        <v>1179.5999999999999</v>
      </c>
      <c r="G142" s="13">
        <v>44167</v>
      </c>
      <c r="H142" s="13">
        <v>46360</v>
      </c>
      <c r="I142">
        <v>0</v>
      </c>
      <c r="J142">
        <v>0</v>
      </c>
      <c r="K142">
        <v>1179.5999999999999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2.95</v>
      </c>
      <c r="U142">
        <v>2.95</v>
      </c>
      <c r="W142" t="s">
        <v>542</v>
      </c>
    </row>
    <row r="143" spans="1:23" x14ac:dyDescent="0.25">
      <c r="A143" t="s">
        <v>639</v>
      </c>
      <c r="B143" t="str">
        <f t="shared" si="2"/>
        <v>CM2B00000046</v>
      </c>
      <c r="C143" t="s">
        <v>225</v>
      </c>
      <c r="D143" t="s">
        <v>85</v>
      </c>
      <c r="E143" t="s">
        <v>507</v>
      </c>
      <c r="F143">
        <v>30000</v>
      </c>
      <c r="G143" s="13">
        <v>44174</v>
      </c>
      <c r="H143" s="13">
        <v>46002</v>
      </c>
      <c r="I143">
        <v>30000</v>
      </c>
      <c r="J143">
        <v>0</v>
      </c>
      <c r="K143">
        <v>30000</v>
      </c>
      <c r="N143">
        <v>28.571428571428569</v>
      </c>
      <c r="O143">
        <v>99.068200000000004</v>
      </c>
      <c r="P143">
        <v>104.25</v>
      </c>
      <c r="Q143">
        <v>98.5</v>
      </c>
      <c r="R143">
        <v>100</v>
      </c>
      <c r="S143">
        <v>98.5</v>
      </c>
      <c r="T143">
        <v>5.72</v>
      </c>
      <c r="U143">
        <v>5.5</v>
      </c>
      <c r="W143" t="s">
        <v>497</v>
      </c>
    </row>
    <row r="144" spans="1:23" x14ac:dyDescent="0.25">
      <c r="A144" t="s">
        <v>640</v>
      </c>
      <c r="B144" t="str">
        <f t="shared" si="2"/>
        <v>CG2A00000171</v>
      </c>
      <c r="C144" t="s">
        <v>229</v>
      </c>
      <c r="D144" t="s">
        <v>85</v>
      </c>
      <c r="E144" t="s">
        <v>496</v>
      </c>
      <c r="F144">
        <v>20000</v>
      </c>
      <c r="G144" s="13">
        <v>44174</v>
      </c>
      <c r="H144" s="13">
        <v>44906</v>
      </c>
      <c r="I144">
        <v>12975</v>
      </c>
      <c r="J144">
        <v>5764</v>
      </c>
      <c r="K144">
        <v>18739</v>
      </c>
      <c r="N144">
        <v>26.086956521739129</v>
      </c>
      <c r="O144">
        <v>90.738100000000003</v>
      </c>
      <c r="P144">
        <v>93.694999999999993</v>
      </c>
      <c r="Q144">
        <v>89.9</v>
      </c>
      <c r="R144">
        <v>99</v>
      </c>
      <c r="S144">
        <v>89.9</v>
      </c>
      <c r="T144">
        <v>11.3</v>
      </c>
      <c r="U144">
        <v>6</v>
      </c>
      <c r="W144" t="s">
        <v>497</v>
      </c>
    </row>
    <row r="145" spans="1:23" x14ac:dyDescent="0.25">
      <c r="A145" t="s">
        <v>641</v>
      </c>
      <c r="B145" t="str">
        <f t="shared" si="2"/>
        <v>GA2J00000143</v>
      </c>
      <c r="C145" t="s">
        <v>227</v>
      </c>
      <c r="D145" t="s">
        <v>85</v>
      </c>
      <c r="E145" t="s">
        <v>499</v>
      </c>
      <c r="F145">
        <v>30000</v>
      </c>
      <c r="G145" s="13">
        <v>44174</v>
      </c>
      <c r="H145" s="13">
        <v>45271</v>
      </c>
      <c r="I145">
        <v>6115</v>
      </c>
      <c r="J145">
        <v>620.5</v>
      </c>
      <c r="K145">
        <v>6735.5</v>
      </c>
      <c r="N145">
        <v>11.111111111111111</v>
      </c>
      <c r="O145">
        <v>90.11</v>
      </c>
      <c r="P145">
        <v>22.451699999999999</v>
      </c>
      <c r="Q145">
        <v>90</v>
      </c>
      <c r="R145">
        <v>91</v>
      </c>
      <c r="S145">
        <v>90</v>
      </c>
      <c r="T145">
        <v>9.6199999999999992</v>
      </c>
      <c r="U145">
        <v>5.75</v>
      </c>
      <c r="W145" t="s">
        <v>497</v>
      </c>
    </row>
    <row r="146" spans="1:23" x14ac:dyDescent="0.25">
      <c r="A146" t="s">
        <v>641</v>
      </c>
      <c r="B146" t="str">
        <f t="shared" si="2"/>
        <v>GA2J00000143</v>
      </c>
      <c r="C146" t="s">
        <v>227</v>
      </c>
      <c r="D146" t="s">
        <v>85</v>
      </c>
      <c r="E146" t="s">
        <v>499</v>
      </c>
      <c r="F146">
        <v>10000</v>
      </c>
      <c r="G146" s="13">
        <v>44181</v>
      </c>
      <c r="H146" s="13">
        <v>45271</v>
      </c>
      <c r="I146">
        <v>1700</v>
      </c>
      <c r="J146">
        <v>2000</v>
      </c>
      <c r="K146">
        <v>3700</v>
      </c>
      <c r="N146">
        <v>16.666666666666664</v>
      </c>
      <c r="O146">
        <v>93.002200000000002</v>
      </c>
      <c r="P146">
        <v>37</v>
      </c>
      <c r="Q146">
        <v>91</v>
      </c>
      <c r="R146">
        <v>94</v>
      </c>
      <c r="S146">
        <v>91</v>
      </c>
      <c r="T146">
        <v>8.44</v>
      </c>
      <c r="U146">
        <v>5.75</v>
      </c>
      <c r="W146" t="s">
        <v>497</v>
      </c>
    </row>
    <row r="147" spans="1:23" x14ac:dyDescent="0.25">
      <c r="A147" t="s">
        <v>642</v>
      </c>
      <c r="B147" t="str">
        <f t="shared" si="2"/>
        <v>GA2C00000017</v>
      </c>
      <c r="C147" t="s">
        <v>227</v>
      </c>
      <c r="D147" t="s">
        <v>85</v>
      </c>
      <c r="E147" t="s">
        <v>549</v>
      </c>
      <c r="F147">
        <v>0</v>
      </c>
      <c r="G147" s="13">
        <v>44181</v>
      </c>
      <c r="H147" s="13">
        <v>46739</v>
      </c>
      <c r="I147">
        <v>0</v>
      </c>
      <c r="J147">
        <v>0</v>
      </c>
      <c r="K147">
        <v>0</v>
      </c>
      <c r="N147">
        <v>16.666666666666664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643</v>
      </c>
      <c r="U147">
        <v>0</v>
      </c>
      <c r="W147" t="s">
        <v>497</v>
      </c>
    </row>
    <row r="148" spans="1:23" x14ac:dyDescent="0.25">
      <c r="A148" t="s">
        <v>644</v>
      </c>
      <c r="B148" t="str">
        <f t="shared" si="2"/>
        <v>CG2J00000081</v>
      </c>
      <c r="C148" t="s">
        <v>229</v>
      </c>
      <c r="D148" t="s">
        <v>85</v>
      </c>
      <c r="E148" t="s">
        <v>499</v>
      </c>
      <c r="F148">
        <v>35000</v>
      </c>
      <c r="G148" s="13">
        <v>44188</v>
      </c>
      <c r="H148" s="13">
        <v>45285</v>
      </c>
      <c r="I148">
        <v>8000</v>
      </c>
      <c r="J148">
        <v>7280</v>
      </c>
      <c r="K148">
        <v>15280</v>
      </c>
      <c r="N148">
        <v>21.739130434782609</v>
      </c>
      <c r="O148">
        <v>91.168300000000002</v>
      </c>
      <c r="P148">
        <v>43.6571</v>
      </c>
      <c r="Q148">
        <v>90</v>
      </c>
      <c r="R148">
        <v>92</v>
      </c>
      <c r="S148">
        <v>90</v>
      </c>
      <c r="T148">
        <v>9.4499999999999993</v>
      </c>
      <c r="U148">
        <v>6</v>
      </c>
      <c r="W148" t="s">
        <v>497</v>
      </c>
    </row>
    <row r="149" spans="1:23" x14ac:dyDescent="0.25">
      <c r="A149" t="s">
        <v>645</v>
      </c>
      <c r="B149" t="str">
        <f t="shared" si="2"/>
        <v>GA2J00000143</v>
      </c>
      <c r="C149" t="s">
        <v>227</v>
      </c>
      <c r="D149" t="s">
        <v>85</v>
      </c>
      <c r="E149" t="s">
        <v>499</v>
      </c>
      <c r="F149">
        <v>15000</v>
      </c>
      <c r="G149" s="13">
        <v>44188</v>
      </c>
      <c r="H149" s="13">
        <v>45271</v>
      </c>
      <c r="I149">
        <v>12000</v>
      </c>
      <c r="J149">
        <v>3000</v>
      </c>
      <c r="K149">
        <v>15000</v>
      </c>
      <c r="N149">
        <v>22.222222222222221</v>
      </c>
      <c r="O149">
        <v>91.254499999999993</v>
      </c>
      <c r="P149">
        <v>100</v>
      </c>
      <c r="Q149">
        <v>90</v>
      </c>
      <c r="R149">
        <v>94</v>
      </c>
      <c r="S149">
        <v>90</v>
      </c>
      <c r="T149">
        <v>9.15</v>
      </c>
      <c r="U149">
        <v>5.75</v>
      </c>
      <c r="W149" t="s">
        <v>497</v>
      </c>
    </row>
    <row r="150" spans="1:23" x14ac:dyDescent="0.25">
      <c r="A150" t="s">
        <v>646</v>
      </c>
      <c r="B150" t="str">
        <f t="shared" si="2"/>
        <v>GA2C00000017</v>
      </c>
      <c r="C150" t="s">
        <v>227</v>
      </c>
      <c r="D150" t="s">
        <v>85</v>
      </c>
      <c r="E150" t="s">
        <v>549</v>
      </c>
      <c r="F150">
        <v>40000</v>
      </c>
      <c r="G150" s="13">
        <v>44188</v>
      </c>
      <c r="H150" s="13">
        <v>46739</v>
      </c>
      <c r="I150">
        <v>24786</v>
      </c>
      <c r="J150">
        <v>15214</v>
      </c>
      <c r="K150">
        <v>40000</v>
      </c>
      <c r="N150">
        <v>38.888888888888893</v>
      </c>
      <c r="O150">
        <v>86.179400000000001</v>
      </c>
      <c r="P150">
        <v>100</v>
      </c>
      <c r="Q150">
        <v>85</v>
      </c>
      <c r="R150">
        <v>97</v>
      </c>
      <c r="S150">
        <v>85</v>
      </c>
      <c r="T150">
        <v>10.32</v>
      </c>
      <c r="U150">
        <v>7.5</v>
      </c>
      <c r="W150" t="s">
        <v>497</v>
      </c>
    </row>
    <row r="151" spans="1:23" x14ac:dyDescent="0.25">
      <c r="A151" t="s">
        <v>647</v>
      </c>
      <c r="B151" t="str">
        <f t="shared" si="2"/>
        <v>GA2B00000067</v>
      </c>
      <c r="C151" t="s">
        <v>227</v>
      </c>
      <c r="D151" t="s">
        <v>85</v>
      </c>
      <c r="E151" t="s">
        <v>507</v>
      </c>
      <c r="F151">
        <v>15000</v>
      </c>
      <c r="G151" s="13">
        <v>44188</v>
      </c>
      <c r="H151" s="13">
        <v>46016</v>
      </c>
      <c r="I151">
        <v>750</v>
      </c>
      <c r="J151">
        <v>3000</v>
      </c>
      <c r="K151">
        <v>3750</v>
      </c>
      <c r="N151">
        <v>11.111111111111111</v>
      </c>
      <c r="O151">
        <v>88.8</v>
      </c>
      <c r="P151">
        <v>25</v>
      </c>
      <c r="Q151">
        <v>88.5</v>
      </c>
      <c r="R151">
        <v>90</v>
      </c>
      <c r="S151">
        <v>88.5</v>
      </c>
      <c r="T151">
        <v>9.36</v>
      </c>
      <c r="U151">
        <v>6.5</v>
      </c>
      <c r="W151" t="s">
        <v>497</v>
      </c>
    </row>
    <row r="152" spans="1:23" x14ac:dyDescent="0.25">
      <c r="A152" t="s">
        <v>648</v>
      </c>
      <c r="B152" t="str">
        <f t="shared" si="2"/>
        <v>CG2A00000189</v>
      </c>
      <c r="C152" t="s">
        <v>229</v>
      </c>
      <c r="D152" t="s">
        <v>85</v>
      </c>
      <c r="E152" t="s">
        <v>496</v>
      </c>
      <c r="F152">
        <v>30000</v>
      </c>
      <c r="G152" s="13">
        <v>44209</v>
      </c>
      <c r="H152" s="13">
        <v>44941</v>
      </c>
      <c r="I152">
        <v>10000</v>
      </c>
      <c r="J152">
        <v>100</v>
      </c>
      <c r="K152">
        <v>10100</v>
      </c>
      <c r="N152">
        <v>13.043478260869565</v>
      </c>
      <c r="O152">
        <v>91.782200000000003</v>
      </c>
      <c r="P152">
        <v>34.648699999999998</v>
      </c>
      <c r="Q152">
        <v>91</v>
      </c>
      <c r="R152">
        <v>95</v>
      </c>
      <c r="S152">
        <v>91</v>
      </c>
      <c r="T152">
        <v>10.41</v>
      </c>
      <c r="U152">
        <v>5.75</v>
      </c>
      <c r="W152" t="s">
        <v>497</v>
      </c>
    </row>
    <row r="153" spans="1:23" x14ac:dyDescent="0.25">
      <c r="A153" t="s">
        <v>649</v>
      </c>
      <c r="B153" t="str">
        <f t="shared" si="2"/>
        <v>GA2A00000126</v>
      </c>
      <c r="C153" t="s">
        <v>227</v>
      </c>
      <c r="D153" t="s">
        <v>85</v>
      </c>
      <c r="E153" t="s">
        <v>496</v>
      </c>
      <c r="F153">
        <v>15000</v>
      </c>
      <c r="G153" s="13">
        <v>44216</v>
      </c>
      <c r="H153" s="13">
        <v>44948</v>
      </c>
      <c r="I153">
        <v>11000</v>
      </c>
      <c r="J153">
        <v>4000</v>
      </c>
      <c r="K153">
        <v>15000</v>
      </c>
      <c r="N153">
        <v>27.777777777777779</v>
      </c>
      <c r="O153">
        <v>90.513300000000001</v>
      </c>
      <c r="P153">
        <v>100</v>
      </c>
      <c r="Q153">
        <v>90</v>
      </c>
      <c r="R153">
        <v>95</v>
      </c>
      <c r="S153">
        <v>90</v>
      </c>
      <c r="T153">
        <v>9.84</v>
      </c>
      <c r="U153">
        <v>4.5</v>
      </c>
      <c r="W153" t="s">
        <v>497</v>
      </c>
    </row>
    <row r="154" spans="1:23" x14ac:dyDescent="0.25">
      <c r="A154" t="s">
        <v>650</v>
      </c>
      <c r="B154" t="str">
        <f t="shared" si="2"/>
        <v>GA2J00000150</v>
      </c>
      <c r="C154" t="s">
        <v>227</v>
      </c>
      <c r="D154" t="s">
        <v>85</v>
      </c>
      <c r="E154" t="s">
        <v>499</v>
      </c>
      <c r="F154">
        <v>25000</v>
      </c>
      <c r="G154" s="13">
        <v>44216</v>
      </c>
      <c r="H154" s="13">
        <v>45313</v>
      </c>
      <c r="I154">
        <v>100</v>
      </c>
      <c r="J154">
        <v>6960</v>
      </c>
      <c r="K154">
        <v>7060</v>
      </c>
      <c r="N154">
        <v>27.777777777777779</v>
      </c>
      <c r="O154">
        <v>90.382400000000004</v>
      </c>
      <c r="P154">
        <v>28.24</v>
      </c>
      <c r="Q154">
        <v>90</v>
      </c>
      <c r="R154">
        <v>98</v>
      </c>
      <c r="S154">
        <v>90</v>
      </c>
      <c r="T154">
        <v>9.24</v>
      </c>
      <c r="U154">
        <v>5.5</v>
      </c>
      <c r="W154" t="s">
        <v>497</v>
      </c>
    </row>
    <row r="155" spans="1:23" x14ac:dyDescent="0.25">
      <c r="A155" t="s">
        <v>651</v>
      </c>
      <c r="B155" t="str">
        <f t="shared" si="2"/>
        <v>CG2A00000197</v>
      </c>
      <c r="C155" t="s">
        <v>229</v>
      </c>
      <c r="D155" t="s">
        <v>85</v>
      </c>
      <c r="E155" t="s">
        <v>496</v>
      </c>
      <c r="F155">
        <v>40000</v>
      </c>
      <c r="G155" s="13">
        <v>44223</v>
      </c>
      <c r="H155" s="13">
        <v>44955</v>
      </c>
      <c r="I155">
        <v>25000</v>
      </c>
      <c r="J155">
        <v>5005</v>
      </c>
      <c r="K155">
        <v>30005</v>
      </c>
      <c r="N155">
        <v>17.391304347826086</v>
      </c>
      <c r="O155">
        <v>93.749899999999997</v>
      </c>
      <c r="P155">
        <v>109.1425</v>
      </c>
      <c r="Q155">
        <v>92.5</v>
      </c>
      <c r="R155">
        <v>94</v>
      </c>
      <c r="S155">
        <v>92.5</v>
      </c>
      <c r="T155">
        <v>9.51</v>
      </c>
      <c r="U155">
        <v>6</v>
      </c>
      <c r="W155" t="s">
        <v>497</v>
      </c>
    </row>
    <row r="156" spans="1:23" x14ac:dyDescent="0.25">
      <c r="A156" t="s">
        <v>652</v>
      </c>
      <c r="B156" t="str">
        <f t="shared" si="2"/>
        <v>CG2J00000099</v>
      </c>
      <c r="C156" t="s">
        <v>229</v>
      </c>
      <c r="D156" t="s">
        <v>85</v>
      </c>
      <c r="E156" t="s">
        <v>499</v>
      </c>
      <c r="F156">
        <v>40000</v>
      </c>
      <c r="G156" s="13">
        <v>44223</v>
      </c>
      <c r="H156" s="13">
        <v>45320</v>
      </c>
      <c r="I156">
        <v>15000</v>
      </c>
      <c r="J156">
        <v>0</v>
      </c>
      <c r="K156">
        <v>15000</v>
      </c>
      <c r="N156">
        <v>13.043478260869565</v>
      </c>
      <c r="O156">
        <v>94</v>
      </c>
      <c r="P156">
        <v>37.744999999999997</v>
      </c>
      <c r="Q156">
        <v>94</v>
      </c>
      <c r="R156">
        <v>94</v>
      </c>
      <c r="S156">
        <v>94</v>
      </c>
      <c r="T156">
        <v>8.4</v>
      </c>
      <c r="U156">
        <v>6.1</v>
      </c>
      <c r="W156" t="s">
        <v>497</v>
      </c>
    </row>
    <row r="157" spans="1:23" x14ac:dyDescent="0.25">
      <c r="A157" t="s">
        <v>653</v>
      </c>
      <c r="B157" t="str">
        <f t="shared" si="2"/>
        <v>CG2K00000013</v>
      </c>
      <c r="C157" t="s">
        <v>229</v>
      </c>
      <c r="D157" t="s">
        <v>85</v>
      </c>
      <c r="E157" t="s">
        <v>516</v>
      </c>
      <c r="F157">
        <v>25000</v>
      </c>
      <c r="G157" s="13">
        <v>44223</v>
      </c>
      <c r="H157" s="13">
        <v>45686</v>
      </c>
      <c r="I157">
        <v>5000</v>
      </c>
      <c r="J157">
        <v>0</v>
      </c>
      <c r="K157">
        <v>5000</v>
      </c>
      <c r="N157">
        <v>13.043478260869565</v>
      </c>
      <c r="O157">
        <v>94</v>
      </c>
      <c r="P157">
        <v>20.231999999999999</v>
      </c>
      <c r="Q157">
        <v>94</v>
      </c>
      <c r="R157">
        <v>94</v>
      </c>
      <c r="S157">
        <v>94</v>
      </c>
      <c r="T157">
        <v>7.98</v>
      </c>
      <c r="U157">
        <v>6.2</v>
      </c>
      <c r="W157" t="s">
        <v>497</v>
      </c>
    </row>
    <row r="158" spans="1:23" x14ac:dyDescent="0.25">
      <c r="A158" t="s">
        <v>651</v>
      </c>
      <c r="B158" t="str">
        <f t="shared" si="2"/>
        <v>CG2A00000197</v>
      </c>
      <c r="C158" t="s">
        <v>229</v>
      </c>
      <c r="D158" t="s">
        <v>85</v>
      </c>
      <c r="E158" t="s">
        <v>496</v>
      </c>
      <c r="F158">
        <v>15000</v>
      </c>
      <c r="G158" s="13">
        <v>44230</v>
      </c>
      <c r="H158" s="13">
        <v>44955</v>
      </c>
      <c r="I158">
        <v>14963.35</v>
      </c>
      <c r="J158">
        <v>36.649999999999636</v>
      </c>
      <c r="K158">
        <v>15000</v>
      </c>
      <c r="N158">
        <v>21.739130434782609</v>
      </c>
      <c r="O158">
        <v>92.981700000000004</v>
      </c>
      <c r="P158">
        <v>171.066</v>
      </c>
      <c r="Q158">
        <v>92</v>
      </c>
      <c r="R158">
        <v>94</v>
      </c>
      <c r="S158">
        <v>92</v>
      </c>
      <c r="T158">
        <v>9.9600000000000009</v>
      </c>
      <c r="U158">
        <v>6</v>
      </c>
      <c r="W158" t="s">
        <v>497</v>
      </c>
    </row>
    <row r="159" spans="1:23" x14ac:dyDescent="0.25">
      <c r="A159" t="s">
        <v>654</v>
      </c>
      <c r="B159" t="str">
        <f t="shared" si="2"/>
        <v>CG2J00000099</v>
      </c>
      <c r="C159" t="s">
        <v>229</v>
      </c>
      <c r="D159" t="s">
        <v>85</v>
      </c>
      <c r="E159" t="s">
        <v>499</v>
      </c>
      <c r="F159">
        <v>25000</v>
      </c>
      <c r="G159" s="13">
        <v>44230</v>
      </c>
      <c r="H159" s="13">
        <v>45320</v>
      </c>
      <c r="I159">
        <v>17900</v>
      </c>
      <c r="J159">
        <v>0</v>
      </c>
      <c r="K159">
        <v>17900</v>
      </c>
      <c r="N159">
        <v>8.695652173913043</v>
      </c>
      <c r="O159">
        <v>94.0946</v>
      </c>
      <c r="P159">
        <v>71.599999999999994</v>
      </c>
      <c r="Q159">
        <v>93</v>
      </c>
      <c r="R159">
        <v>94</v>
      </c>
      <c r="S159">
        <v>93</v>
      </c>
      <c r="T159">
        <v>8.3699999999999992</v>
      </c>
      <c r="U159">
        <v>6.1</v>
      </c>
      <c r="W159" t="s">
        <v>497</v>
      </c>
    </row>
    <row r="160" spans="1:23" x14ac:dyDescent="0.25">
      <c r="A160" t="s">
        <v>655</v>
      </c>
      <c r="B160" t="str">
        <f t="shared" si="2"/>
        <v>CG2K00000013</v>
      </c>
      <c r="C160" t="s">
        <v>229</v>
      </c>
      <c r="D160" t="s">
        <v>85</v>
      </c>
      <c r="E160" t="s">
        <v>516</v>
      </c>
      <c r="F160">
        <v>20000</v>
      </c>
      <c r="G160" s="13">
        <v>44230</v>
      </c>
      <c r="H160" s="13">
        <v>45686</v>
      </c>
      <c r="I160">
        <v>15000</v>
      </c>
      <c r="J160">
        <v>0</v>
      </c>
      <c r="K160">
        <v>15000</v>
      </c>
      <c r="N160">
        <v>4.3478260869565215</v>
      </c>
      <c r="O160">
        <v>94.118899999999996</v>
      </c>
      <c r="P160">
        <v>75</v>
      </c>
      <c r="Q160">
        <v>94</v>
      </c>
      <c r="R160">
        <v>94</v>
      </c>
      <c r="S160">
        <v>94</v>
      </c>
      <c r="T160">
        <v>7.95</v>
      </c>
      <c r="U160">
        <v>6.2</v>
      </c>
      <c r="W160" t="s">
        <v>497</v>
      </c>
    </row>
    <row r="161" spans="1:23" x14ac:dyDescent="0.25">
      <c r="A161" t="s">
        <v>656</v>
      </c>
      <c r="B161" t="str">
        <f t="shared" si="2"/>
        <v>GA2A00000126</v>
      </c>
      <c r="C161" t="s">
        <v>227</v>
      </c>
      <c r="D161" t="s">
        <v>85</v>
      </c>
      <c r="E161" t="s">
        <v>496</v>
      </c>
      <c r="F161">
        <v>10000</v>
      </c>
      <c r="G161" s="13">
        <v>44230</v>
      </c>
      <c r="H161" s="13">
        <v>44948</v>
      </c>
      <c r="I161">
        <v>1000</v>
      </c>
      <c r="J161">
        <v>1551</v>
      </c>
      <c r="K161">
        <v>2551</v>
      </c>
      <c r="N161">
        <v>11.111111111111111</v>
      </c>
      <c r="O161">
        <v>91.746499999999997</v>
      </c>
      <c r="P161">
        <v>25.51</v>
      </c>
      <c r="Q161">
        <v>94</v>
      </c>
      <c r="R161">
        <v>90</v>
      </c>
      <c r="S161">
        <v>90</v>
      </c>
      <c r="T161">
        <v>9.11</v>
      </c>
      <c r="U161">
        <v>4.5</v>
      </c>
      <c r="W161" t="s">
        <v>497</v>
      </c>
    </row>
    <row r="162" spans="1:23" x14ac:dyDescent="0.25">
      <c r="A162" t="s">
        <v>657</v>
      </c>
      <c r="B162" t="str">
        <f t="shared" si="2"/>
        <v>GA2J00000150</v>
      </c>
      <c r="C162" t="s">
        <v>227</v>
      </c>
      <c r="D162" t="s">
        <v>85</v>
      </c>
      <c r="E162" t="s">
        <v>499</v>
      </c>
      <c r="F162">
        <v>10000</v>
      </c>
      <c r="G162" s="13">
        <v>44230</v>
      </c>
      <c r="H162" s="13">
        <v>45313</v>
      </c>
      <c r="I162">
        <v>500</v>
      </c>
      <c r="J162">
        <v>9500</v>
      </c>
      <c r="K162">
        <v>10000</v>
      </c>
      <c r="N162">
        <v>16.666666666666664</v>
      </c>
      <c r="O162">
        <v>89.687700000000007</v>
      </c>
      <c r="P162">
        <v>100</v>
      </c>
      <c r="Q162">
        <v>89</v>
      </c>
      <c r="R162">
        <v>95</v>
      </c>
      <c r="S162">
        <v>89</v>
      </c>
      <c r="T162">
        <v>9.5299999999999994</v>
      </c>
      <c r="U162">
        <v>5.5</v>
      </c>
      <c r="W162" t="s">
        <v>497</v>
      </c>
    </row>
    <row r="163" spans="1:23" x14ac:dyDescent="0.25">
      <c r="A163" t="s">
        <v>658</v>
      </c>
      <c r="B163" t="str">
        <f t="shared" si="2"/>
        <v>GA2A00000126</v>
      </c>
      <c r="C163" t="s">
        <v>227</v>
      </c>
      <c r="D163" t="s">
        <v>85</v>
      </c>
      <c r="E163" t="s">
        <v>496</v>
      </c>
      <c r="F163">
        <v>15000</v>
      </c>
      <c r="G163" s="13">
        <v>44244</v>
      </c>
      <c r="H163" s="13">
        <v>44948</v>
      </c>
      <c r="I163">
        <v>4950</v>
      </c>
      <c r="J163">
        <v>10050</v>
      </c>
      <c r="K163">
        <v>15000</v>
      </c>
      <c r="N163">
        <v>33.333333333333329</v>
      </c>
      <c r="O163">
        <v>91.084199999999996</v>
      </c>
      <c r="P163">
        <v>100</v>
      </c>
      <c r="Q163">
        <v>89</v>
      </c>
      <c r="R163">
        <v>95</v>
      </c>
      <c r="S163">
        <v>89</v>
      </c>
      <c r="T163">
        <v>9.5</v>
      </c>
      <c r="U163">
        <v>4.5</v>
      </c>
      <c r="W163" t="s">
        <v>497</v>
      </c>
    </row>
    <row r="164" spans="1:23" x14ac:dyDescent="0.25">
      <c r="A164" t="s">
        <v>659</v>
      </c>
      <c r="B164" t="str">
        <f t="shared" si="2"/>
        <v>CM2B00000053</v>
      </c>
      <c r="C164" t="s">
        <v>225</v>
      </c>
      <c r="D164" t="s">
        <v>85</v>
      </c>
      <c r="E164" t="s">
        <v>507</v>
      </c>
      <c r="F164">
        <v>50000</v>
      </c>
      <c r="G164" s="13">
        <v>44251</v>
      </c>
      <c r="H164" s="13">
        <v>46079</v>
      </c>
      <c r="I164">
        <v>50000</v>
      </c>
      <c r="J164">
        <v>0</v>
      </c>
      <c r="K164">
        <v>50000</v>
      </c>
      <c r="N164">
        <v>28.571428571428569</v>
      </c>
      <c r="O164">
        <v>98.762900000000002</v>
      </c>
      <c r="P164">
        <v>100</v>
      </c>
      <c r="Q164">
        <v>98.01</v>
      </c>
      <c r="R164">
        <v>100</v>
      </c>
      <c r="S164">
        <v>98.01</v>
      </c>
      <c r="T164">
        <v>5.79</v>
      </c>
      <c r="U164">
        <v>5.5</v>
      </c>
      <c r="W164" t="s">
        <v>497</v>
      </c>
    </row>
    <row r="165" spans="1:23" x14ac:dyDescent="0.25">
      <c r="A165" t="s">
        <v>660</v>
      </c>
      <c r="B165" t="str">
        <f t="shared" si="2"/>
        <v>GA2B00000059</v>
      </c>
      <c r="C165" t="s">
        <v>227</v>
      </c>
      <c r="D165" t="s">
        <v>85</v>
      </c>
      <c r="E165" t="s">
        <v>507</v>
      </c>
      <c r="F165">
        <v>10000</v>
      </c>
      <c r="G165" s="13">
        <v>44251</v>
      </c>
      <c r="H165" s="13">
        <v>45988</v>
      </c>
      <c r="I165">
        <v>2500</v>
      </c>
      <c r="J165">
        <v>410</v>
      </c>
      <c r="K165">
        <v>2910</v>
      </c>
      <c r="N165">
        <v>16.666666666666664</v>
      </c>
      <c r="O165">
        <v>90.426400000000001</v>
      </c>
      <c r="P165">
        <v>29.099999999999998</v>
      </c>
      <c r="Q165">
        <v>88.75</v>
      </c>
      <c r="R165">
        <v>95</v>
      </c>
      <c r="S165">
        <v>88.75</v>
      </c>
      <c r="T165">
        <v>8.92</v>
      </c>
      <c r="U165">
        <v>6.5</v>
      </c>
      <c r="W165" t="s">
        <v>497</v>
      </c>
    </row>
    <row r="166" spans="1:23" x14ac:dyDescent="0.25">
      <c r="A166" t="s">
        <v>661</v>
      </c>
      <c r="B166" t="str">
        <f t="shared" si="2"/>
        <v>GA2J00000150</v>
      </c>
      <c r="C166" t="s">
        <v>227</v>
      </c>
      <c r="D166" t="s">
        <v>85</v>
      </c>
      <c r="E166" t="s">
        <v>499</v>
      </c>
      <c r="F166">
        <v>15000</v>
      </c>
      <c r="G166" s="13">
        <v>44251</v>
      </c>
      <c r="H166" s="13">
        <v>45313</v>
      </c>
      <c r="I166">
        <v>2900</v>
      </c>
      <c r="J166">
        <v>12100</v>
      </c>
      <c r="K166">
        <v>15000</v>
      </c>
      <c r="N166">
        <v>22.222222222222221</v>
      </c>
      <c r="O166">
        <v>89.775700000000001</v>
      </c>
      <c r="P166">
        <v>100</v>
      </c>
      <c r="Q166">
        <v>89</v>
      </c>
      <c r="R166">
        <v>99</v>
      </c>
      <c r="S166">
        <v>89</v>
      </c>
      <c r="T166">
        <v>9.5</v>
      </c>
      <c r="U166">
        <v>5.5</v>
      </c>
      <c r="W166" t="s">
        <v>497</v>
      </c>
    </row>
    <row r="167" spans="1:23" x14ac:dyDescent="0.25">
      <c r="A167" t="s">
        <v>662</v>
      </c>
      <c r="B167" t="str">
        <f t="shared" si="2"/>
        <v>CG2A00000189</v>
      </c>
      <c r="C167" t="s">
        <v>229</v>
      </c>
      <c r="D167" t="s">
        <v>85</v>
      </c>
      <c r="E167" t="s">
        <v>496</v>
      </c>
      <c r="F167">
        <v>10000</v>
      </c>
      <c r="G167" s="13">
        <v>44251</v>
      </c>
      <c r="H167" s="13">
        <v>44941</v>
      </c>
      <c r="I167">
        <v>6500</v>
      </c>
      <c r="J167">
        <v>3065</v>
      </c>
      <c r="K167">
        <v>9565</v>
      </c>
      <c r="N167">
        <v>17.391304347826086</v>
      </c>
      <c r="O167">
        <v>92.190899999999999</v>
      </c>
      <c r="P167">
        <v>95.65</v>
      </c>
      <c r="Q167">
        <v>90</v>
      </c>
      <c r="R167">
        <v>98.5</v>
      </c>
      <c r="S167">
        <v>90</v>
      </c>
      <c r="T167">
        <v>10.16</v>
      </c>
      <c r="U167">
        <v>5.75</v>
      </c>
      <c r="W167" t="s">
        <v>497</v>
      </c>
    </row>
    <row r="168" spans="1:23" x14ac:dyDescent="0.25">
      <c r="A168" t="s">
        <v>663</v>
      </c>
      <c r="B168" t="str">
        <f t="shared" si="2"/>
        <v>CG2J00000107</v>
      </c>
      <c r="C168" t="s">
        <v>229</v>
      </c>
      <c r="D168" t="s">
        <v>85</v>
      </c>
      <c r="E168" t="s">
        <v>499</v>
      </c>
      <c r="F168">
        <v>15000</v>
      </c>
      <c r="G168" s="13">
        <v>44258</v>
      </c>
      <c r="H168" s="13">
        <v>45356</v>
      </c>
      <c r="I168">
        <v>3000</v>
      </c>
      <c r="J168">
        <v>0</v>
      </c>
      <c r="K168">
        <v>3000</v>
      </c>
      <c r="N168">
        <v>8.695652173913043</v>
      </c>
      <c r="O168">
        <v>90.033299999999997</v>
      </c>
      <c r="P168">
        <v>20</v>
      </c>
      <c r="Q168">
        <v>90</v>
      </c>
      <c r="R168">
        <v>90.05</v>
      </c>
      <c r="S168">
        <v>90</v>
      </c>
      <c r="T168">
        <v>9.92</v>
      </c>
      <c r="U168">
        <v>6</v>
      </c>
      <c r="W168" t="s">
        <v>497</v>
      </c>
    </row>
    <row r="169" spans="1:23" x14ac:dyDescent="0.25">
      <c r="A169" t="s">
        <v>664</v>
      </c>
      <c r="B169" t="str">
        <f t="shared" si="2"/>
        <v>CM2C00000052</v>
      </c>
      <c r="C169" t="s">
        <v>225</v>
      </c>
      <c r="D169" t="s">
        <v>85</v>
      </c>
      <c r="E169" t="s">
        <v>549</v>
      </c>
      <c r="F169">
        <v>35000</v>
      </c>
      <c r="G169" s="13">
        <v>44265</v>
      </c>
      <c r="H169" s="13">
        <v>46824</v>
      </c>
      <c r="I169">
        <v>34700</v>
      </c>
      <c r="J169">
        <v>300</v>
      </c>
      <c r="K169">
        <v>35000</v>
      </c>
      <c r="N169">
        <v>28.571428571428569</v>
      </c>
      <c r="O169">
        <v>97.786199999999994</v>
      </c>
      <c r="P169">
        <v>100</v>
      </c>
      <c r="Q169">
        <v>97</v>
      </c>
      <c r="R169">
        <v>100</v>
      </c>
      <c r="S169">
        <v>97</v>
      </c>
      <c r="T169">
        <v>6.9</v>
      </c>
      <c r="U169">
        <v>6.5</v>
      </c>
      <c r="W169" t="s">
        <v>497</v>
      </c>
    </row>
    <row r="170" spans="1:23" x14ac:dyDescent="0.25">
      <c r="A170" t="s">
        <v>665</v>
      </c>
      <c r="B170" t="str">
        <f t="shared" si="2"/>
        <v>CG2J00000115</v>
      </c>
      <c r="C170" t="s">
        <v>229</v>
      </c>
      <c r="D170" t="s">
        <v>85</v>
      </c>
      <c r="E170" t="s">
        <v>499</v>
      </c>
      <c r="F170">
        <v>30000</v>
      </c>
      <c r="G170" s="13">
        <v>44272</v>
      </c>
      <c r="H170" s="13">
        <v>45370</v>
      </c>
      <c r="I170">
        <v>10610</v>
      </c>
      <c r="J170">
        <v>0</v>
      </c>
      <c r="K170">
        <v>10610</v>
      </c>
      <c r="N170">
        <v>13.043478260869565</v>
      </c>
      <c r="O170">
        <v>90.942499999999995</v>
      </c>
      <c r="P170">
        <v>35.366700000000002</v>
      </c>
      <c r="Q170">
        <v>90</v>
      </c>
      <c r="R170">
        <v>91</v>
      </c>
      <c r="S170">
        <v>90</v>
      </c>
      <c r="T170">
        <v>9.5399999999999991</v>
      </c>
      <c r="U170">
        <v>6</v>
      </c>
      <c r="W170" t="s">
        <v>497</v>
      </c>
    </row>
    <row r="171" spans="1:23" x14ac:dyDescent="0.25">
      <c r="A171" t="s">
        <v>666</v>
      </c>
      <c r="B171" t="str">
        <f t="shared" si="2"/>
        <v>GA2J00000168</v>
      </c>
      <c r="C171" t="s">
        <v>227</v>
      </c>
      <c r="D171" t="s">
        <v>85</v>
      </c>
      <c r="E171" t="s">
        <v>499</v>
      </c>
      <c r="F171">
        <v>25000</v>
      </c>
      <c r="G171" s="13">
        <v>44272</v>
      </c>
      <c r="H171" s="13">
        <v>45370</v>
      </c>
      <c r="I171">
        <v>0</v>
      </c>
      <c r="J171">
        <v>25000</v>
      </c>
      <c r="K171">
        <v>25000</v>
      </c>
      <c r="N171">
        <v>22.222222222222221</v>
      </c>
      <c r="O171">
        <v>89.118300000000005</v>
      </c>
      <c r="P171">
        <v>112.02079999999999</v>
      </c>
      <c r="Q171">
        <v>88.5</v>
      </c>
      <c r="R171">
        <v>93</v>
      </c>
      <c r="S171">
        <v>88.5</v>
      </c>
      <c r="T171">
        <v>9.77</v>
      </c>
      <c r="U171">
        <v>5.5</v>
      </c>
      <c r="W171" t="s">
        <v>497</v>
      </c>
    </row>
    <row r="172" spans="1:23" x14ac:dyDescent="0.25">
      <c r="A172" t="s">
        <v>667</v>
      </c>
      <c r="B172" t="str">
        <f t="shared" si="2"/>
        <v>CM2B00000061</v>
      </c>
      <c r="C172" t="s">
        <v>225</v>
      </c>
      <c r="D172" t="s">
        <v>85</v>
      </c>
      <c r="E172" t="s">
        <v>507</v>
      </c>
      <c r="F172">
        <v>50000</v>
      </c>
      <c r="G172" s="13">
        <v>44279</v>
      </c>
      <c r="H172" s="13">
        <v>46107</v>
      </c>
      <c r="I172">
        <v>41543.300000000003</v>
      </c>
      <c r="J172">
        <v>0</v>
      </c>
      <c r="K172">
        <v>41543.300000000003</v>
      </c>
      <c r="N172">
        <v>33.333333333333329</v>
      </c>
      <c r="O172">
        <v>98.638099999999994</v>
      </c>
      <c r="P172">
        <v>88.143600000000006</v>
      </c>
      <c r="Q172">
        <v>98</v>
      </c>
      <c r="R172">
        <v>100</v>
      </c>
      <c r="S172">
        <v>98.1</v>
      </c>
      <c r="T172">
        <v>5.82</v>
      </c>
      <c r="U172">
        <v>5.5</v>
      </c>
      <c r="W172" t="s">
        <v>497</v>
      </c>
    </row>
    <row r="173" spans="1:23" x14ac:dyDescent="0.25">
      <c r="A173" t="s">
        <v>668</v>
      </c>
      <c r="B173" t="str">
        <f t="shared" si="2"/>
        <v>GA2B00000067</v>
      </c>
      <c r="C173" t="s">
        <v>227</v>
      </c>
      <c r="D173" t="s">
        <v>85</v>
      </c>
      <c r="E173" t="s">
        <v>507</v>
      </c>
      <c r="F173">
        <v>15000</v>
      </c>
      <c r="G173" s="13">
        <v>44279</v>
      </c>
      <c r="H173" s="13">
        <v>46016</v>
      </c>
      <c r="I173">
        <v>3000</v>
      </c>
      <c r="J173">
        <v>12000</v>
      </c>
      <c r="K173">
        <v>15000</v>
      </c>
      <c r="N173">
        <v>22.222222222222221</v>
      </c>
      <c r="O173">
        <v>91.556899999999999</v>
      </c>
      <c r="P173">
        <v>100</v>
      </c>
      <c r="Q173">
        <v>85</v>
      </c>
      <c r="R173">
        <v>100</v>
      </c>
      <c r="S173">
        <v>85</v>
      </c>
      <c r="T173">
        <v>8.61</v>
      </c>
      <c r="U173">
        <v>6.5</v>
      </c>
      <c r="W173" t="s">
        <v>497</v>
      </c>
    </row>
    <row r="174" spans="1:23" x14ac:dyDescent="0.25">
      <c r="A174" t="s">
        <v>669</v>
      </c>
      <c r="B174" t="str">
        <f t="shared" si="2"/>
        <v>GA2A00000100</v>
      </c>
      <c r="C174" t="s">
        <v>227</v>
      </c>
      <c r="D174" t="s">
        <v>85</v>
      </c>
      <c r="E174" t="s">
        <v>496</v>
      </c>
      <c r="F174">
        <v>7500</v>
      </c>
      <c r="G174" s="13">
        <v>44286</v>
      </c>
      <c r="H174" s="13">
        <v>44731</v>
      </c>
      <c r="I174">
        <v>2500</v>
      </c>
      <c r="J174">
        <v>5000</v>
      </c>
      <c r="K174">
        <v>7500</v>
      </c>
      <c r="N174">
        <v>11.111111111111111</v>
      </c>
      <c r="O174">
        <v>93.734899999999996</v>
      </c>
      <c r="P174">
        <v>100</v>
      </c>
      <c r="Q174">
        <v>90</v>
      </c>
      <c r="R174">
        <v>90</v>
      </c>
      <c r="S174">
        <v>90</v>
      </c>
      <c r="T174">
        <v>11.56</v>
      </c>
      <c r="U174">
        <v>4.75</v>
      </c>
      <c r="W174" t="s">
        <v>497</v>
      </c>
    </row>
    <row r="175" spans="1:23" x14ac:dyDescent="0.25">
      <c r="A175" t="s">
        <v>670</v>
      </c>
      <c r="B175" t="str">
        <f t="shared" si="2"/>
        <v>GA2J00000119</v>
      </c>
      <c r="C175" t="s">
        <v>227</v>
      </c>
      <c r="D175" t="s">
        <v>85</v>
      </c>
      <c r="E175" t="s">
        <v>499</v>
      </c>
      <c r="F175">
        <v>12500</v>
      </c>
      <c r="G175" s="13">
        <v>44286</v>
      </c>
      <c r="H175" s="13">
        <v>45068</v>
      </c>
      <c r="I175">
        <v>1500</v>
      </c>
      <c r="J175">
        <v>1500</v>
      </c>
      <c r="K175">
        <v>3000</v>
      </c>
      <c r="N175">
        <v>11.111111111111111</v>
      </c>
      <c r="O175">
        <v>95.246600000000001</v>
      </c>
      <c r="P175">
        <v>24</v>
      </c>
      <c r="Q175">
        <v>90.5</v>
      </c>
      <c r="R175">
        <v>90.5</v>
      </c>
      <c r="S175">
        <v>90.5</v>
      </c>
      <c r="T175">
        <v>8.1199999999999992</v>
      </c>
      <c r="U175">
        <v>5.5</v>
      </c>
      <c r="W175" t="s">
        <v>497</v>
      </c>
    </row>
    <row r="176" spans="1:23" x14ac:dyDescent="0.25">
      <c r="A176" t="s">
        <v>671</v>
      </c>
      <c r="B176" t="str">
        <f t="shared" si="2"/>
        <v>TD2B00000080</v>
      </c>
      <c r="C176" t="s">
        <v>237</v>
      </c>
      <c r="D176" t="s">
        <v>85</v>
      </c>
      <c r="E176" t="s">
        <v>507</v>
      </c>
      <c r="F176">
        <v>50000</v>
      </c>
      <c r="G176" s="13">
        <v>44286</v>
      </c>
      <c r="H176" s="13">
        <v>46114</v>
      </c>
      <c r="I176">
        <v>49400</v>
      </c>
      <c r="J176">
        <v>600</v>
      </c>
      <c r="K176">
        <v>50000</v>
      </c>
      <c r="N176">
        <v>25</v>
      </c>
      <c r="O176">
        <v>94.089799999999997</v>
      </c>
      <c r="P176">
        <v>100</v>
      </c>
      <c r="Q176">
        <v>94</v>
      </c>
      <c r="R176">
        <v>98</v>
      </c>
      <c r="S176">
        <v>94</v>
      </c>
      <c r="T176">
        <v>6.92</v>
      </c>
      <c r="U176">
        <v>5.5</v>
      </c>
      <c r="W176" t="s">
        <v>497</v>
      </c>
    </row>
    <row r="177" spans="1:23" x14ac:dyDescent="0.25">
      <c r="A177" t="s">
        <v>672</v>
      </c>
      <c r="B177" t="str">
        <f t="shared" si="2"/>
        <v>TD2A00000438</v>
      </c>
      <c r="C177" t="s">
        <v>237</v>
      </c>
      <c r="D177" t="s">
        <v>85</v>
      </c>
      <c r="E177" t="s">
        <v>496</v>
      </c>
      <c r="F177">
        <v>12000</v>
      </c>
      <c r="G177" s="13">
        <v>44300</v>
      </c>
      <c r="H177" s="13"/>
      <c r="J177">
        <v>0</v>
      </c>
      <c r="N177">
        <v>41.666666666666671</v>
      </c>
      <c r="T177" t="s">
        <v>643</v>
      </c>
      <c r="U177" t="s">
        <v>529</v>
      </c>
      <c r="W177" t="s">
        <v>497</v>
      </c>
    </row>
    <row r="178" spans="1:23" x14ac:dyDescent="0.25">
      <c r="A178" t="s">
        <v>673</v>
      </c>
      <c r="B178" t="str">
        <f t="shared" si="2"/>
        <v>CM2B00000079</v>
      </c>
      <c r="C178" t="s">
        <v>225</v>
      </c>
      <c r="D178" t="s">
        <v>85</v>
      </c>
      <c r="E178" t="s">
        <v>507</v>
      </c>
      <c r="F178">
        <v>30000</v>
      </c>
      <c r="G178" s="13">
        <v>44314</v>
      </c>
      <c r="H178" s="13">
        <v>44316</v>
      </c>
      <c r="I178">
        <v>26000</v>
      </c>
      <c r="J178">
        <v>4000</v>
      </c>
      <c r="K178">
        <v>30000</v>
      </c>
      <c r="N178">
        <v>38.095238095238095</v>
      </c>
      <c r="O178">
        <v>99.152799999999999</v>
      </c>
      <c r="P178">
        <v>163.54</v>
      </c>
      <c r="Q178">
        <v>99.02</v>
      </c>
      <c r="R178">
        <v>100</v>
      </c>
      <c r="S178">
        <v>99.02</v>
      </c>
      <c r="T178">
        <v>5.7</v>
      </c>
      <c r="U178">
        <v>5.5</v>
      </c>
      <c r="W178" t="s">
        <v>497</v>
      </c>
    </row>
    <row r="179" spans="1:23" x14ac:dyDescent="0.25">
      <c r="A179" t="s">
        <v>674</v>
      </c>
      <c r="B179" t="str">
        <f t="shared" si="2"/>
        <v>GA2B00000067</v>
      </c>
      <c r="C179" t="s">
        <v>227</v>
      </c>
      <c r="D179" t="s">
        <v>85</v>
      </c>
      <c r="E179" t="s">
        <v>507</v>
      </c>
      <c r="F179">
        <v>15000</v>
      </c>
      <c r="G179" s="13">
        <v>44314</v>
      </c>
      <c r="H179" s="13">
        <v>44316</v>
      </c>
      <c r="I179">
        <v>2050</v>
      </c>
      <c r="J179">
        <v>12950</v>
      </c>
      <c r="K179">
        <v>15000</v>
      </c>
      <c r="N179">
        <v>33.333333333333329</v>
      </c>
      <c r="O179">
        <v>91.825699999999998</v>
      </c>
      <c r="P179">
        <v>102.91930000000001</v>
      </c>
      <c r="Q179">
        <v>89</v>
      </c>
      <c r="R179">
        <v>95</v>
      </c>
      <c r="S179">
        <v>89</v>
      </c>
      <c r="T179">
        <v>8.5399999999999991</v>
      </c>
      <c r="U179">
        <v>6.5</v>
      </c>
      <c r="W179" t="s">
        <v>497</v>
      </c>
    </row>
    <row r="180" spans="1:23" x14ac:dyDescent="0.25">
      <c r="A180" t="s">
        <v>675</v>
      </c>
      <c r="B180" t="str">
        <f t="shared" si="2"/>
        <v>GA2J00000176</v>
      </c>
      <c r="C180" t="s">
        <v>227</v>
      </c>
      <c r="D180" t="s">
        <v>85</v>
      </c>
      <c r="E180" t="s">
        <v>499</v>
      </c>
      <c r="F180">
        <v>22500</v>
      </c>
      <c r="G180" s="13">
        <v>44314</v>
      </c>
      <c r="H180" s="13">
        <v>44316</v>
      </c>
      <c r="I180">
        <v>12000</v>
      </c>
      <c r="J180">
        <v>10500</v>
      </c>
      <c r="K180">
        <v>22500</v>
      </c>
      <c r="N180">
        <v>27.777777777777779</v>
      </c>
      <c r="O180">
        <v>91.988900000000001</v>
      </c>
      <c r="P180">
        <v>194.66669999999999</v>
      </c>
      <c r="Q180">
        <v>91.5</v>
      </c>
      <c r="R180">
        <v>92</v>
      </c>
      <c r="S180">
        <v>91.5</v>
      </c>
      <c r="T180">
        <v>8.32</v>
      </c>
      <c r="U180">
        <v>5.25</v>
      </c>
      <c r="W180" t="s">
        <v>497</v>
      </c>
    </row>
    <row r="181" spans="1:23" x14ac:dyDescent="0.25">
      <c r="A181" t="s">
        <v>676</v>
      </c>
      <c r="B181" t="str">
        <f t="shared" si="2"/>
        <v>CF2J00000026</v>
      </c>
      <c r="C181" t="s">
        <v>634</v>
      </c>
      <c r="D181" t="s">
        <v>85</v>
      </c>
      <c r="E181" t="s">
        <v>499</v>
      </c>
      <c r="F181">
        <v>12000</v>
      </c>
      <c r="G181" s="13">
        <v>44321</v>
      </c>
      <c r="H181" s="13">
        <v>44323</v>
      </c>
      <c r="I181">
        <v>12000</v>
      </c>
      <c r="J181">
        <v>0</v>
      </c>
      <c r="K181">
        <v>12000</v>
      </c>
      <c r="N181">
        <v>33.333333333333329</v>
      </c>
      <c r="O181">
        <v>92.208299999999994</v>
      </c>
      <c r="P181">
        <v>100</v>
      </c>
      <c r="Q181">
        <v>88</v>
      </c>
      <c r="R181">
        <v>100</v>
      </c>
      <c r="S181">
        <v>88</v>
      </c>
      <c r="T181">
        <v>9.5500000000000007</v>
      </c>
      <c r="U181">
        <v>6.5</v>
      </c>
      <c r="W181" t="s">
        <v>497</v>
      </c>
    </row>
    <row r="182" spans="1:23" x14ac:dyDescent="0.25">
      <c r="A182" t="s">
        <v>677</v>
      </c>
      <c r="B182" t="str">
        <f t="shared" si="2"/>
        <v>CG2J00000123</v>
      </c>
      <c r="C182" t="s">
        <v>229</v>
      </c>
      <c r="D182" t="s">
        <v>85</v>
      </c>
      <c r="E182" t="s">
        <v>499</v>
      </c>
      <c r="F182">
        <v>50000</v>
      </c>
      <c r="G182" s="13">
        <v>44321</v>
      </c>
      <c r="H182" s="13">
        <v>44323</v>
      </c>
      <c r="I182">
        <v>34634</v>
      </c>
      <c r="J182">
        <v>15356</v>
      </c>
      <c r="K182">
        <v>49990</v>
      </c>
      <c r="N182">
        <v>17.391304347826086</v>
      </c>
      <c r="O182">
        <v>95.9452</v>
      </c>
      <c r="P182">
        <v>100</v>
      </c>
      <c r="Q182">
        <v>94</v>
      </c>
      <c r="R182">
        <v>97</v>
      </c>
      <c r="S182">
        <v>94</v>
      </c>
      <c r="T182">
        <v>7.54</v>
      </c>
      <c r="U182">
        <v>6</v>
      </c>
      <c r="W182" t="s">
        <v>497</v>
      </c>
    </row>
    <row r="183" spans="1:23" x14ac:dyDescent="0.25">
      <c r="A183" t="s">
        <v>678</v>
      </c>
      <c r="B183" t="str">
        <f t="shared" si="2"/>
        <v>CG2B00000022</v>
      </c>
      <c r="C183" t="s">
        <v>229</v>
      </c>
      <c r="D183" t="s">
        <v>85</v>
      </c>
      <c r="E183" t="s">
        <v>507</v>
      </c>
      <c r="F183">
        <v>20000</v>
      </c>
      <c r="G183" s="13">
        <v>44321</v>
      </c>
      <c r="H183" s="13">
        <v>44323</v>
      </c>
      <c r="I183">
        <v>20000</v>
      </c>
      <c r="J183">
        <v>0</v>
      </c>
      <c r="K183">
        <v>20000</v>
      </c>
      <c r="N183">
        <v>13.043478260869565</v>
      </c>
      <c r="O183">
        <v>96.007000000000005</v>
      </c>
      <c r="P183">
        <v>100</v>
      </c>
      <c r="Q183">
        <v>96</v>
      </c>
      <c r="R183">
        <v>100</v>
      </c>
      <c r="S183">
        <v>96</v>
      </c>
      <c r="T183">
        <v>7.47</v>
      </c>
      <c r="U183">
        <v>6.5</v>
      </c>
      <c r="W183" t="s">
        <v>497</v>
      </c>
    </row>
    <row r="184" spans="1:23" x14ac:dyDescent="0.25">
      <c r="A184" t="s">
        <v>679</v>
      </c>
      <c r="B184" t="str">
        <f t="shared" si="2"/>
        <v>CG2K00000021</v>
      </c>
      <c r="C184" t="s">
        <v>229</v>
      </c>
      <c r="D184" t="s">
        <v>85</v>
      </c>
      <c r="E184" t="s">
        <v>516</v>
      </c>
      <c r="F184">
        <v>50000</v>
      </c>
      <c r="G184" s="13">
        <v>44321</v>
      </c>
      <c r="H184" s="13">
        <v>44323</v>
      </c>
      <c r="I184">
        <v>50000</v>
      </c>
      <c r="J184">
        <v>0</v>
      </c>
      <c r="K184">
        <v>50000</v>
      </c>
      <c r="N184">
        <v>13.043478260869565</v>
      </c>
      <c r="O184">
        <v>96.000699999999995</v>
      </c>
      <c r="P184">
        <v>100</v>
      </c>
      <c r="Q184">
        <v>96</v>
      </c>
      <c r="R184">
        <v>97</v>
      </c>
      <c r="S184">
        <v>96</v>
      </c>
      <c r="T184">
        <v>7.42</v>
      </c>
      <c r="U184">
        <v>6.25</v>
      </c>
      <c r="W184" t="s">
        <v>497</v>
      </c>
    </row>
    <row r="185" spans="1:23" x14ac:dyDescent="0.25">
      <c r="A185" t="s">
        <v>680</v>
      </c>
      <c r="B185" t="str">
        <f t="shared" si="2"/>
        <v>CG2A00000098</v>
      </c>
      <c r="C185" t="s">
        <v>229</v>
      </c>
      <c r="D185" t="s">
        <v>85</v>
      </c>
      <c r="E185" t="s">
        <v>496</v>
      </c>
      <c r="F185">
        <v>10000</v>
      </c>
      <c r="G185" s="13">
        <v>44321</v>
      </c>
      <c r="H185" s="13">
        <v>44323</v>
      </c>
      <c r="I185">
        <v>10000</v>
      </c>
      <c r="J185">
        <v>0</v>
      </c>
      <c r="K185">
        <v>10000</v>
      </c>
      <c r="N185">
        <v>0</v>
      </c>
      <c r="O185">
        <v>100.4438</v>
      </c>
      <c r="P185">
        <v>120</v>
      </c>
      <c r="Q185">
        <v>100</v>
      </c>
      <c r="R185">
        <v>100</v>
      </c>
      <c r="S185">
        <v>100</v>
      </c>
      <c r="T185">
        <v>5.54</v>
      </c>
      <c r="U185">
        <v>6</v>
      </c>
      <c r="W185" t="s">
        <v>681</v>
      </c>
    </row>
    <row r="186" spans="1:23" x14ac:dyDescent="0.25">
      <c r="A186" t="s">
        <v>682</v>
      </c>
      <c r="B186" t="str">
        <f t="shared" si="2"/>
        <v>CG2A00000049</v>
      </c>
      <c r="C186" t="s">
        <v>229</v>
      </c>
      <c r="D186" t="s">
        <v>85</v>
      </c>
      <c r="E186" t="s">
        <v>496</v>
      </c>
      <c r="F186">
        <v>10000</v>
      </c>
      <c r="G186" s="13">
        <v>44321</v>
      </c>
      <c r="H186" s="13">
        <v>44323</v>
      </c>
      <c r="I186">
        <v>800</v>
      </c>
      <c r="J186">
        <v>5000</v>
      </c>
      <c r="K186">
        <v>5800</v>
      </c>
      <c r="N186">
        <v>0</v>
      </c>
      <c r="O186">
        <v>102.8425</v>
      </c>
      <c r="P186">
        <v>58</v>
      </c>
      <c r="Q186">
        <v>100</v>
      </c>
      <c r="R186">
        <v>100</v>
      </c>
      <c r="S186">
        <v>100</v>
      </c>
      <c r="T186">
        <v>3.34</v>
      </c>
      <c r="U186">
        <v>6.25</v>
      </c>
      <c r="W186" t="s">
        <v>681</v>
      </c>
    </row>
    <row r="187" spans="1:23" x14ac:dyDescent="0.25">
      <c r="A187" t="s">
        <v>683</v>
      </c>
      <c r="B187" t="str">
        <f t="shared" si="2"/>
        <v>CG2A00000171</v>
      </c>
      <c r="C187" t="s">
        <v>229</v>
      </c>
      <c r="D187" t="s">
        <v>85</v>
      </c>
      <c r="E187" t="s">
        <v>496</v>
      </c>
      <c r="F187">
        <v>10000</v>
      </c>
      <c r="G187" s="13">
        <v>44321</v>
      </c>
      <c r="H187" s="13">
        <v>44323</v>
      </c>
      <c r="I187">
        <v>10000</v>
      </c>
      <c r="J187">
        <v>0</v>
      </c>
      <c r="K187">
        <v>10000</v>
      </c>
      <c r="N187">
        <v>0</v>
      </c>
      <c r="O187">
        <v>102.4164</v>
      </c>
      <c r="P187">
        <v>100</v>
      </c>
      <c r="Q187">
        <v>100</v>
      </c>
      <c r="R187">
        <v>100</v>
      </c>
      <c r="S187">
        <v>100</v>
      </c>
      <c r="T187">
        <v>4.72</v>
      </c>
      <c r="U187">
        <v>6</v>
      </c>
      <c r="W187" t="s">
        <v>681</v>
      </c>
    </row>
    <row r="188" spans="1:23" x14ac:dyDescent="0.25">
      <c r="A188" t="s">
        <v>684</v>
      </c>
      <c r="B188" t="str">
        <f t="shared" si="2"/>
        <v>CG2A00000148</v>
      </c>
      <c r="C188" t="s">
        <v>229</v>
      </c>
      <c r="D188" t="s">
        <v>85</v>
      </c>
      <c r="E188" t="s">
        <v>496</v>
      </c>
      <c r="F188">
        <v>10000</v>
      </c>
      <c r="G188" s="13">
        <v>44321</v>
      </c>
      <c r="H188" s="13">
        <v>44323</v>
      </c>
      <c r="I188">
        <v>9986.67</v>
      </c>
      <c r="J188">
        <v>0</v>
      </c>
      <c r="K188">
        <v>9986.67</v>
      </c>
      <c r="N188">
        <v>0</v>
      </c>
      <c r="O188">
        <v>103.10680000000001</v>
      </c>
      <c r="P188">
        <v>100</v>
      </c>
      <c r="Q188">
        <v>100</v>
      </c>
      <c r="R188">
        <v>100</v>
      </c>
      <c r="S188">
        <v>100</v>
      </c>
      <c r="T188">
        <v>2.83</v>
      </c>
      <c r="U188">
        <v>6</v>
      </c>
      <c r="W188" t="s">
        <v>681</v>
      </c>
    </row>
    <row r="189" spans="1:23" x14ac:dyDescent="0.25">
      <c r="A189" t="s">
        <v>685</v>
      </c>
      <c r="B189" t="str">
        <f t="shared" si="2"/>
        <v>CG2A00000114</v>
      </c>
      <c r="C189" t="s">
        <v>229</v>
      </c>
      <c r="D189" t="s">
        <v>85</v>
      </c>
      <c r="E189" t="s">
        <v>496</v>
      </c>
      <c r="F189">
        <v>8500</v>
      </c>
      <c r="G189" s="13">
        <v>44321</v>
      </c>
      <c r="H189" s="13">
        <v>44323</v>
      </c>
      <c r="I189">
        <v>8500</v>
      </c>
      <c r="J189">
        <v>0</v>
      </c>
      <c r="K189">
        <v>8500</v>
      </c>
      <c r="N189">
        <v>0</v>
      </c>
      <c r="O189">
        <v>105.1781</v>
      </c>
      <c r="P189">
        <v>261.63819999999998</v>
      </c>
      <c r="Q189">
        <v>100</v>
      </c>
      <c r="R189">
        <v>100</v>
      </c>
      <c r="S189">
        <v>100</v>
      </c>
      <c r="T189">
        <v>0.79</v>
      </c>
      <c r="U189">
        <v>6</v>
      </c>
      <c r="W189" t="s">
        <v>681</v>
      </c>
    </row>
    <row r="190" spans="1:23" x14ac:dyDescent="0.25">
      <c r="A190" t="s">
        <v>562</v>
      </c>
      <c r="B190" t="str">
        <f t="shared" si="2"/>
        <v>CG2A00000023</v>
      </c>
      <c r="C190" t="s">
        <v>229</v>
      </c>
      <c r="D190" t="s">
        <v>85</v>
      </c>
      <c r="E190" t="s">
        <v>496</v>
      </c>
      <c r="F190">
        <v>10000</v>
      </c>
      <c r="G190" s="13">
        <v>44321</v>
      </c>
      <c r="H190" s="13">
        <v>44323</v>
      </c>
      <c r="J190">
        <v>0</v>
      </c>
      <c r="N190">
        <v>0</v>
      </c>
      <c r="T190" t="s">
        <v>643</v>
      </c>
      <c r="W190" t="s">
        <v>681</v>
      </c>
    </row>
    <row r="191" spans="1:23" x14ac:dyDescent="0.25">
      <c r="A191" t="s">
        <v>686</v>
      </c>
      <c r="B191" t="str">
        <f t="shared" si="2"/>
        <v>CG2J00000131</v>
      </c>
      <c r="C191" t="s">
        <v>229</v>
      </c>
      <c r="D191" t="s">
        <v>85</v>
      </c>
      <c r="E191" t="s">
        <v>499</v>
      </c>
      <c r="F191">
        <v>15000</v>
      </c>
      <c r="G191" s="13">
        <v>44328</v>
      </c>
      <c r="H191" s="13">
        <v>44330</v>
      </c>
      <c r="I191">
        <v>8000</v>
      </c>
      <c r="J191">
        <v>500</v>
      </c>
      <c r="K191">
        <v>8500</v>
      </c>
      <c r="N191">
        <v>17.391304347826086</v>
      </c>
      <c r="O191">
        <v>94.058800000000005</v>
      </c>
      <c r="P191">
        <v>90</v>
      </c>
      <c r="Q191">
        <v>94</v>
      </c>
      <c r="R191">
        <v>95</v>
      </c>
      <c r="S191">
        <v>94</v>
      </c>
      <c r="T191">
        <v>8.2799999999999994</v>
      </c>
      <c r="U191">
        <v>6</v>
      </c>
      <c r="W191" t="s">
        <v>497</v>
      </c>
    </row>
    <row r="192" spans="1:23" x14ac:dyDescent="0.25">
      <c r="A192" t="s">
        <v>687</v>
      </c>
      <c r="B192" t="str">
        <f t="shared" si="2"/>
        <v>TD2J00000041</v>
      </c>
      <c r="C192" t="s">
        <v>237</v>
      </c>
      <c r="D192" t="s">
        <v>85</v>
      </c>
      <c r="E192" t="s">
        <v>499</v>
      </c>
      <c r="F192">
        <v>30000</v>
      </c>
      <c r="G192" s="13">
        <v>44335</v>
      </c>
      <c r="H192" s="13">
        <v>44337</v>
      </c>
      <c r="I192">
        <v>0</v>
      </c>
      <c r="J192">
        <v>0</v>
      </c>
      <c r="K192">
        <v>0</v>
      </c>
      <c r="N192">
        <v>8.3333333333333321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643</v>
      </c>
      <c r="U192">
        <v>0</v>
      </c>
      <c r="W192" t="s">
        <v>497</v>
      </c>
    </row>
    <row r="193" spans="1:23" x14ac:dyDescent="0.25">
      <c r="A193" t="s">
        <v>688</v>
      </c>
      <c r="B193" t="str">
        <f t="shared" si="2"/>
        <v>CG2J00000149</v>
      </c>
      <c r="C193" t="s">
        <v>229</v>
      </c>
      <c r="D193" t="s">
        <v>85</v>
      </c>
      <c r="E193" t="s">
        <v>499</v>
      </c>
      <c r="F193">
        <v>50000</v>
      </c>
      <c r="G193" s="13">
        <v>44356</v>
      </c>
      <c r="H193" s="13">
        <v>44358</v>
      </c>
      <c r="I193">
        <v>50000</v>
      </c>
      <c r="J193">
        <v>0</v>
      </c>
      <c r="K193">
        <v>50000</v>
      </c>
      <c r="N193">
        <v>13.043478260869565</v>
      </c>
      <c r="O193">
        <v>94.700199999999995</v>
      </c>
      <c r="P193">
        <v>100</v>
      </c>
      <c r="Q193">
        <v>93.5</v>
      </c>
      <c r="R193">
        <v>95</v>
      </c>
      <c r="S193">
        <v>93.5</v>
      </c>
      <c r="T193">
        <v>8.02</v>
      </c>
      <c r="U193">
        <v>6</v>
      </c>
      <c r="W193" t="s">
        <v>497</v>
      </c>
    </row>
    <row r="194" spans="1:23" x14ac:dyDescent="0.25">
      <c r="A194" t="s">
        <v>689</v>
      </c>
      <c r="B194" t="str">
        <f t="shared" si="2"/>
        <v>CG2K00000039</v>
      </c>
      <c r="C194" t="s">
        <v>229</v>
      </c>
      <c r="D194" t="s">
        <v>85</v>
      </c>
      <c r="E194" t="s">
        <v>516</v>
      </c>
      <c r="F194">
        <v>15000</v>
      </c>
      <c r="G194" s="13">
        <v>44356</v>
      </c>
      <c r="H194" s="13">
        <v>44358</v>
      </c>
      <c r="I194">
        <v>10020</v>
      </c>
      <c r="J194">
        <v>0</v>
      </c>
      <c r="K194">
        <v>10020</v>
      </c>
      <c r="N194">
        <v>13.043478260869565</v>
      </c>
      <c r="O194">
        <v>93.876499999999993</v>
      </c>
      <c r="P194">
        <v>66.8</v>
      </c>
      <c r="Q194">
        <v>93.5</v>
      </c>
      <c r="R194">
        <v>95</v>
      </c>
      <c r="S194">
        <v>93.5</v>
      </c>
      <c r="T194">
        <v>8.07</v>
      </c>
      <c r="U194">
        <v>6.25</v>
      </c>
      <c r="W194" t="s">
        <v>497</v>
      </c>
    </row>
    <row r="195" spans="1:23" x14ac:dyDescent="0.25">
      <c r="A195" t="s">
        <v>690</v>
      </c>
      <c r="B195" t="str">
        <f t="shared" si="2"/>
        <v>GA2B00000042</v>
      </c>
      <c r="C195" t="s">
        <v>227</v>
      </c>
      <c r="D195" t="s">
        <v>85</v>
      </c>
      <c r="E195" t="s">
        <v>507</v>
      </c>
      <c r="F195">
        <v>15000</v>
      </c>
      <c r="G195" s="13">
        <v>44356</v>
      </c>
      <c r="H195" s="13">
        <v>44358</v>
      </c>
      <c r="I195">
        <v>2750.62</v>
      </c>
      <c r="J195">
        <v>12249.380000000001</v>
      </c>
      <c r="K195">
        <v>15000</v>
      </c>
      <c r="N195">
        <v>33.333333333333329</v>
      </c>
      <c r="O195">
        <v>95.651899999999998</v>
      </c>
      <c r="P195">
        <v>124.5667</v>
      </c>
      <c r="Q195">
        <v>91</v>
      </c>
      <c r="R195">
        <v>97.4</v>
      </c>
      <c r="S195">
        <v>91</v>
      </c>
      <c r="T195">
        <v>7.79</v>
      </c>
      <c r="U195">
        <v>6.5</v>
      </c>
      <c r="W195" t="s">
        <v>497</v>
      </c>
    </row>
    <row r="196" spans="1:23" x14ac:dyDescent="0.25">
      <c r="A196" t="s">
        <v>691</v>
      </c>
      <c r="B196" t="str">
        <f t="shared" si="2"/>
        <v>GA2A00000134</v>
      </c>
      <c r="C196" t="s">
        <v>227</v>
      </c>
      <c r="D196" t="s">
        <v>85</v>
      </c>
      <c r="E196" t="s">
        <v>496</v>
      </c>
      <c r="F196">
        <v>25000</v>
      </c>
      <c r="G196" s="13">
        <v>44356</v>
      </c>
      <c r="H196" s="13">
        <v>44358</v>
      </c>
      <c r="I196">
        <v>17250</v>
      </c>
      <c r="J196">
        <v>7750</v>
      </c>
      <c r="K196">
        <v>25000</v>
      </c>
      <c r="N196">
        <v>27.777777777777779</v>
      </c>
      <c r="O196">
        <v>92.293000000000006</v>
      </c>
      <c r="P196">
        <v>150.1</v>
      </c>
      <c r="Q196">
        <v>91</v>
      </c>
      <c r="R196">
        <v>95</v>
      </c>
      <c r="S196">
        <v>91</v>
      </c>
      <c r="T196">
        <v>9.0500000000000007</v>
      </c>
      <c r="U196">
        <v>4.75</v>
      </c>
      <c r="W196" t="s">
        <v>497</v>
      </c>
    </row>
    <row r="197" spans="1:23" x14ac:dyDescent="0.25">
      <c r="A197" t="s">
        <v>692</v>
      </c>
      <c r="B197" t="str">
        <f t="shared" ref="B197:B260" si="3">MID(A197,1,12)</f>
        <v>CM2L00000028</v>
      </c>
      <c r="C197" t="s">
        <v>225</v>
      </c>
      <c r="D197" t="s">
        <v>85</v>
      </c>
      <c r="E197" t="s">
        <v>547</v>
      </c>
      <c r="F197">
        <v>50000</v>
      </c>
      <c r="G197" s="13">
        <v>44363</v>
      </c>
      <c r="H197" s="13">
        <v>44365</v>
      </c>
      <c r="I197">
        <v>31869.5</v>
      </c>
      <c r="J197">
        <v>3000</v>
      </c>
      <c r="K197">
        <v>34869.5</v>
      </c>
      <c r="N197">
        <v>33.333333333333329</v>
      </c>
      <c r="O197">
        <v>99.176299999999998</v>
      </c>
      <c r="P197">
        <v>80.576999999999998</v>
      </c>
      <c r="Q197">
        <v>99</v>
      </c>
      <c r="R197">
        <v>100</v>
      </c>
      <c r="S197">
        <v>99</v>
      </c>
      <c r="T197">
        <v>6.17</v>
      </c>
      <c r="U197">
        <v>6</v>
      </c>
      <c r="W197" t="s">
        <v>497</v>
      </c>
    </row>
    <row r="198" spans="1:23" x14ac:dyDescent="0.25">
      <c r="A198" t="s">
        <v>693</v>
      </c>
      <c r="B198" t="str">
        <f t="shared" si="3"/>
        <v>CG2B00000022</v>
      </c>
      <c r="C198" t="s">
        <v>229</v>
      </c>
      <c r="D198" t="s">
        <v>85</v>
      </c>
      <c r="E198" t="s">
        <v>507</v>
      </c>
      <c r="F198">
        <v>10000</v>
      </c>
      <c r="G198" s="13">
        <v>44370</v>
      </c>
      <c r="H198" s="13">
        <v>44372</v>
      </c>
      <c r="I198">
        <v>6000</v>
      </c>
      <c r="J198">
        <v>0</v>
      </c>
      <c r="K198">
        <v>6000</v>
      </c>
      <c r="N198">
        <v>4.3478260869565215</v>
      </c>
      <c r="O198">
        <v>92.372600000000006</v>
      </c>
      <c r="P198">
        <v>60</v>
      </c>
      <c r="Q198">
        <v>91.5</v>
      </c>
      <c r="R198">
        <v>91.5</v>
      </c>
      <c r="S198">
        <v>91.5</v>
      </c>
      <c r="T198">
        <v>8.4</v>
      </c>
      <c r="U198">
        <v>6.5</v>
      </c>
      <c r="W198" t="s">
        <v>497</v>
      </c>
    </row>
    <row r="199" spans="1:23" x14ac:dyDescent="0.25">
      <c r="A199" t="s">
        <v>694</v>
      </c>
      <c r="B199" t="str">
        <f t="shared" si="3"/>
        <v>CG2A00000205</v>
      </c>
      <c r="C199" t="s">
        <v>229</v>
      </c>
      <c r="D199" t="s">
        <v>85</v>
      </c>
      <c r="E199" t="s">
        <v>496</v>
      </c>
      <c r="F199">
        <v>10000</v>
      </c>
      <c r="G199" s="13">
        <v>44370</v>
      </c>
      <c r="H199" s="13">
        <v>44372</v>
      </c>
      <c r="I199">
        <v>5100</v>
      </c>
      <c r="J199">
        <v>120.69999999999982</v>
      </c>
      <c r="K199">
        <v>5220.7</v>
      </c>
      <c r="N199">
        <v>13.043478260869565</v>
      </c>
      <c r="O199">
        <v>93.978700000000003</v>
      </c>
      <c r="P199">
        <v>52.207000000000001</v>
      </c>
      <c r="Q199">
        <v>92</v>
      </c>
      <c r="R199">
        <v>95</v>
      </c>
      <c r="S199">
        <v>92</v>
      </c>
      <c r="T199">
        <v>8.85</v>
      </c>
      <c r="U199">
        <v>5.5</v>
      </c>
      <c r="W199" t="s">
        <v>497</v>
      </c>
    </row>
    <row r="200" spans="1:23" x14ac:dyDescent="0.25">
      <c r="A200" t="s">
        <v>695</v>
      </c>
      <c r="B200" t="str">
        <f t="shared" si="3"/>
        <v>CG2J00000156</v>
      </c>
      <c r="C200" t="s">
        <v>229</v>
      </c>
      <c r="D200" t="s">
        <v>85</v>
      </c>
      <c r="E200" t="s">
        <v>499</v>
      </c>
      <c r="F200">
        <v>10000</v>
      </c>
      <c r="G200" s="13">
        <v>44370</v>
      </c>
      <c r="H200" s="13">
        <v>44372</v>
      </c>
      <c r="I200">
        <v>5000</v>
      </c>
      <c r="J200">
        <v>497.32999999999993</v>
      </c>
      <c r="K200">
        <v>5497.33</v>
      </c>
      <c r="N200">
        <v>13.043478260869565</v>
      </c>
      <c r="O200">
        <v>93.738799999999998</v>
      </c>
      <c r="P200">
        <v>54.973300000000002</v>
      </c>
      <c r="Q200">
        <v>91</v>
      </c>
      <c r="R200">
        <v>95</v>
      </c>
      <c r="S200">
        <v>91</v>
      </c>
      <c r="T200">
        <v>8.41</v>
      </c>
      <c r="U200">
        <v>6</v>
      </c>
      <c r="W200" t="s">
        <v>497</v>
      </c>
    </row>
    <row r="201" spans="1:23" x14ac:dyDescent="0.25">
      <c r="A201" t="s">
        <v>696</v>
      </c>
      <c r="B201" t="str">
        <f t="shared" si="3"/>
        <v>CG2K00000047</v>
      </c>
      <c r="C201" t="s">
        <v>229</v>
      </c>
      <c r="D201" t="s">
        <v>85</v>
      </c>
      <c r="E201" t="s">
        <v>516</v>
      </c>
      <c r="F201">
        <v>10000</v>
      </c>
      <c r="G201" s="13">
        <v>44370</v>
      </c>
      <c r="H201" s="13">
        <v>44372</v>
      </c>
      <c r="I201">
        <v>5500</v>
      </c>
      <c r="J201">
        <v>115</v>
      </c>
      <c r="K201">
        <v>5615</v>
      </c>
      <c r="N201">
        <v>13.043478260869565</v>
      </c>
      <c r="O201">
        <v>93.780900000000003</v>
      </c>
      <c r="P201">
        <v>56.15</v>
      </c>
      <c r="Q201">
        <v>92</v>
      </c>
      <c r="R201">
        <v>94</v>
      </c>
      <c r="S201">
        <v>92</v>
      </c>
      <c r="T201">
        <v>8.1</v>
      </c>
      <c r="U201">
        <v>6.25</v>
      </c>
      <c r="W201" t="s">
        <v>497</v>
      </c>
    </row>
    <row r="202" spans="1:23" x14ac:dyDescent="0.25">
      <c r="A202" t="s">
        <v>697</v>
      </c>
      <c r="B202" t="str">
        <f t="shared" si="3"/>
        <v>GA2J00000184</v>
      </c>
      <c r="C202" t="s">
        <v>227</v>
      </c>
      <c r="D202" t="s">
        <v>85</v>
      </c>
      <c r="E202" t="s">
        <v>499</v>
      </c>
      <c r="F202">
        <v>25000</v>
      </c>
      <c r="G202" s="13">
        <v>44370</v>
      </c>
      <c r="H202" s="13">
        <v>44372</v>
      </c>
      <c r="I202">
        <v>15500</v>
      </c>
      <c r="J202">
        <v>9500</v>
      </c>
      <c r="K202">
        <v>25000</v>
      </c>
      <c r="N202">
        <v>33.333333333333329</v>
      </c>
      <c r="O202">
        <v>92.839500000000001</v>
      </c>
      <c r="P202">
        <v>191.44720000000001</v>
      </c>
      <c r="Q202">
        <v>92.05</v>
      </c>
      <c r="R202">
        <v>93</v>
      </c>
      <c r="S202">
        <v>92.05</v>
      </c>
      <c r="T202">
        <v>8.24</v>
      </c>
      <c r="U202">
        <v>5.5</v>
      </c>
      <c r="W202" t="s">
        <v>497</v>
      </c>
    </row>
    <row r="203" spans="1:23" x14ac:dyDescent="0.25">
      <c r="A203" t="s">
        <v>698</v>
      </c>
      <c r="B203" t="str">
        <f t="shared" si="3"/>
        <v>CG2A00000205</v>
      </c>
      <c r="C203" t="s">
        <v>229</v>
      </c>
      <c r="D203" t="s">
        <v>85</v>
      </c>
      <c r="E203" t="s">
        <v>496</v>
      </c>
      <c r="F203">
        <v>20000</v>
      </c>
      <c r="G203" s="13">
        <v>44377</v>
      </c>
      <c r="H203" s="13">
        <v>44379</v>
      </c>
      <c r="I203">
        <v>13900</v>
      </c>
      <c r="J203">
        <v>130</v>
      </c>
      <c r="K203">
        <v>14030</v>
      </c>
      <c r="N203">
        <v>17.391304347826086</v>
      </c>
      <c r="O203">
        <v>92.9893</v>
      </c>
      <c r="P203">
        <v>70.150000000000006</v>
      </c>
      <c r="Q203">
        <v>92</v>
      </c>
      <c r="R203">
        <v>93</v>
      </c>
      <c r="S203">
        <v>92</v>
      </c>
      <c r="T203">
        <v>9.43</v>
      </c>
      <c r="U203">
        <v>5.5</v>
      </c>
      <c r="W203" t="s">
        <v>497</v>
      </c>
    </row>
    <row r="204" spans="1:23" x14ac:dyDescent="0.25">
      <c r="A204" t="s">
        <v>699</v>
      </c>
      <c r="B204" t="str">
        <f t="shared" si="3"/>
        <v>TD2A00000446</v>
      </c>
      <c r="C204" t="s">
        <v>237</v>
      </c>
      <c r="D204" t="s">
        <v>85</v>
      </c>
      <c r="E204" t="s">
        <v>496</v>
      </c>
      <c r="F204">
        <v>15000</v>
      </c>
      <c r="G204" s="13">
        <v>44377</v>
      </c>
      <c r="H204" s="13">
        <v>44379</v>
      </c>
      <c r="I204">
        <v>12500</v>
      </c>
      <c r="J204">
        <v>0</v>
      </c>
      <c r="K204">
        <v>12500</v>
      </c>
      <c r="N204">
        <v>8.3333333333333321</v>
      </c>
      <c r="O204">
        <v>96</v>
      </c>
      <c r="P204">
        <v>83.333299999999994</v>
      </c>
      <c r="Q204">
        <v>96</v>
      </c>
      <c r="R204">
        <v>96</v>
      </c>
      <c r="S204">
        <v>96</v>
      </c>
      <c r="T204">
        <v>7.18</v>
      </c>
      <c r="U204">
        <v>5</v>
      </c>
      <c r="W204" t="s">
        <v>497</v>
      </c>
    </row>
    <row r="205" spans="1:23" x14ac:dyDescent="0.25">
      <c r="A205" t="s">
        <v>700</v>
      </c>
      <c r="B205" t="str">
        <f t="shared" si="3"/>
        <v>GA2B00000075</v>
      </c>
      <c r="C205" t="s">
        <v>227</v>
      </c>
      <c r="D205" t="s">
        <v>85</v>
      </c>
      <c r="E205" t="s">
        <v>507</v>
      </c>
      <c r="F205">
        <v>20000</v>
      </c>
      <c r="G205" s="13">
        <v>44384</v>
      </c>
      <c r="H205" s="13">
        <v>44386</v>
      </c>
      <c r="I205">
        <v>10840</v>
      </c>
      <c r="J205">
        <v>9130</v>
      </c>
      <c r="K205">
        <v>19970</v>
      </c>
      <c r="N205">
        <v>27.777777777777779</v>
      </c>
      <c r="O205">
        <v>90.604399999999998</v>
      </c>
      <c r="P205">
        <v>100</v>
      </c>
      <c r="Q205">
        <v>90</v>
      </c>
      <c r="R205">
        <v>95</v>
      </c>
      <c r="S205">
        <v>90</v>
      </c>
      <c r="T205">
        <v>8.8699999999999992</v>
      </c>
      <c r="U205">
        <v>6.5</v>
      </c>
      <c r="W205" t="s">
        <v>497</v>
      </c>
    </row>
    <row r="206" spans="1:23" x14ac:dyDescent="0.25">
      <c r="A206" t="s">
        <v>701</v>
      </c>
      <c r="B206" t="str">
        <f t="shared" si="3"/>
        <v>GA2C00000025</v>
      </c>
      <c r="C206" t="s">
        <v>227</v>
      </c>
      <c r="D206" t="s">
        <v>85</v>
      </c>
      <c r="E206" t="s">
        <v>549</v>
      </c>
      <c r="F206">
        <v>10000</v>
      </c>
      <c r="G206" s="13">
        <v>44384</v>
      </c>
      <c r="H206" s="13">
        <v>44386</v>
      </c>
      <c r="I206">
        <v>1121</v>
      </c>
      <c r="J206">
        <v>1321</v>
      </c>
      <c r="K206">
        <v>2442</v>
      </c>
      <c r="N206">
        <v>11.111111111111111</v>
      </c>
      <c r="O206">
        <v>92.752099999999999</v>
      </c>
      <c r="P206">
        <v>24.42</v>
      </c>
      <c r="Q206">
        <v>90</v>
      </c>
      <c r="R206">
        <v>93</v>
      </c>
      <c r="S206">
        <v>90</v>
      </c>
      <c r="T206">
        <v>8.65</v>
      </c>
      <c r="U206">
        <v>7.25</v>
      </c>
      <c r="W206" t="s">
        <v>497</v>
      </c>
    </row>
    <row r="207" spans="1:23" x14ac:dyDescent="0.25">
      <c r="A207" t="s">
        <v>702</v>
      </c>
      <c r="B207" t="str">
        <f t="shared" si="3"/>
        <v>GQ2J00000024</v>
      </c>
      <c r="C207" t="s">
        <v>528</v>
      </c>
      <c r="D207" t="s">
        <v>85</v>
      </c>
      <c r="E207" t="s">
        <v>499</v>
      </c>
      <c r="F207">
        <v>55000</v>
      </c>
      <c r="G207" s="13">
        <v>44384</v>
      </c>
      <c r="H207" s="13">
        <v>44386</v>
      </c>
      <c r="I207">
        <v>19000</v>
      </c>
      <c r="J207">
        <v>36000</v>
      </c>
      <c r="K207">
        <v>55000</v>
      </c>
      <c r="N207">
        <v>58.333333333333336</v>
      </c>
      <c r="O207">
        <v>93.013599999999997</v>
      </c>
      <c r="P207">
        <v>101.8182</v>
      </c>
      <c r="Q207">
        <v>87</v>
      </c>
      <c r="R207">
        <v>100</v>
      </c>
      <c r="S207">
        <v>87</v>
      </c>
      <c r="T207">
        <v>9.74</v>
      </c>
      <c r="U207">
        <v>7</v>
      </c>
      <c r="W207" t="s">
        <v>497</v>
      </c>
    </row>
    <row r="208" spans="1:23" x14ac:dyDescent="0.25">
      <c r="A208" t="s">
        <v>703</v>
      </c>
      <c r="B208" t="str">
        <f t="shared" si="3"/>
        <v>CG2B00000030</v>
      </c>
      <c r="C208" t="s">
        <v>229</v>
      </c>
      <c r="D208" t="s">
        <v>85</v>
      </c>
      <c r="E208" t="s">
        <v>507</v>
      </c>
      <c r="F208">
        <v>15000</v>
      </c>
      <c r="G208" s="13">
        <v>44391</v>
      </c>
      <c r="H208" s="13">
        <v>44393</v>
      </c>
      <c r="I208">
        <v>2050</v>
      </c>
      <c r="J208">
        <v>1796.8000000000002</v>
      </c>
      <c r="K208">
        <v>3846.8</v>
      </c>
      <c r="N208">
        <v>26.086956521739129</v>
      </c>
      <c r="O208">
        <v>91.424599999999998</v>
      </c>
      <c r="P208">
        <v>25.645299999999999</v>
      </c>
      <c r="Q208">
        <v>90</v>
      </c>
      <c r="R208">
        <v>97</v>
      </c>
      <c r="S208">
        <v>90</v>
      </c>
      <c r="T208">
        <v>8.65</v>
      </c>
      <c r="U208">
        <v>6.5</v>
      </c>
      <c r="W208" t="s">
        <v>497</v>
      </c>
    </row>
    <row r="209" spans="1:23" x14ac:dyDescent="0.25">
      <c r="A209" t="s">
        <v>704</v>
      </c>
      <c r="B209" t="str">
        <f t="shared" si="3"/>
        <v>GA2J00000176</v>
      </c>
      <c r="C209" t="s">
        <v>227</v>
      </c>
      <c r="D209" t="s">
        <v>85</v>
      </c>
      <c r="E209" t="s">
        <v>499</v>
      </c>
      <c r="F209">
        <v>12500</v>
      </c>
      <c r="G209" s="13">
        <v>44398</v>
      </c>
      <c r="H209" s="13">
        <v>44400</v>
      </c>
      <c r="I209">
        <v>4500</v>
      </c>
      <c r="J209">
        <v>8000</v>
      </c>
      <c r="K209">
        <v>12500</v>
      </c>
      <c r="N209">
        <v>27.777777777777779</v>
      </c>
      <c r="O209">
        <v>91.342200000000005</v>
      </c>
      <c r="P209">
        <v>100</v>
      </c>
      <c r="Q209">
        <v>88</v>
      </c>
      <c r="R209">
        <v>91.6</v>
      </c>
      <c r="S209">
        <v>88</v>
      </c>
      <c r="T209">
        <v>8.59</v>
      </c>
      <c r="U209">
        <v>5.25</v>
      </c>
      <c r="W209" t="s">
        <v>497</v>
      </c>
    </row>
    <row r="210" spans="1:23" x14ac:dyDescent="0.25">
      <c r="A210" t="s">
        <v>705</v>
      </c>
      <c r="B210" t="str">
        <f t="shared" si="3"/>
        <v>GA2B00000075</v>
      </c>
      <c r="C210" t="s">
        <v>227</v>
      </c>
      <c r="D210" t="s">
        <v>85</v>
      </c>
      <c r="E210" t="s">
        <v>507</v>
      </c>
      <c r="F210">
        <v>12500</v>
      </c>
      <c r="G210" s="13">
        <v>44398</v>
      </c>
      <c r="H210" s="13">
        <v>44400</v>
      </c>
      <c r="I210">
        <v>3190.2</v>
      </c>
      <c r="J210">
        <v>1165</v>
      </c>
      <c r="K210">
        <v>4355.2</v>
      </c>
      <c r="N210">
        <v>27.777777777777779</v>
      </c>
      <c r="O210">
        <v>90.032300000000006</v>
      </c>
      <c r="P210">
        <v>34.8416</v>
      </c>
      <c r="Q210">
        <v>89</v>
      </c>
      <c r="R210">
        <v>92</v>
      </c>
      <c r="S210">
        <v>89</v>
      </c>
      <c r="T210">
        <v>9.02</v>
      </c>
      <c r="U210">
        <v>6.5</v>
      </c>
      <c r="W210" t="s">
        <v>497</v>
      </c>
    </row>
    <row r="211" spans="1:23" x14ac:dyDescent="0.25">
      <c r="A211" t="s">
        <v>706</v>
      </c>
      <c r="B211" t="str">
        <f t="shared" si="3"/>
        <v>GQ2K00000021</v>
      </c>
      <c r="C211" t="s">
        <v>528</v>
      </c>
      <c r="D211" t="s">
        <v>85</v>
      </c>
      <c r="E211" t="s">
        <v>516</v>
      </c>
      <c r="F211">
        <v>50000</v>
      </c>
      <c r="G211" s="13">
        <v>44405</v>
      </c>
      <c r="H211" s="13">
        <v>44407</v>
      </c>
      <c r="I211">
        <v>20000</v>
      </c>
      <c r="J211">
        <v>30000</v>
      </c>
      <c r="K211">
        <v>50000</v>
      </c>
      <c r="N211">
        <v>50</v>
      </c>
      <c r="O211">
        <v>88.707499999999996</v>
      </c>
      <c r="P211">
        <v>100.9</v>
      </c>
      <c r="Q211">
        <v>88</v>
      </c>
      <c r="R211">
        <v>90</v>
      </c>
      <c r="S211">
        <v>88</v>
      </c>
      <c r="T211">
        <v>10.53</v>
      </c>
      <c r="U211">
        <v>7</v>
      </c>
      <c r="W211" t="s">
        <v>497</v>
      </c>
    </row>
    <row r="212" spans="1:23" x14ac:dyDescent="0.25">
      <c r="A212" t="s">
        <v>707</v>
      </c>
      <c r="B212" t="str">
        <f t="shared" si="3"/>
        <v>CG2J00000164</v>
      </c>
      <c r="C212" t="s">
        <v>229</v>
      </c>
      <c r="D212" t="s">
        <v>85</v>
      </c>
      <c r="E212" t="s">
        <v>499</v>
      </c>
      <c r="F212">
        <v>30000</v>
      </c>
      <c r="G212" s="13">
        <v>44405</v>
      </c>
      <c r="H212" s="13">
        <v>44407</v>
      </c>
      <c r="I212">
        <v>14688.18</v>
      </c>
      <c r="J212">
        <v>1041</v>
      </c>
      <c r="K212">
        <v>15729.18</v>
      </c>
      <c r="N212">
        <v>13.043478260869565</v>
      </c>
      <c r="O212">
        <v>92.9739</v>
      </c>
      <c r="P212">
        <v>52.430599999999998</v>
      </c>
      <c r="Q212">
        <v>90</v>
      </c>
      <c r="R212">
        <v>94</v>
      </c>
      <c r="S212">
        <v>90</v>
      </c>
      <c r="T212">
        <v>8.7100000000000009</v>
      </c>
      <c r="U212">
        <v>6</v>
      </c>
      <c r="W212" t="s">
        <v>497</v>
      </c>
    </row>
    <row r="213" spans="1:23" x14ac:dyDescent="0.25">
      <c r="A213" t="s">
        <v>708</v>
      </c>
      <c r="B213" t="str">
        <f t="shared" si="3"/>
        <v>CG2A00000106</v>
      </c>
      <c r="C213" t="s">
        <v>229</v>
      </c>
      <c r="D213" t="s">
        <v>85</v>
      </c>
      <c r="E213" t="s">
        <v>496</v>
      </c>
      <c r="F213">
        <v>5000</v>
      </c>
      <c r="G213" s="13">
        <v>44405</v>
      </c>
      <c r="H213" s="13">
        <v>44407</v>
      </c>
      <c r="I213">
        <v>0</v>
      </c>
      <c r="J213">
        <v>4000</v>
      </c>
      <c r="K213">
        <v>4000</v>
      </c>
      <c r="N213">
        <v>0</v>
      </c>
      <c r="O213">
        <v>101.4795</v>
      </c>
      <c r="P213">
        <v>80</v>
      </c>
      <c r="Q213">
        <v>100</v>
      </c>
      <c r="R213">
        <v>100</v>
      </c>
      <c r="S213">
        <v>100</v>
      </c>
      <c r="T213">
        <v>4.47</v>
      </c>
      <c r="U213">
        <v>6</v>
      </c>
      <c r="W213" t="s">
        <v>681</v>
      </c>
    </row>
    <row r="214" spans="1:23" x14ac:dyDescent="0.25">
      <c r="A214" t="s">
        <v>709</v>
      </c>
      <c r="B214" t="str">
        <f t="shared" si="3"/>
        <v>CG2A00000171</v>
      </c>
      <c r="C214" t="s">
        <v>229</v>
      </c>
      <c r="D214" t="s">
        <v>85</v>
      </c>
      <c r="E214" t="s">
        <v>496</v>
      </c>
      <c r="F214">
        <v>6000</v>
      </c>
      <c r="G214" s="13">
        <v>44405</v>
      </c>
      <c r="H214" s="13">
        <v>44407</v>
      </c>
      <c r="I214">
        <v>0</v>
      </c>
      <c r="J214">
        <v>5000</v>
      </c>
      <c r="K214">
        <v>5000</v>
      </c>
      <c r="N214">
        <v>0</v>
      </c>
      <c r="O214">
        <v>103.79730000000001</v>
      </c>
      <c r="P214">
        <v>83.333299999999994</v>
      </c>
      <c r="Q214">
        <v>100</v>
      </c>
      <c r="R214">
        <v>100</v>
      </c>
      <c r="S214">
        <v>100</v>
      </c>
      <c r="T214">
        <v>2.14</v>
      </c>
      <c r="U214">
        <v>6</v>
      </c>
      <c r="W214" t="s">
        <v>681</v>
      </c>
    </row>
    <row r="215" spans="1:23" x14ac:dyDescent="0.25">
      <c r="A215" t="s">
        <v>710</v>
      </c>
      <c r="B215" t="str">
        <f t="shared" si="3"/>
        <v>CG2J00000073</v>
      </c>
      <c r="C215" t="s">
        <v>229</v>
      </c>
      <c r="D215" t="s">
        <v>85</v>
      </c>
      <c r="E215" t="s">
        <v>499</v>
      </c>
      <c r="F215">
        <v>3000</v>
      </c>
      <c r="G215" s="13">
        <v>44405</v>
      </c>
      <c r="H215" s="13">
        <v>44407</v>
      </c>
      <c r="I215">
        <v>2668.18</v>
      </c>
      <c r="J215">
        <v>0</v>
      </c>
      <c r="K215">
        <v>2668.18</v>
      </c>
      <c r="N215">
        <v>0</v>
      </c>
      <c r="O215">
        <v>103.9123</v>
      </c>
      <c r="P215">
        <v>88.939300000000003</v>
      </c>
      <c r="Q215">
        <v>100</v>
      </c>
      <c r="R215">
        <v>100</v>
      </c>
      <c r="S215">
        <v>100</v>
      </c>
      <c r="T215">
        <v>3.95</v>
      </c>
      <c r="U215">
        <v>6</v>
      </c>
      <c r="W215" t="s">
        <v>681</v>
      </c>
    </row>
    <row r="216" spans="1:23" x14ac:dyDescent="0.25">
      <c r="A216" t="s">
        <v>711</v>
      </c>
      <c r="B216" t="str">
        <f t="shared" si="3"/>
        <v>CG2J00000081</v>
      </c>
      <c r="C216" t="s">
        <v>229</v>
      </c>
      <c r="D216" t="s">
        <v>85</v>
      </c>
      <c r="E216" t="s">
        <v>499</v>
      </c>
      <c r="F216">
        <v>1000</v>
      </c>
      <c r="G216" s="13">
        <v>44405</v>
      </c>
      <c r="H216" s="13">
        <v>44407</v>
      </c>
      <c r="J216">
        <v>0</v>
      </c>
      <c r="N216">
        <v>0</v>
      </c>
      <c r="T216" t="s">
        <v>712</v>
      </c>
      <c r="W216" t="s">
        <v>681</v>
      </c>
    </row>
    <row r="217" spans="1:23" x14ac:dyDescent="0.25">
      <c r="A217" t="s">
        <v>713</v>
      </c>
      <c r="B217" t="str">
        <f t="shared" si="3"/>
        <v>CG2A00000213</v>
      </c>
      <c r="C217" t="s">
        <v>229</v>
      </c>
      <c r="D217" t="s">
        <v>85</v>
      </c>
      <c r="E217" t="s">
        <v>496</v>
      </c>
      <c r="F217">
        <v>15000</v>
      </c>
      <c r="G217" s="13">
        <v>44412</v>
      </c>
      <c r="H217" s="13">
        <v>44414</v>
      </c>
      <c r="I217">
        <v>0</v>
      </c>
      <c r="J217">
        <v>0</v>
      </c>
      <c r="K217">
        <v>0</v>
      </c>
      <c r="N217">
        <v>17.391304347826086</v>
      </c>
      <c r="T217" t="s">
        <v>712</v>
      </c>
      <c r="W217" t="s">
        <v>497</v>
      </c>
    </row>
    <row r="218" spans="1:23" x14ac:dyDescent="0.25">
      <c r="A218" t="s">
        <v>714</v>
      </c>
      <c r="B218" t="str">
        <f t="shared" si="3"/>
        <v>CG2J00000172</v>
      </c>
      <c r="C218" t="s">
        <v>229</v>
      </c>
      <c r="D218" t="s">
        <v>85</v>
      </c>
      <c r="E218" t="s">
        <v>499</v>
      </c>
      <c r="F218">
        <v>15000</v>
      </c>
      <c r="G218" s="13">
        <v>44412</v>
      </c>
      <c r="H218" s="13">
        <v>44414</v>
      </c>
      <c r="I218">
        <v>0</v>
      </c>
      <c r="J218">
        <v>0</v>
      </c>
      <c r="K218">
        <v>0</v>
      </c>
      <c r="N218">
        <v>4.3478260869565215</v>
      </c>
      <c r="T218" t="s">
        <v>712</v>
      </c>
      <c r="W218" t="s">
        <v>497</v>
      </c>
    </row>
    <row r="219" spans="1:23" x14ac:dyDescent="0.25">
      <c r="A219" t="s">
        <v>715</v>
      </c>
      <c r="B219" t="str">
        <f t="shared" si="3"/>
        <v>GA2C00000025</v>
      </c>
      <c r="C219" t="s">
        <v>227</v>
      </c>
      <c r="D219" t="s">
        <v>85</v>
      </c>
      <c r="E219" t="s">
        <v>549</v>
      </c>
      <c r="F219">
        <v>17500</v>
      </c>
      <c r="G219" s="13">
        <v>44412</v>
      </c>
      <c r="H219" s="13">
        <v>44414</v>
      </c>
      <c r="I219">
        <v>4360</v>
      </c>
      <c r="J219">
        <v>4600</v>
      </c>
      <c r="K219">
        <v>8960</v>
      </c>
      <c r="N219">
        <v>22.222222222222221</v>
      </c>
      <c r="O219">
        <v>89.691400000000002</v>
      </c>
      <c r="P219">
        <v>51.2</v>
      </c>
      <c r="Q219">
        <v>89</v>
      </c>
      <c r="R219">
        <v>93</v>
      </c>
      <c r="S219">
        <v>89</v>
      </c>
      <c r="T219">
        <v>9.2899999999999991</v>
      </c>
      <c r="U219">
        <v>7.25</v>
      </c>
      <c r="W219" t="s">
        <v>497</v>
      </c>
    </row>
    <row r="220" spans="1:23" x14ac:dyDescent="0.25">
      <c r="A220" t="s">
        <v>716</v>
      </c>
      <c r="B220" t="str">
        <f t="shared" si="3"/>
        <v>GA2J00000192</v>
      </c>
      <c r="C220" t="s">
        <v>227</v>
      </c>
      <c r="D220" t="s">
        <v>85</v>
      </c>
      <c r="E220" t="s">
        <v>499</v>
      </c>
      <c r="F220">
        <v>25000</v>
      </c>
      <c r="G220" s="13">
        <v>44412</v>
      </c>
      <c r="H220" s="13">
        <v>44414</v>
      </c>
      <c r="I220">
        <v>7000</v>
      </c>
      <c r="J220">
        <v>18000</v>
      </c>
      <c r="K220">
        <v>25000</v>
      </c>
      <c r="N220">
        <v>33.333333333333329</v>
      </c>
      <c r="O220">
        <v>90.045699999999997</v>
      </c>
      <c r="P220">
        <v>100</v>
      </c>
      <c r="Q220">
        <v>87</v>
      </c>
      <c r="R220">
        <v>92.1</v>
      </c>
      <c r="S220">
        <v>87</v>
      </c>
      <c r="T220">
        <v>9.1199999999999992</v>
      </c>
      <c r="U220">
        <v>5.25</v>
      </c>
      <c r="W220" t="s">
        <v>497</v>
      </c>
    </row>
    <row r="221" spans="1:23" x14ac:dyDescent="0.25">
      <c r="A221" t="s">
        <v>717</v>
      </c>
      <c r="B221" t="str">
        <f t="shared" si="3"/>
        <v>GA2B00000083</v>
      </c>
      <c r="C221" t="s">
        <v>227</v>
      </c>
      <c r="D221" t="s">
        <v>85</v>
      </c>
      <c r="E221" t="s">
        <v>507</v>
      </c>
      <c r="F221">
        <v>15000</v>
      </c>
      <c r="G221" s="13">
        <v>44419</v>
      </c>
      <c r="H221" s="13">
        <v>44421</v>
      </c>
      <c r="I221">
        <v>7</v>
      </c>
      <c r="J221">
        <v>211</v>
      </c>
      <c r="K221">
        <v>218</v>
      </c>
      <c r="N221">
        <v>27.777777777777779</v>
      </c>
      <c r="O221">
        <v>90.715599999999995</v>
      </c>
      <c r="P221">
        <v>8.19</v>
      </c>
      <c r="Q221">
        <v>90</v>
      </c>
      <c r="R221">
        <v>100</v>
      </c>
      <c r="S221">
        <v>90</v>
      </c>
      <c r="T221">
        <v>8.57</v>
      </c>
      <c r="U221">
        <v>6.25</v>
      </c>
      <c r="W221" t="s">
        <v>497</v>
      </c>
    </row>
    <row r="222" spans="1:23" x14ac:dyDescent="0.25">
      <c r="A222" t="s">
        <v>718</v>
      </c>
      <c r="B222" t="str">
        <f t="shared" si="3"/>
        <v>GA2D00000024</v>
      </c>
      <c r="C222" t="s">
        <v>227</v>
      </c>
      <c r="D222" t="s">
        <v>85</v>
      </c>
      <c r="E222" t="s">
        <v>555</v>
      </c>
      <c r="F222">
        <v>15000</v>
      </c>
      <c r="G222" s="13">
        <v>44419</v>
      </c>
      <c r="H222" s="13">
        <v>44421</v>
      </c>
      <c r="I222">
        <v>4410</v>
      </c>
      <c r="J222">
        <v>0</v>
      </c>
      <c r="K222">
        <v>4410</v>
      </c>
      <c r="N222">
        <v>22.222222222222221</v>
      </c>
      <c r="O222">
        <v>89.765799999999999</v>
      </c>
      <c r="P222">
        <v>34.866700000000002</v>
      </c>
      <c r="Q222">
        <v>89</v>
      </c>
      <c r="R222">
        <v>100</v>
      </c>
      <c r="S222">
        <v>89</v>
      </c>
      <c r="T222">
        <v>9.8800000000000008</v>
      </c>
      <c r="U222">
        <v>8.25</v>
      </c>
      <c r="W222" t="s">
        <v>497</v>
      </c>
    </row>
    <row r="223" spans="1:23" x14ac:dyDescent="0.25">
      <c r="A223" t="s">
        <v>719</v>
      </c>
      <c r="B223" t="str">
        <f t="shared" si="3"/>
        <v>TD2A00000453</v>
      </c>
      <c r="C223" t="s">
        <v>237</v>
      </c>
      <c r="D223" t="s">
        <v>85</v>
      </c>
      <c r="E223" t="s">
        <v>496</v>
      </c>
      <c r="F223">
        <v>30000</v>
      </c>
      <c r="G223" s="13">
        <v>44419</v>
      </c>
      <c r="H223" s="13">
        <v>44421</v>
      </c>
      <c r="I223">
        <v>20900</v>
      </c>
      <c r="J223">
        <v>0</v>
      </c>
      <c r="K223">
        <v>20900</v>
      </c>
      <c r="N223">
        <v>8.3333333333333321</v>
      </c>
      <c r="O223">
        <v>95.861199999999997</v>
      </c>
      <c r="P223">
        <v>69.666700000000006</v>
      </c>
      <c r="Q223">
        <v>95.5</v>
      </c>
      <c r="R223">
        <v>100</v>
      </c>
      <c r="S223">
        <v>89</v>
      </c>
      <c r="T223">
        <v>7.77</v>
      </c>
      <c r="U223">
        <v>5.5</v>
      </c>
      <c r="W223" t="s">
        <v>497</v>
      </c>
    </row>
    <row r="224" spans="1:23" x14ac:dyDescent="0.25">
      <c r="A224" t="s">
        <v>720</v>
      </c>
      <c r="B224" t="str">
        <f t="shared" si="3"/>
        <v>CG2A00000221</v>
      </c>
      <c r="C224" t="s">
        <v>229</v>
      </c>
      <c r="D224" t="s">
        <v>85</v>
      </c>
      <c r="E224" t="s">
        <v>496</v>
      </c>
      <c r="F224">
        <v>12500</v>
      </c>
      <c r="G224" s="13">
        <v>44426</v>
      </c>
      <c r="H224" s="13">
        <v>44428</v>
      </c>
      <c r="I224">
        <v>5000</v>
      </c>
      <c r="J224">
        <v>7500</v>
      </c>
      <c r="K224">
        <v>12500</v>
      </c>
      <c r="N224">
        <v>13.043478260869565</v>
      </c>
      <c r="O224">
        <v>90.756</v>
      </c>
      <c r="P224">
        <v>100</v>
      </c>
      <c r="Q224">
        <v>90</v>
      </c>
      <c r="R224">
        <v>92.5</v>
      </c>
      <c r="S224">
        <v>90</v>
      </c>
      <c r="T224">
        <v>10.76</v>
      </c>
      <c r="U224">
        <v>5.5</v>
      </c>
      <c r="W224" t="s">
        <v>497</v>
      </c>
    </row>
    <row r="225" spans="1:23" x14ac:dyDescent="0.25">
      <c r="A225" t="s">
        <v>721</v>
      </c>
      <c r="B225" t="str">
        <f t="shared" si="3"/>
        <v>GA2J00000192</v>
      </c>
      <c r="C225" t="s">
        <v>227</v>
      </c>
      <c r="D225" t="s">
        <v>85</v>
      </c>
      <c r="E225" t="s">
        <v>499</v>
      </c>
      <c r="F225">
        <v>12500</v>
      </c>
      <c r="G225" s="13">
        <v>44426</v>
      </c>
      <c r="H225" s="13">
        <v>44428</v>
      </c>
      <c r="I225">
        <v>0</v>
      </c>
      <c r="J225">
        <v>6850</v>
      </c>
      <c r="K225">
        <v>6850</v>
      </c>
      <c r="N225">
        <v>11.111111111111111</v>
      </c>
      <c r="O225">
        <v>90.484200000000001</v>
      </c>
      <c r="P225">
        <v>54.8</v>
      </c>
      <c r="Q225">
        <v>88</v>
      </c>
      <c r="R225">
        <v>91.05</v>
      </c>
      <c r="S225">
        <v>88</v>
      </c>
      <c r="T225">
        <v>8.94</v>
      </c>
      <c r="U225">
        <v>5.25</v>
      </c>
      <c r="W225" t="s">
        <v>497</v>
      </c>
    </row>
    <row r="226" spans="1:23" x14ac:dyDescent="0.25">
      <c r="A226" t="s">
        <v>717</v>
      </c>
      <c r="B226" t="str">
        <f t="shared" si="3"/>
        <v>GA2B00000083</v>
      </c>
      <c r="C226" t="s">
        <v>227</v>
      </c>
      <c r="D226" t="s">
        <v>85</v>
      </c>
      <c r="E226" t="s">
        <v>507</v>
      </c>
      <c r="F226">
        <v>20000</v>
      </c>
      <c r="G226" s="13">
        <v>44426</v>
      </c>
      <c r="H226" s="13">
        <v>44428</v>
      </c>
      <c r="J226">
        <v>0</v>
      </c>
      <c r="N226">
        <v>0</v>
      </c>
      <c r="T226" t="s">
        <v>712</v>
      </c>
      <c r="W226" t="s">
        <v>497</v>
      </c>
    </row>
    <row r="227" spans="1:23" x14ac:dyDescent="0.25">
      <c r="A227" t="s">
        <v>722</v>
      </c>
      <c r="B227" t="str">
        <f t="shared" si="3"/>
        <v>CF2A00000025</v>
      </c>
      <c r="C227" t="s">
        <v>634</v>
      </c>
      <c r="D227" t="s">
        <v>85</v>
      </c>
      <c r="E227" t="s">
        <v>496</v>
      </c>
      <c r="F227">
        <v>15000</v>
      </c>
      <c r="G227" s="13">
        <v>44426</v>
      </c>
      <c r="H227" s="13">
        <v>44428</v>
      </c>
      <c r="I227">
        <v>7750</v>
      </c>
      <c r="J227">
        <v>25</v>
      </c>
      <c r="K227">
        <v>7775</v>
      </c>
      <c r="N227">
        <v>44.444444444444443</v>
      </c>
      <c r="O227">
        <v>85.019300000000001</v>
      </c>
      <c r="P227">
        <v>51.833300000000001</v>
      </c>
      <c r="Q227">
        <v>85</v>
      </c>
      <c r="R227">
        <v>91</v>
      </c>
      <c r="S227">
        <v>85</v>
      </c>
      <c r="T227">
        <v>15.11</v>
      </c>
      <c r="U227">
        <v>6.15</v>
      </c>
      <c r="W227" t="s">
        <v>497</v>
      </c>
    </row>
    <row r="228" spans="1:23" x14ac:dyDescent="0.25">
      <c r="A228" t="s">
        <v>723</v>
      </c>
      <c r="B228" t="str">
        <f t="shared" si="3"/>
        <v>CG2J00000180</v>
      </c>
      <c r="C228" t="s">
        <v>229</v>
      </c>
      <c r="D228" t="s">
        <v>85</v>
      </c>
      <c r="E228" t="s">
        <v>499</v>
      </c>
      <c r="F228">
        <v>15000</v>
      </c>
      <c r="G228" s="13">
        <v>44433</v>
      </c>
      <c r="H228" s="13">
        <v>44435</v>
      </c>
      <c r="I228">
        <v>0</v>
      </c>
      <c r="J228">
        <v>960</v>
      </c>
      <c r="K228">
        <v>960</v>
      </c>
      <c r="N228">
        <v>17.391304347826086</v>
      </c>
      <c r="O228">
        <v>90.289599999999993</v>
      </c>
      <c r="P228">
        <v>6.4</v>
      </c>
      <c r="Q228">
        <v>90</v>
      </c>
      <c r="R228">
        <v>100</v>
      </c>
      <c r="S228">
        <v>90</v>
      </c>
      <c r="T228">
        <v>9.82</v>
      </c>
      <c r="U228">
        <v>6</v>
      </c>
      <c r="W228" t="s">
        <v>497</v>
      </c>
    </row>
    <row r="229" spans="1:23" x14ac:dyDescent="0.25">
      <c r="A229" t="s">
        <v>724</v>
      </c>
      <c r="B229" t="str">
        <f t="shared" si="3"/>
        <v>GQ2K00000039</v>
      </c>
      <c r="C229" t="s">
        <v>528</v>
      </c>
      <c r="D229" t="s">
        <v>85</v>
      </c>
      <c r="E229" t="s">
        <v>516</v>
      </c>
      <c r="F229">
        <v>70000</v>
      </c>
      <c r="G229" s="13">
        <v>44433</v>
      </c>
      <c r="H229" s="13">
        <v>44435</v>
      </c>
      <c r="I229">
        <v>6000</v>
      </c>
      <c r="J229">
        <v>15163</v>
      </c>
      <c r="K229">
        <v>21163</v>
      </c>
      <c r="N229">
        <v>50</v>
      </c>
      <c r="O229">
        <v>89.280299999999997</v>
      </c>
      <c r="P229">
        <v>48.461399999999998</v>
      </c>
      <c r="Q229">
        <v>88</v>
      </c>
      <c r="R229">
        <v>91</v>
      </c>
      <c r="S229">
        <v>88</v>
      </c>
      <c r="T229">
        <v>10.34</v>
      </c>
      <c r="U229">
        <v>7</v>
      </c>
      <c r="W229" t="s">
        <v>497</v>
      </c>
    </row>
    <row r="230" spans="1:23" x14ac:dyDescent="0.25">
      <c r="A230" t="s">
        <v>725</v>
      </c>
      <c r="B230" t="str">
        <f t="shared" si="3"/>
        <v>CG2J00000180</v>
      </c>
      <c r="C230" t="s">
        <v>229</v>
      </c>
      <c r="D230" t="s">
        <v>85</v>
      </c>
      <c r="E230" t="s">
        <v>499</v>
      </c>
      <c r="F230">
        <v>12500</v>
      </c>
      <c r="G230" s="13">
        <v>44440</v>
      </c>
      <c r="H230" s="13">
        <v>44442</v>
      </c>
      <c r="J230">
        <v>0</v>
      </c>
      <c r="N230">
        <v>0</v>
      </c>
      <c r="T230" t="s">
        <v>712</v>
      </c>
      <c r="W230" t="s">
        <v>497</v>
      </c>
    </row>
    <row r="231" spans="1:23" x14ac:dyDescent="0.25">
      <c r="A231" t="s">
        <v>726</v>
      </c>
      <c r="B231" t="str">
        <f t="shared" si="3"/>
        <v>GQ2K00000047</v>
      </c>
      <c r="C231" t="s">
        <v>528</v>
      </c>
      <c r="D231" t="s">
        <v>85</v>
      </c>
      <c r="E231" t="s">
        <v>516</v>
      </c>
      <c r="F231">
        <v>55000</v>
      </c>
      <c r="G231" s="13">
        <v>44440</v>
      </c>
      <c r="H231" s="13">
        <v>44442</v>
      </c>
      <c r="I231">
        <v>15760</v>
      </c>
      <c r="J231">
        <v>15972</v>
      </c>
      <c r="K231">
        <v>31732</v>
      </c>
      <c r="N231">
        <v>41.666666666666671</v>
      </c>
      <c r="O231">
        <v>86.521600000000007</v>
      </c>
      <c r="P231">
        <v>57.694499999999998</v>
      </c>
      <c r="Q231">
        <v>86</v>
      </c>
      <c r="R231">
        <v>98.5</v>
      </c>
      <c r="S231">
        <v>86</v>
      </c>
      <c r="T231">
        <v>11.28</v>
      </c>
      <c r="U231">
        <v>7</v>
      </c>
      <c r="W231" t="s">
        <v>497</v>
      </c>
    </row>
    <row r="232" spans="1:23" x14ac:dyDescent="0.25">
      <c r="A232" t="s">
        <v>727</v>
      </c>
      <c r="B232" t="str">
        <f t="shared" si="3"/>
        <v>CF2A00000025</v>
      </c>
      <c r="C232" t="s">
        <v>634</v>
      </c>
      <c r="D232" t="s">
        <v>85</v>
      </c>
      <c r="E232" t="s">
        <v>496</v>
      </c>
      <c r="F232">
        <v>7500</v>
      </c>
      <c r="G232" s="13">
        <v>44447</v>
      </c>
      <c r="H232" s="13">
        <v>44449</v>
      </c>
      <c r="I232">
        <v>7100</v>
      </c>
      <c r="J232">
        <v>400</v>
      </c>
      <c r="K232">
        <v>7500</v>
      </c>
      <c r="N232">
        <v>44.444444444444443</v>
      </c>
      <c r="O232">
        <v>87.448499999999996</v>
      </c>
      <c r="P232">
        <v>188.33330000000001</v>
      </c>
      <c r="Q232">
        <v>87</v>
      </c>
      <c r="R232">
        <v>87.1</v>
      </c>
      <c r="S232">
        <v>87</v>
      </c>
      <c r="T232">
        <v>13.52</v>
      </c>
      <c r="U232">
        <v>6.15</v>
      </c>
      <c r="W232" t="s">
        <v>497</v>
      </c>
    </row>
    <row r="233" spans="1:23" x14ac:dyDescent="0.25">
      <c r="A233" t="s">
        <v>728</v>
      </c>
      <c r="B233" t="str">
        <f t="shared" si="3"/>
        <v>CG2J00000180</v>
      </c>
      <c r="C233" t="s">
        <v>229</v>
      </c>
      <c r="D233" t="s">
        <v>85</v>
      </c>
      <c r="E233" t="s">
        <v>499</v>
      </c>
      <c r="F233">
        <v>25000</v>
      </c>
      <c r="G233" s="13">
        <v>44447</v>
      </c>
      <c r="H233" s="13">
        <v>44449</v>
      </c>
      <c r="I233">
        <v>7288.43</v>
      </c>
      <c r="J233">
        <v>15030</v>
      </c>
      <c r="K233">
        <v>22318.43</v>
      </c>
      <c r="N233">
        <v>17.391304347826086</v>
      </c>
      <c r="O233">
        <v>93.286500000000004</v>
      </c>
      <c r="P233">
        <v>94.857699999999994</v>
      </c>
      <c r="Q233">
        <v>90</v>
      </c>
      <c r="R233">
        <v>94</v>
      </c>
      <c r="S233">
        <v>90</v>
      </c>
      <c r="T233">
        <v>8.59</v>
      </c>
      <c r="U233">
        <v>6</v>
      </c>
      <c r="W233" t="s">
        <v>497</v>
      </c>
    </row>
    <row r="234" spans="1:23" x14ac:dyDescent="0.25">
      <c r="A234" t="s">
        <v>729</v>
      </c>
      <c r="B234" t="str">
        <f t="shared" si="3"/>
        <v>CG2A00000239</v>
      </c>
      <c r="C234" t="s">
        <v>229</v>
      </c>
      <c r="D234" t="s">
        <v>85</v>
      </c>
      <c r="E234" t="s">
        <v>496</v>
      </c>
      <c r="F234">
        <v>20000</v>
      </c>
      <c r="G234" s="13">
        <v>44447</v>
      </c>
      <c r="H234" s="13">
        <v>44449</v>
      </c>
      <c r="I234">
        <v>7750</v>
      </c>
      <c r="J234">
        <v>11280</v>
      </c>
      <c r="K234">
        <v>19030</v>
      </c>
      <c r="N234">
        <v>17.391304347826086</v>
      </c>
      <c r="O234">
        <v>91.212500000000006</v>
      </c>
      <c r="P234">
        <v>95.2</v>
      </c>
      <c r="Q234">
        <v>90</v>
      </c>
      <c r="R234">
        <v>92</v>
      </c>
      <c r="S234">
        <v>90</v>
      </c>
      <c r="T234">
        <v>10.48</v>
      </c>
      <c r="U234">
        <v>5.5</v>
      </c>
      <c r="W234" t="s">
        <v>497</v>
      </c>
    </row>
    <row r="235" spans="1:23" x14ac:dyDescent="0.25">
      <c r="A235" t="s">
        <v>730</v>
      </c>
      <c r="B235" t="str">
        <f t="shared" si="3"/>
        <v>GA2B00000083</v>
      </c>
      <c r="C235" t="s">
        <v>227</v>
      </c>
      <c r="D235" t="s">
        <v>85</v>
      </c>
      <c r="E235" t="s">
        <v>507</v>
      </c>
      <c r="F235">
        <v>10000</v>
      </c>
      <c r="G235" s="13">
        <v>44447</v>
      </c>
      <c r="H235" s="13">
        <v>44449</v>
      </c>
      <c r="I235">
        <v>5061.07</v>
      </c>
      <c r="J235">
        <v>3550</v>
      </c>
      <c r="K235">
        <v>8611.07</v>
      </c>
      <c r="N235">
        <v>22.222222222222221</v>
      </c>
      <c r="O235">
        <v>89.899500000000003</v>
      </c>
      <c r="P235">
        <v>86.110699999999994</v>
      </c>
      <c r="Q235">
        <v>88</v>
      </c>
      <c r="R235">
        <v>91</v>
      </c>
      <c r="S235">
        <v>88</v>
      </c>
      <c r="T235">
        <v>8.7899999999999991</v>
      </c>
      <c r="U235">
        <v>6.25</v>
      </c>
      <c r="W235" t="s">
        <v>497</v>
      </c>
    </row>
    <row r="236" spans="1:23" x14ac:dyDescent="0.25">
      <c r="A236" t="s">
        <v>731</v>
      </c>
      <c r="B236" t="str">
        <f t="shared" si="3"/>
        <v>GA2D00000024</v>
      </c>
      <c r="C236" t="s">
        <v>227</v>
      </c>
      <c r="D236" t="s">
        <v>85</v>
      </c>
      <c r="E236" t="s">
        <v>555</v>
      </c>
      <c r="F236">
        <v>7500</v>
      </c>
      <c r="G236" s="13">
        <v>44447</v>
      </c>
      <c r="H236" s="13">
        <v>44449</v>
      </c>
      <c r="I236">
        <v>2000</v>
      </c>
      <c r="J236">
        <v>2115</v>
      </c>
      <c r="K236">
        <v>4115</v>
      </c>
      <c r="N236">
        <v>16.666666666666664</v>
      </c>
      <c r="O236">
        <v>88.246099999999998</v>
      </c>
      <c r="P236">
        <v>54.866700000000002</v>
      </c>
      <c r="Q236">
        <v>85.1</v>
      </c>
      <c r="R236">
        <v>90</v>
      </c>
      <c r="S236">
        <v>85.1</v>
      </c>
      <c r="T236">
        <v>10.15</v>
      </c>
      <c r="U236">
        <v>8.25</v>
      </c>
      <c r="W236" t="s">
        <v>497</v>
      </c>
    </row>
    <row r="237" spans="1:23" x14ac:dyDescent="0.25">
      <c r="A237" t="s">
        <v>732</v>
      </c>
      <c r="B237" t="str">
        <f t="shared" si="3"/>
        <v>GA2J00000200</v>
      </c>
      <c r="C237" t="s">
        <v>227</v>
      </c>
      <c r="D237" t="s">
        <v>85</v>
      </c>
      <c r="E237" t="s">
        <v>499</v>
      </c>
      <c r="F237">
        <v>20000</v>
      </c>
      <c r="G237" s="13">
        <v>44447</v>
      </c>
      <c r="H237" s="13">
        <v>44449</v>
      </c>
      <c r="I237">
        <v>17954.54</v>
      </c>
      <c r="J237">
        <v>2045.4599999999991</v>
      </c>
      <c r="K237">
        <v>20000</v>
      </c>
      <c r="N237">
        <v>38.888888888888893</v>
      </c>
      <c r="O237">
        <v>95.634500000000003</v>
      </c>
      <c r="P237">
        <v>159.5</v>
      </c>
      <c r="Q237">
        <v>90</v>
      </c>
      <c r="R237">
        <v>100</v>
      </c>
      <c r="S237">
        <v>90</v>
      </c>
      <c r="T237">
        <v>6.89</v>
      </c>
      <c r="U237">
        <v>5.25</v>
      </c>
      <c r="W237" t="s">
        <v>497</v>
      </c>
    </row>
    <row r="238" spans="1:23" x14ac:dyDescent="0.25">
      <c r="A238" t="s">
        <v>733</v>
      </c>
      <c r="B238" t="str">
        <f t="shared" si="3"/>
        <v>CG2A00000163</v>
      </c>
      <c r="C238" t="s">
        <v>229</v>
      </c>
      <c r="D238" t="s">
        <v>85</v>
      </c>
      <c r="E238" t="s">
        <v>496</v>
      </c>
      <c r="F238">
        <v>4924</v>
      </c>
      <c r="G238" s="13">
        <v>44461</v>
      </c>
      <c r="H238" s="13">
        <v>44463</v>
      </c>
      <c r="I238">
        <v>0</v>
      </c>
      <c r="J238">
        <v>3000</v>
      </c>
      <c r="K238">
        <v>3000</v>
      </c>
      <c r="N238">
        <v>0</v>
      </c>
      <c r="O238">
        <v>105.1781</v>
      </c>
      <c r="P238">
        <v>60.914000000000001</v>
      </c>
      <c r="Q238">
        <v>100</v>
      </c>
      <c r="R238">
        <v>100</v>
      </c>
      <c r="S238">
        <v>100</v>
      </c>
      <c r="T238">
        <v>0.79</v>
      </c>
      <c r="U238">
        <v>6</v>
      </c>
      <c r="W238" t="s">
        <v>681</v>
      </c>
    </row>
    <row r="239" spans="1:23" x14ac:dyDescent="0.25">
      <c r="A239" t="s">
        <v>734</v>
      </c>
      <c r="B239" t="str">
        <f t="shared" si="3"/>
        <v>CG2A00000189</v>
      </c>
      <c r="C239" t="s">
        <v>229</v>
      </c>
      <c r="D239" t="s">
        <v>85</v>
      </c>
      <c r="E239" t="s">
        <v>496</v>
      </c>
      <c r="F239">
        <v>1335.08</v>
      </c>
      <c r="G239" s="13">
        <v>44461</v>
      </c>
      <c r="H239" s="13">
        <v>44463</v>
      </c>
      <c r="I239">
        <v>0</v>
      </c>
      <c r="J239">
        <v>1335.08</v>
      </c>
      <c r="K239">
        <v>1335.08</v>
      </c>
      <c r="N239">
        <v>0</v>
      </c>
      <c r="O239">
        <v>103.9699</v>
      </c>
      <c r="P239">
        <v>100</v>
      </c>
      <c r="Q239">
        <v>100</v>
      </c>
      <c r="R239">
        <v>100</v>
      </c>
      <c r="S239">
        <v>100</v>
      </c>
      <c r="T239">
        <v>1.73</v>
      </c>
      <c r="U239">
        <v>5.75</v>
      </c>
      <c r="W239" t="s">
        <v>681</v>
      </c>
    </row>
    <row r="240" spans="1:23" x14ac:dyDescent="0.25">
      <c r="A240" t="s">
        <v>735</v>
      </c>
      <c r="B240" t="str">
        <f t="shared" si="3"/>
        <v>CG2A00000197</v>
      </c>
      <c r="C240" t="s">
        <v>229</v>
      </c>
      <c r="D240" t="s">
        <v>85</v>
      </c>
      <c r="E240" t="s">
        <v>496</v>
      </c>
      <c r="F240">
        <v>3664.92</v>
      </c>
      <c r="G240" s="13">
        <v>44461</v>
      </c>
      <c r="H240" s="13">
        <v>44463</v>
      </c>
      <c r="I240">
        <v>0</v>
      </c>
      <c r="J240">
        <v>3664.92</v>
      </c>
      <c r="K240">
        <v>3664.92</v>
      </c>
      <c r="N240">
        <v>0</v>
      </c>
      <c r="O240">
        <v>103.9123</v>
      </c>
      <c r="P240">
        <v>100</v>
      </c>
      <c r="Q240">
        <v>100</v>
      </c>
      <c r="R240">
        <v>100</v>
      </c>
      <c r="S240">
        <v>100</v>
      </c>
      <c r="T240">
        <v>2.0299999999999998</v>
      </c>
      <c r="U240">
        <v>6</v>
      </c>
      <c r="W240" t="s">
        <v>681</v>
      </c>
    </row>
    <row r="241" spans="1:23" x14ac:dyDescent="0.25">
      <c r="A241" t="s">
        <v>736</v>
      </c>
      <c r="B241" t="str">
        <f t="shared" si="3"/>
        <v>CG2J00000198</v>
      </c>
      <c r="C241" t="s">
        <v>229</v>
      </c>
      <c r="D241" t="s">
        <v>85</v>
      </c>
      <c r="E241" t="s">
        <v>499</v>
      </c>
      <c r="F241">
        <v>25000</v>
      </c>
      <c r="G241" s="13">
        <v>44461</v>
      </c>
      <c r="H241" s="13">
        <v>44463</v>
      </c>
      <c r="I241">
        <v>3</v>
      </c>
      <c r="J241">
        <v>14183</v>
      </c>
      <c r="K241">
        <v>14186</v>
      </c>
      <c r="N241">
        <v>21.739130434782609</v>
      </c>
      <c r="O241">
        <v>91.905699999999996</v>
      </c>
      <c r="P241">
        <v>56.744</v>
      </c>
      <c r="Q241">
        <v>91</v>
      </c>
      <c r="R241">
        <v>100</v>
      </c>
      <c r="S241">
        <v>91</v>
      </c>
      <c r="T241">
        <v>9.15</v>
      </c>
      <c r="U241">
        <v>6</v>
      </c>
      <c r="W241" t="s">
        <v>497</v>
      </c>
    </row>
    <row r="242" spans="1:23" x14ac:dyDescent="0.25">
      <c r="A242" t="s">
        <v>737</v>
      </c>
      <c r="B242" t="str">
        <f t="shared" si="3"/>
        <v>GA2J00000200</v>
      </c>
      <c r="C242" t="s">
        <v>227</v>
      </c>
      <c r="D242" t="s">
        <v>85</v>
      </c>
      <c r="E242" t="s">
        <v>499</v>
      </c>
      <c r="F242">
        <v>10000</v>
      </c>
      <c r="G242" s="13">
        <v>44461</v>
      </c>
      <c r="H242" s="13">
        <v>44463</v>
      </c>
      <c r="I242">
        <v>0</v>
      </c>
      <c r="J242">
        <v>10000</v>
      </c>
      <c r="K242">
        <v>10000</v>
      </c>
      <c r="N242">
        <v>16.666666666666664</v>
      </c>
      <c r="O242">
        <v>92.589399999999998</v>
      </c>
      <c r="P242">
        <v>113.3</v>
      </c>
      <c r="Q242">
        <v>89</v>
      </c>
      <c r="R242">
        <v>95</v>
      </c>
      <c r="S242">
        <v>89</v>
      </c>
      <c r="T242">
        <v>8.08</v>
      </c>
      <c r="U242">
        <v>5.25</v>
      </c>
      <c r="W242" t="s">
        <v>497</v>
      </c>
    </row>
    <row r="243" spans="1:23" x14ac:dyDescent="0.25">
      <c r="A243" t="s">
        <v>738</v>
      </c>
      <c r="B243" t="str">
        <f t="shared" si="3"/>
        <v>GA2C00000025</v>
      </c>
      <c r="C243" t="s">
        <v>227</v>
      </c>
      <c r="D243" t="s">
        <v>85</v>
      </c>
      <c r="E243" t="s">
        <v>549</v>
      </c>
      <c r="F243">
        <v>7500</v>
      </c>
      <c r="G243" s="13">
        <v>44461</v>
      </c>
      <c r="H243" s="13">
        <v>44463</v>
      </c>
      <c r="I243">
        <v>1400</v>
      </c>
      <c r="J243">
        <v>15</v>
      </c>
      <c r="K243">
        <v>1415</v>
      </c>
      <c r="N243">
        <v>11.111111111111111</v>
      </c>
      <c r="O243">
        <v>95.791499999999999</v>
      </c>
      <c r="P243">
        <v>18.866700000000002</v>
      </c>
      <c r="Q243">
        <v>90</v>
      </c>
      <c r="R243">
        <v>96</v>
      </c>
      <c r="S243">
        <v>90</v>
      </c>
      <c r="T243">
        <v>8.0500000000000007</v>
      </c>
      <c r="U243">
        <v>7.25</v>
      </c>
      <c r="W243" t="s">
        <v>497</v>
      </c>
    </row>
    <row r="244" spans="1:23" x14ac:dyDescent="0.25">
      <c r="A244" t="s">
        <v>739</v>
      </c>
      <c r="B244" t="str">
        <f t="shared" si="3"/>
        <v>GA2A00000142</v>
      </c>
      <c r="C244" t="s">
        <v>227</v>
      </c>
      <c r="D244" t="s">
        <v>85</v>
      </c>
      <c r="E244" t="s">
        <v>496</v>
      </c>
      <c r="F244">
        <v>25000</v>
      </c>
      <c r="G244" s="13">
        <v>44461</v>
      </c>
      <c r="H244" s="13">
        <v>44463</v>
      </c>
      <c r="I244">
        <v>14545.45</v>
      </c>
      <c r="J244">
        <v>10454.549999999999</v>
      </c>
      <c r="K244">
        <v>25000</v>
      </c>
      <c r="N244">
        <v>27.777777777777779</v>
      </c>
      <c r="O244">
        <v>95.676000000000002</v>
      </c>
      <c r="P244">
        <v>220.26</v>
      </c>
      <c r="Q244">
        <v>95</v>
      </c>
      <c r="R244">
        <v>96.9</v>
      </c>
      <c r="S244">
        <v>95</v>
      </c>
      <c r="T244">
        <v>7.11</v>
      </c>
      <c r="U244">
        <v>4.75</v>
      </c>
      <c r="W244" t="s">
        <v>497</v>
      </c>
    </row>
    <row r="245" spans="1:23" x14ac:dyDescent="0.25">
      <c r="A245" t="s">
        <v>740</v>
      </c>
      <c r="B245" t="str">
        <f t="shared" si="3"/>
        <v>CM2B00000087</v>
      </c>
      <c r="C245" t="s">
        <v>225</v>
      </c>
      <c r="D245" t="s">
        <v>85</v>
      </c>
      <c r="E245" t="s">
        <v>507</v>
      </c>
      <c r="F245">
        <v>60000</v>
      </c>
      <c r="G245" s="13">
        <v>44468</v>
      </c>
      <c r="H245" s="13">
        <v>44470</v>
      </c>
      <c r="I245">
        <v>56650.7</v>
      </c>
      <c r="J245">
        <v>300</v>
      </c>
      <c r="K245">
        <v>56950.7</v>
      </c>
      <c r="N245">
        <v>38.095238095238095</v>
      </c>
      <c r="O245">
        <v>98.612099999999998</v>
      </c>
      <c r="P245">
        <v>103.26779999999999</v>
      </c>
      <c r="Q245">
        <v>98</v>
      </c>
      <c r="R245">
        <v>100</v>
      </c>
      <c r="S245">
        <v>98</v>
      </c>
      <c r="T245">
        <v>5.82</v>
      </c>
      <c r="U245">
        <v>5.5</v>
      </c>
      <c r="W245" t="s">
        <v>497</v>
      </c>
    </row>
    <row r="246" spans="1:23" x14ac:dyDescent="0.25">
      <c r="A246" t="s">
        <v>741</v>
      </c>
      <c r="B246" t="str">
        <f t="shared" si="3"/>
        <v>CG2A00000163</v>
      </c>
      <c r="C246" t="s">
        <v>229</v>
      </c>
      <c r="D246" t="s">
        <v>85</v>
      </c>
      <c r="E246" t="s">
        <v>496</v>
      </c>
      <c r="F246">
        <v>1924.92</v>
      </c>
      <c r="G246" s="13">
        <v>44468</v>
      </c>
      <c r="H246" s="13">
        <v>44470</v>
      </c>
      <c r="I246">
        <v>0</v>
      </c>
      <c r="J246">
        <v>1924.92</v>
      </c>
      <c r="K246">
        <v>1924.92</v>
      </c>
      <c r="N246">
        <v>0</v>
      </c>
      <c r="O246">
        <v>105.2932</v>
      </c>
      <c r="P246">
        <v>100</v>
      </c>
      <c r="Q246">
        <v>100</v>
      </c>
      <c r="R246">
        <v>100</v>
      </c>
      <c r="S246">
        <v>100</v>
      </c>
      <c r="T246">
        <v>0.68</v>
      </c>
      <c r="U246">
        <v>6</v>
      </c>
      <c r="W246" t="s">
        <v>681</v>
      </c>
    </row>
    <row r="247" spans="1:23" x14ac:dyDescent="0.25">
      <c r="A247" t="s">
        <v>742</v>
      </c>
      <c r="B247" t="str">
        <f t="shared" si="3"/>
        <v>CG2A00000247</v>
      </c>
      <c r="C247" t="s">
        <v>229</v>
      </c>
      <c r="D247" t="s">
        <v>85</v>
      </c>
      <c r="E247" t="s">
        <v>496</v>
      </c>
      <c r="F247">
        <v>15000</v>
      </c>
      <c r="G247" s="13">
        <v>44468</v>
      </c>
      <c r="H247" s="13">
        <v>44470</v>
      </c>
      <c r="I247">
        <v>4000</v>
      </c>
      <c r="J247">
        <v>4146.3500000000004</v>
      </c>
      <c r="K247">
        <v>8146.35</v>
      </c>
      <c r="N247">
        <v>21.739130434782609</v>
      </c>
      <c r="O247">
        <v>90.044300000000007</v>
      </c>
      <c r="P247">
        <v>54.308999999999997</v>
      </c>
      <c r="Q247">
        <v>90</v>
      </c>
      <c r="R247">
        <v>93</v>
      </c>
      <c r="S247">
        <v>90</v>
      </c>
      <c r="T247">
        <v>11.19</v>
      </c>
      <c r="U247">
        <v>5.5</v>
      </c>
      <c r="W247" t="s">
        <v>497</v>
      </c>
    </row>
    <row r="248" spans="1:23" x14ac:dyDescent="0.25">
      <c r="A248" t="s">
        <v>743</v>
      </c>
      <c r="B248" t="str">
        <f t="shared" si="3"/>
        <v>GA2D00000024</v>
      </c>
      <c r="C248" t="s">
        <v>227</v>
      </c>
      <c r="D248" t="s">
        <v>85</v>
      </c>
      <c r="E248" t="s">
        <v>555</v>
      </c>
      <c r="F248">
        <v>7500</v>
      </c>
      <c r="G248" s="13">
        <v>44468</v>
      </c>
      <c r="H248" s="13">
        <v>44470</v>
      </c>
      <c r="J248">
        <v>0</v>
      </c>
      <c r="N248">
        <v>5.5555555555555554</v>
      </c>
      <c r="T248" t="s">
        <v>712</v>
      </c>
      <c r="U248">
        <v>8.25</v>
      </c>
      <c r="W248" t="s">
        <v>497</v>
      </c>
    </row>
    <row r="249" spans="1:23" x14ac:dyDescent="0.25">
      <c r="A249" t="s">
        <v>744</v>
      </c>
      <c r="B249" t="str">
        <f t="shared" si="3"/>
        <v>GA2B00000083</v>
      </c>
      <c r="C249" t="s">
        <v>227</v>
      </c>
      <c r="D249" t="s">
        <v>85</v>
      </c>
      <c r="E249" t="s">
        <v>507</v>
      </c>
      <c r="F249">
        <v>15000</v>
      </c>
      <c r="G249" s="13">
        <v>44468</v>
      </c>
      <c r="H249" s="13">
        <v>44470</v>
      </c>
      <c r="J249">
        <v>0</v>
      </c>
      <c r="N249">
        <v>11.111111111111111</v>
      </c>
      <c r="T249" t="s">
        <v>712</v>
      </c>
      <c r="U249">
        <v>6.25</v>
      </c>
      <c r="W249" t="s">
        <v>497</v>
      </c>
    </row>
    <row r="250" spans="1:23" x14ac:dyDescent="0.25">
      <c r="A250" t="s">
        <v>745</v>
      </c>
      <c r="B250" t="str">
        <f t="shared" si="3"/>
        <v>GA2A00000159</v>
      </c>
      <c r="C250" t="s">
        <v>227</v>
      </c>
      <c r="D250" t="s">
        <v>85</v>
      </c>
      <c r="E250" t="s">
        <v>496</v>
      </c>
      <c r="F250">
        <v>20000</v>
      </c>
      <c r="G250" s="13">
        <v>44468</v>
      </c>
      <c r="H250" s="13">
        <v>44470</v>
      </c>
      <c r="I250">
        <v>7998.33</v>
      </c>
      <c r="J250">
        <v>12001.67</v>
      </c>
      <c r="K250">
        <v>20000</v>
      </c>
      <c r="N250">
        <v>33.333333333333329</v>
      </c>
      <c r="O250">
        <v>93.737499999999997</v>
      </c>
      <c r="P250">
        <v>150.05000000000001</v>
      </c>
      <c r="Q250">
        <v>90</v>
      </c>
      <c r="R250">
        <v>96</v>
      </c>
      <c r="S250">
        <v>90</v>
      </c>
      <c r="T250">
        <v>8.2100000000000009</v>
      </c>
      <c r="U250">
        <v>4.75</v>
      </c>
      <c r="W250" t="s">
        <v>497</v>
      </c>
    </row>
    <row r="251" spans="1:23" x14ac:dyDescent="0.25">
      <c r="A251" t="s">
        <v>746</v>
      </c>
      <c r="B251" t="str">
        <f t="shared" si="3"/>
        <v>GA2J00000218</v>
      </c>
      <c r="C251" t="s">
        <v>227</v>
      </c>
      <c r="D251" t="s">
        <v>85</v>
      </c>
      <c r="E251" t="s">
        <v>499</v>
      </c>
      <c r="F251">
        <v>20000</v>
      </c>
      <c r="G251" s="13">
        <v>44468</v>
      </c>
      <c r="H251" s="13">
        <v>44470</v>
      </c>
      <c r="I251">
        <v>4000</v>
      </c>
      <c r="J251">
        <v>7500</v>
      </c>
      <c r="K251">
        <v>11500</v>
      </c>
      <c r="N251">
        <v>22.222222222222221</v>
      </c>
      <c r="O251">
        <v>89.130399999999995</v>
      </c>
      <c r="P251">
        <v>57.5</v>
      </c>
      <c r="Q251">
        <v>88.1</v>
      </c>
      <c r="R251">
        <v>90</v>
      </c>
      <c r="S251">
        <v>88.1</v>
      </c>
      <c r="T251">
        <v>9.5</v>
      </c>
      <c r="U251">
        <v>5.25</v>
      </c>
      <c r="W251" t="s">
        <v>497</v>
      </c>
    </row>
    <row r="252" spans="1:23" x14ac:dyDescent="0.25">
      <c r="A252" t="s">
        <v>747</v>
      </c>
      <c r="B252" t="str">
        <f t="shared" si="3"/>
        <v>TD2J00000058</v>
      </c>
      <c r="C252" t="s">
        <v>237</v>
      </c>
      <c r="D252" t="s">
        <v>85</v>
      </c>
      <c r="E252" t="s">
        <v>499</v>
      </c>
      <c r="F252">
        <v>30000</v>
      </c>
      <c r="G252" s="13">
        <v>44482</v>
      </c>
      <c r="H252" s="13">
        <v>44484</v>
      </c>
      <c r="I252">
        <v>13000</v>
      </c>
      <c r="J252">
        <v>10000</v>
      </c>
      <c r="K252">
        <v>23000</v>
      </c>
      <c r="N252">
        <v>33.333333333333329</v>
      </c>
      <c r="O252">
        <v>91.391300000000001</v>
      </c>
      <c r="P252">
        <v>76.666700000000006</v>
      </c>
      <c r="Q252">
        <v>90</v>
      </c>
      <c r="R252">
        <v>95.5</v>
      </c>
      <c r="S252">
        <v>90</v>
      </c>
      <c r="T252">
        <v>9.36</v>
      </c>
      <c r="U252">
        <v>6</v>
      </c>
      <c r="W252" t="s">
        <v>497</v>
      </c>
    </row>
    <row r="253" spans="1:23" x14ac:dyDescent="0.25">
      <c r="A253" t="s">
        <v>748</v>
      </c>
      <c r="B253" t="str">
        <f t="shared" si="3"/>
        <v>CF2J00000034</v>
      </c>
      <c r="C253" t="s">
        <v>634</v>
      </c>
      <c r="D253" t="s">
        <v>85</v>
      </c>
      <c r="E253" t="s">
        <v>499</v>
      </c>
      <c r="F253">
        <v>15000</v>
      </c>
      <c r="G253" s="13">
        <v>44489</v>
      </c>
      <c r="H253" s="13">
        <v>44491</v>
      </c>
      <c r="I253">
        <v>0</v>
      </c>
      <c r="J253">
        <v>6000</v>
      </c>
      <c r="K253">
        <v>6000</v>
      </c>
      <c r="N253">
        <v>22.222222222222221</v>
      </c>
      <c r="O253">
        <v>87.9</v>
      </c>
      <c r="P253">
        <v>153.33330000000001</v>
      </c>
      <c r="Q253">
        <v>87.9</v>
      </c>
      <c r="R253">
        <v>87.9</v>
      </c>
      <c r="S253">
        <v>87.9</v>
      </c>
      <c r="T253">
        <v>11.1</v>
      </c>
      <c r="U253">
        <v>6.25</v>
      </c>
      <c r="W253" t="s">
        <v>497</v>
      </c>
    </row>
    <row r="254" spans="1:23" x14ac:dyDescent="0.25">
      <c r="A254" t="s">
        <v>749</v>
      </c>
      <c r="B254" t="str">
        <f t="shared" si="3"/>
        <v>CG2A00000254</v>
      </c>
      <c r="C254" t="s">
        <v>229</v>
      </c>
      <c r="D254" t="s">
        <v>85</v>
      </c>
      <c r="E254" t="s">
        <v>496</v>
      </c>
      <c r="F254">
        <v>15000</v>
      </c>
      <c r="G254" s="13">
        <v>44489</v>
      </c>
      <c r="H254" s="13">
        <v>44491</v>
      </c>
      <c r="I254">
        <v>100</v>
      </c>
      <c r="J254">
        <v>970</v>
      </c>
      <c r="K254">
        <v>1070</v>
      </c>
      <c r="N254">
        <v>13.043478260869565</v>
      </c>
      <c r="O254">
        <v>91.459800000000001</v>
      </c>
      <c r="P254">
        <v>7.218</v>
      </c>
      <c r="Q254">
        <v>91</v>
      </c>
      <c r="R254">
        <v>92.1</v>
      </c>
      <c r="S254">
        <v>91</v>
      </c>
      <c r="T254">
        <v>10.07</v>
      </c>
      <c r="U254">
        <v>5.25</v>
      </c>
      <c r="W254" t="s">
        <v>497</v>
      </c>
    </row>
    <row r="255" spans="1:23" x14ac:dyDescent="0.25">
      <c r="A255" t="s">
        <v>717</v>
      </c>
      <c r="B255" t="str">
        <f t="shared" si="3"/>
        <v>GA2B00000083</v>
      </c>
      <c r="C255" t="s">
        <v>227</v>
      </c>
      <c r="D255" t="s">
        <v>85</v>
      </c>
      <c r="E255" t="s">
        <v>507</v>
      </c>
      <c r="F255">
        <v>15000</v>
      </c>
      <c r="G255" s="13">
        <v>44489</v>
      </c>
      <c r="H255" s="13">
        <v>44491</v>
      </c>
      <c r="J255">
        <v>0</v>
      </c>
      <c r="N255">
        <v>0</v>
      </c>
      <c r="O255">
        <v>0</v>
      </c>
      <c r="P255">
        <v>0</v>
      </c>
      <c r="T255" t="s">
        <v>750</v>
      </c>
      <c r="W255" t="s">
        <v>497</v>
      </c>
    </row>
    <row r="256" spans="1:23" x14ac:dyDescent="0.25">
      <c r="A256" t="s">
        <v>751</v>
      </c>
      <c r="B256" t="str">
        <f t="shared" si="3"/>
        <v>GA2D00000024</v>
      </c>
      <c r="C256" t="s">
        <v>227</v>
      </c>
      <c r="D256" t="s">
        <v>85</v>
      </c>
      <c r="E256" t="s">
        <v>555</v>
      </c>
      <c r="F256">
        <v>7500</v>
      </c>
      <c r="G256" s="13">
        <v>44489</v>
      </c>
      <c r="H256" s="13">
        <v>44491</v>
      </c>
      <c r="J256">
        <v>0</v>
      </c>
      <c r="N256">
        <v>0</v>
      </c>
      <c r="O256">
        <v>0</v>
      </c>
      <c r="T256" t="s">
        <v>750</v>
      </c>
      <c r="W256" t="s">
        <v>497</v>
      </c>
    </row>
    <row r="257" spans="1:23" x14ac:dyDescent="0.25">
      <c r="A257" t="s">
        <v>752</v>
      </c>
      <c r="B257" t="str">
        <f t="shared" si="3"/>
        <v>GA2J00000226</v>
      </c>
      <c r="C257" t="s">
        <v>227</v>
      </c>
      <c r="D257" t="s">
        <v>85</v>
      </c>
      <c r="E257" t="s">
        <v>499</v>
      </c>
      <c r="F257">
        <v>30000</v>
      </c>
      <c r="G257" s="13">
        <v>44489</v>
      </c>
      <c r="H257" s="13">
        <v>44491</v>
      </c>
      <c r="I257">
        <v>3111.36</v>
      </c>
      <c r="J257">
        <v>8000</v>
      </c>
      <c r="K257">
        <v>11111.36</v>
      </c>
      <c r="N257">
        <v>27.777777777777779</v>
      </c>
      <c r="O257">
        <v>90.264099999999999</v>
      </c>
      <c r="P257">
        <v>37.071199999999997</v>
      </c>
      <c r="Q257">
        <v>88.1</v>
      </c>
      <c r="R257">
        <v>94</v>
      </c>
      <c r="S257">
        <v>88.1</v>
      </c>
      <c r="T257">
        <v>9.0299999999999994</v>
      </c>
      <c r="U257">
        <v>5.25</v>
      </c>
      <c r="W257" t="s">
        <v>497</v>
      </c>
    </row>
    <row r="258" spans="1:23" x14ac:dyDescent="0.25">
      <c r="A258" t="s">
        <v>753</v>
      </c>
      <c r="B258" t="str">
        <f t="shared" si="3"/>
        <v>TD2A00000461</v>
      </c>
      <c r="C258" t="s">
        <v>237</v>
      </c>
      <c r="D258" t="s">
        <v>85</v>
      </c>
      <c r="E258" t="s">
        <v>496</v>
      </c>
      <c r="F258">
        <v>8000</v>
      </c>
      <c r="G258" s="13">
        <v>44489</v>
      </c>
      <c r="H258" s="13">
        <v>44491</v>
      </c>
      <c r="J258">
        <v>0</v>
      </c>
      <c r="N258">
        <v>25</v>
      </c>
      <c r="O258">
        <v>0</v>
      </c>
      <c r="T258" t="s">
        <v>754</v>
      </c>
      <c r="W258" t="s">
        <v>497</v>
      </c>
    </row>
    <row r="259" spans="1:23" x14ac:dyDescent="0.25">
      <c r="A259" t="s">
        <v>755</v>
      </c>
      <c r="B259" t="str">
        <f t="shared" si="3"/>
        <v>CG2A00000254</v>
      </c>
      <c r="C259" t="s">
        <v>229</v>
      </c>
      <c r="D259" t="s">
        <v>85</v>
      </c>
      <c r="E259" t="s">
        <v>496</v>
      </c>
      <c r="F259">
        <v>10000</v>
      </c>
      <c r="G259" s="13">
        <v>44496</v>
      </c>
      <c r="H259" s="13">
        <v>44498</v>
      </c>
      <c r="I259">
        <v>2250</v>
      </c>
      <c r="J259">
        <v>4028.59</v>
      </c>
      <c r="K259">
        <v>6278.59</v>
      </c>
      <c r="N259">
        <v>30.434782608695656</v>
      </c>
      <c r="O259">
        <v>90.476399999999998</v>
      </c>
      <c r="P259">
        <v>62.785899999999998</v>
      </c>
      <c r="Q259">
        <v>90</v>
      </c>
      <c r="R259">
        <v>95</v>
      </c>
      <c r="S259">
        <v>90</v>
      </c>
      <c r="T259">
        <v>10.66</v>
      </c>
      <c r="U259">
        <v>5.25</v>
      </c>
      <c r="W259" t="s">
        <v>497</v>
      </c>
    </row>
    <row r="260" spans="1:23" x14ac:dyDescent="0.25">
      <c r="A260" t="s">
        <v>756</v>
      </c>
      <c r="B260" t="str">
        <f t="shared" si="3"/>
        <v>CM2J00000063</v>
      </c>
      <c r="C260" t="s">
        <v>225</v>
      </c>
      <c r="D260" t="s">
        <v>85</v>
      </c>
      <c r="E260" t="s">
        <v>499</v>
      </c>
      <c r="F260">
        <v>40000</v>
      </c>
      <c r="G260" s="13">
        <v>44496</v>
      </c>
      <c r="H260" s="13">
        <v>44498</v>
      </c>
      <c r="I260">
        <v>20500</v>
      </c>
      <c r="J260">
        <v>10000</v>
      </c>
      <c r="K260">
        <v>30500</v>
      </c>
      <c r="N260">
        <v>23.809523809523807</v>
      </c>
      <c r="O260">
        <v>98.808199999999999</v>
      </c>
      <c r="P260">
        <v>87.525000000000006</v>
      </c>
      <c r="Q260">
        <v>98.5</v>
      </c>
      <c r="R260">
        <v>99.5</v>
      </c>
      <c r="S260">
        <v>98.5</v>
      </c>
      <c r="T260">
        <v>4.13</v>
      </c>
      <c r="U260">
        <v>3.7</v>
      </c>
      <c r="W260" t="s">
        <v>497</v>
      </c>
    </row>
    <row r="261" spans="1:23" x14ac:dyDescent="0.25">
      <c r="A261" t="s">
        <v>757</v>
      </c>
      <c r="B261" t="str">
        <f t="shared" ref="B261:B324" si="4">MID(A261,1,12)</f>
        <v>TD2J00000066</v>
      </c>
      <c r="C261" t="s">
        <v>237</v>
      </c>
      <c r="D261" t="s">
        <v>85</v>
      </c>
      <c r="E261" t="s">
        <v>499</v>
      </c>
      <c r="F261">
        <v>8000</v>
      </c>
      <c r="G261" s="13">
        <v>44496</v>
      </c>
      <c r="H261" s="13">
        <v>44498</v>
      </c>
      <c r="I261">
        <v>7041.16</v>
      </c>
      <c r="J261">
        <v>0</v>
      </c>
      <c r="K261">
        <v>7041.16</v>
      </c>
      <c r="N261">
        <v>33.333333333333329</v>
      </c>
      <c r="O261">
        <v>100</v>
      </c>
      <c r="P261">
        <v>118.0145</v>
      </c>
      <c r="Q261">
        <v>100</v>
      </c>
      <c r="R261">
        <v>100</v>
      </c>
      <c r="S261">
        <v>100</v>
      </c>
      <c r="T261">
        <v>5</v>
      </c>
      <c r="U261">
        <v>5</v>
      </c>
      <c r="W261" t="s">
        <v>497</v>
      </c>
    </row>
    <row r="262" spans="1:23" x14ac:dyDescent="0.25">
      <c r="A262" t="s">
        <v>758</v>
      </c>
      <c r="B262" t="str">
        <f t="shared" si="4"/>
        <v>TD2B00000098</v>
      </c>
      <c r="C262" t="s">
        <v>237</v>
      </c>
      <c r="D262" t="s">
        <v>85</v>
      </c>
      <c r="E262" t="s">
        <v>507</v>
      </c>
      <c r="F262">
        <v>9000</v>
      </c>
      <c r="G262" s="13">
        <v>44503</v>
      </c>
      <c r="H262" s="13">
        <v>44505</v>
      </c>
      <c r="I262">
        <v>589.5</v>
      </c>
      <c r="J262">
        <v>0</v>
      </c>
      <c r="K262">
        <v>589.5</v>
      </c>
      <c r="N262">
        <v>16.666666666666664</v>
      </c>
      <c r="O262">
        <v>100</v>
      </c>
      <c r="P262">
        <v>6.6611000000000002</v>
      </c>
      <c r="Q262">
        <v>100</v>
      </c>
      <c r="R262">
        <v>100</v>
      </c>
      <c r="S262">
        <v>100</v>
      </c>
      <c r="T262">
        <v>5</v>
      </c>
      <c r="U262">
        <v>5</v>
      </c>
      <c r="W262" t="s">
        <v>497</v>
      </c>
    </row>
    <row r="263" spans="1:23" x14ac:dyDescent="0.25">
      <c r="A263" t="s">
        <v>759</v>
      </c>
      <c r="B263" t="str">
        <f t="shared" si="4"/>
        <v>TD2A00000479</v>
      </c>
      <c r="C263" t="s">
        <v>237</v>
      </c>
      <c r="D263" t="s">
        <v>85</v>
      </c>
      <c r="E263" t="s">
        <v>496</v>
      </c>
      <c r="F263">
        <v>30000</v>
      </c>
      <c r="G263" s="13">
        <v>44510</v>
      </c>
      <c r="H263" s="13">
        <v>44512</v>
      </c>
      <c r="I263">
        <v>0</v>
      </c>
      <c r="J263">
        <v>11820</v>
      </c>
      <c r="K263">
        <v>11820</v>
      </c>
      <c r="N263">
        <v>41.666666666666671</v>
      </c>
      <c r="O263">
        <v>90.110799999999998</v>
      </c>
      <c r="P263">
        <v>39.4</v>
      </c>
      <c r="Q263">
        <v>90</v>
      </c>
      <c r="R263">
        <v>92</v>
      </c>
      <c r="S263">
        <v>90</v>
      </c>
      <c r="T263">
        <v>11.15</v>
      </c>
      <c r="U263">
        <v>5.5</v>
      </c>
      <c r="W263" t="s">
        <v>497</v>
      </c>
    </row>
    <row r="264" spans="1:23" x14ac:dyDescent="0.25">
      <c r="A264" t="s">
        <v>760</v>
      </c>
      <c r="B264" t="str">
        <f t="shared" si="4"/>
        <v>GA2J00000226</v>
      </c>
      <c r="C264" t="s">
        <v>227</v>
      </c>
      <c r="D264" t="s">
        <v>85</v>
      </c>
      <c r="E264" t="s">
        <v>499</v>
      </c>
      <c r="F264">
        <v>15000</v>
      </c>
      <c r="G264" s="13">
        <v>44517</v>
      </c>
      <c r="H264" s="13">
        <v>44519</v>
      </c>
      <c r="I264">
        <v>9605.49</v>
      </c>
      <c r="J264">
        <v>5394.51</v>
      </c>
      <c r="K264">
        <v>15000</v>
      </c>
      <c r="N264">
        <v>33.333333333333329</v>
      </c>
      <c r="O264">
        <v>92.460599999999999</v>
      </c>
      <c r="P264">
        <v>138.8708</v>
      </c>
      <c r="Q264">
        <v>90</v>
      </c>
      <c r="R264">
        <v>95</v>
      </c>
      <c r="S264">
        <v>90</v>
      </c>
      <c r="T264">
        <v>8.1300000000000008</v>
      </c>
      <c r="U264">
        <v>5.25</v>
      </c>
      <c r="W264" t="s">
        <v>497</v>
      </c>
    </row>
    <row r="265" spans="1:23" x14ac:dyDescent="0.25">
      <c r="A265" t="s">
        <v>761</v>
      </c>
      <c r="B265" t="str">
        <f t="shared" si="4"/>
        <v>CM2L00000036</v>
      </c>
      <c r="C265" t="s">
        <v>225</v>
      </c>
      <c r="D265" t="s">
        <v>85</v>
      </c>
      <c r="E265" t="s">
        <v>547</v>
      </c>
      <c r="F265">
        <v>40000</v>
      </c>
      <c r="G265" s="13">
        <v>44524</v>
      </c>
      <c r="H265" s="13">
        <v>44526</v>
      </c>
      <c r="I265">
        <v>31835.9</v>
      </c>
      <c r="J265">
        <v>300</v>
      </c>
      <c r="K265">
        <v>32135.9</v>
      </c>
      <c r="N265">
        <v>33.333333333333329</v>
      </c>
      <c r="O265">
        <v>98.387100000000004</v>
      </c>
      <c r="P265">
        <v>83.939800000000005</v>
      </c>
      <c r="Q265">
        <v>98</v>
      </c>
      <c r="R265">
        <v>100</v>
      </c>
      <c r="S265">
        <v>98</v>
      </c>
      <c r="T265">
        <v>6.23</v>
      </c>
      <c r="U265">
        <v>5.9</v>
      </c>
      <c r="W265" t="s">
        <v>497</v>
      </c>
    </row>
    <row r="266" spans="1:23" x14ac:dyDescent="0.25">
      <c r="A266" t="s">
        <v>762</v>
      </c>
      <c r="B266" t="str">
        <f t="shared" si="4"/>
        <v>CG2A00000254</v>
      </c>
      <c r="C266" t="s">
        <v>229</v>
      </c>
      <c r="D266" t="s">
        <v>85</v>
      </c>
      <c r="E266" t="s">
        <v>496</v>
      </c>
      <c r="F266">
        <v>10000</v>
      </c>
      <c r="G266" s="13">
        <v>44524</v>
      </c>
      <c r="H266" s="13">
        <v>44526</v>
      </c>
      <c r="I266">
        <v>1500</v>
      </c>
      <c r="J266">
        <v>3547.25</v>
      </c>
      <c r="K266">
        <v>5047.25</v>
      </c>
      <c r="N266">
        <v>21.739130434782609</v>
      </c>
      <c r="O266">
        <v>90.808800000000005</v>
      </c>
      <c r="P266">
        <v>50.472499999999997</v>
      </c>
      <c r="Q266">
        <v>90</v>
      </c>
      <c r="R266">
        <v>96</v>
      </c>
      <c r="S266">
        <v>90</v>
      </c>
      <c r="T266">
        <v>10.46</v>
      </c>
      <c r="U266">
        <v>5.25</v>
      </c>
      <c r="W266" t="s">
        <v>497</v>
      </c>
    </row>
    <row r="267" spans="1:23" x14ac:dyDescent="0.25">
      <c r="A267" t="s">
        <v>763</v>
      </c>
      <c r="B267" t="str">
        <f t="shared" si="4"/>
        <v>CG2K00000054</v>
      </c>
      <c r="C267" t="s">
        <v>229</v>
      </c>
      <c r="D267" t="s">
        <v>85</v>
      </c>
      <c r="E267" t="s">
        <v>516</v>
      </c>
      <c r="F267">
        <v>25000</v>
      </c>
      <c r="G267" s="13">
        <v>44524</v>
      </c>
      <c r="H267" s="13">
        <v>44526</v>
      </c>
      <c r="I267">
        <v>6000</v>
      </c>
      <c r="J267">
        <v>14275.849999999999</v>
      </c>
      <c r="K267">
        <v>20275.849999999999</v>
      </c>
      <c r="N267">
        <v>30.434782608695656</v>
      </c>
      <c r="O267">
        <v>89.262100000000004</v>
      </c>
      <c r="P267">
        <v>81.103399999999993</v>
      </c>
      <c r="Q267">
        <v>89</v>
      </c>
      <c r="R267">
        <v>98.5</v>
      </c>
      <c r="S267">
        <v>89</v>
      </c>
      <c r="T267">
        <v>9.5399999999999991</v>
      </c>
      <c r="U267">
        <v>6.25</v>
      </c>
      <c r="W267" t="s">
        <v>497</v>
      </c>
    </row>
    <row r="268" spans="1:23" x14ac:dyDescent="0.25">
      <c r="A268" t="s">
        <v>764</v>
      </c>
      <c r="B268" t="str">
        <f t="shared" si="4"/>
        <v>CM2A00000070</v>
      </c>
      <c r="C268" t="s">
        <v>225</v>
      </c>
      <c r="D268" t="s">
        <v>85</v>
      </c>
      <c r="E268" t="s">
        <v>496</v>
      </c>
      <c r="F268">
        <v>25000</v>
      </c>
      <c r="G268" s="13">
        <v>44538</v>
      </c>
      <c r="H268" s="13">
        <v>44540</v>
      </c>
      <c r="I268">
        <v>25000</v>
      </c>
      <c r="J268">
        <v>0</v>
      </c>
      <c r="K268">
        <v>25000</v>
      </c>
      <c r="N268">
        <v>19.047619047619047</v>
      </c>
      <c r="O268">
        <v>98.22</v>
      </c>
      <c r="P268">
        <v>162</v>
      </c>
      <c r="Q268">
        <v>98</v>
      </c>
      <c r="R268">
        <v>99</v>
      </c>
      <c r="S268">
        <v>98</v>
      </c>
      <c r="T268">
        <v>4.34</v>
      </c>
      <c r="U268">
        <v>3.4</v>
      </c>
      <c r="W268" t="s">
        <v>497</v>
      </c>
    </row>
    <row r="269" spans="1:23" x14ac:dyDescent="0.25">
      <c r="A269" t="s">
        <v>765</v>
      </c>
      <c r="B269" t="str">
        <f t="shared" si="4"/>
        <v>CG2A00000262</v>
      </c>
      <c r="C269" t="s">
        <v>229</v>
      </c>
      <c r="D269" t="s">
        <v>85</v>
      </c>
      <c r="E269" t="s">
        <v>496</v>
      </c>
      <c r="F269">
        <v>20000</v>
      </c>
      <c r="G269" s="13">
        <v>44538</v>
      </c>
      <c r="H269" s="13">
        <v>44540</v>
      </c>
      <c r="I269">
        <v>50</v>
      </c>
      <c r="J269">
        <v>4874.5</v>
      </c>
      <c r="K269">
        <v>4924.5</v>
      </c>
      <c r="N269">
        <v>21.739130434782609</v>
      </c>
      <c r="O269">
        <v>90.1982</v>
      </c>
      <c r="P269">
        <v>24.622499999999999</v>
      </c>
      <c r="Q269">
        <v>90</v>
      </c>
      <c r="R269">
        <v>96</v>
      </c>
      <c r="S269">
        <v>90</v>
      </c>
      <c r="T269">
        <v>10.83</v>
      </c>
      <c r="U269">
        <v>5.25</v>
      </c>
      <c r="W269" t="s">
        <v>497</v>
      </c>
    </row>
    <row r="270" spans="1:23" x14ac:dyDescent="0.25">
      <c r="A270" t="s">
        <v>766</v>
      </c>
      <c r="B270" t="str">
        <f t="shared" si="4"/>
        <v>GA2J00000234</v>
      </c>
      <c r="C270" t="s">
        <v>227</v>
      </c>
      <c r="D270" t="s">
        <v>85</v>
      </c>
      <c r="E270" t="s">
        <v>499</v>
      </c>
      <c r="F270">
        <v>15000</v>
      </c>
      <c r="G270" s="13">
        <v>44538</v>
      </c>
      <c r="H270" s="13">
        <v>44540</v>
      </c>
      <c r="I270">
        <v>5500</v>
      </c>
      <c r="J270">
        <v>2700</v>
      </c>
      <c r="K270">
        <v>8200</v>
      </c>
      <c r="N270">
        <v>22.222222222222221</v>
      </c>
      <c r="O270">
        <v>90.365899999999996</v>
      </c>
      <c r="P270">
        <v>55.366700000000002</v>
      </c>
      <c r="Q270">
        <v>89</v>
      </c>
      <c r="R270">
        <v>92</v>
      </c>
      <c r="S270">
        <v>89</v>
      </c>
      <c r="T270">
        <v>8.99</v>
      </c>
      <c r="U270">
        <v>5.25</v>
      </c>
      <c r="W270" t="s">
        <v>497</v>
      </c>
    </row>
    <row r="271" spans="1:23" x14ac:dyDescent="0.25">
      <c r="A271" t="s">
        <v>767</v>
      </c>
      <c r="B271" t="str">
        <f t="shared" si="4"/>
        <v>GA2B00000083</v>
      </c>
      <c r="C271" t="s">
        <v>227</v>
      </c>
      <c r="D271" t="s">
        <v>85</v>
      </c>
      <c r="E271" t="s">
        <v>507</v>
      </c>
      <c r="F271">
        <v>17500</v>
      </c>
      <c r="G271" s="13">
        <v>44538</v>
      </c>
      <c r="H271" s="13">
        <v>44540</v>
      </c>
      <c r="I271">
        <v>7149.76</v>
      </c>
      <c r="J271">
        <v>7733.6</v>
      </c>
      <c r="K271">
        <v>14883.36</v>
      </c>
      <c r="N271">
        <v>33.333333333333329</v>
      </c>
      <c r="O271">
        <v>91.245999999999995</v>
      </c>
      <c r="P271">
        <v>85.049099999999996</v>
      </c>
      <c r="Q271">
        <v>88</v>
      </c>
      <c r="R271">
        <v>92</v>
      </c>
      <c r="S271">
        <v>88</v>
      </c>
      <c r="T271">
        <v>8.43</v>
      </c>
      <c r="U271">
        <v>6.25</v>
      </c>
      <c r="W271" t="s">
        <v>497</v>
      </c>
    </row>
    <row r="272" spans="1:23" x14ac:dyDescent="0.25">
      <c r="A272" t="s">
        <v>768</v>
      </c>
      <c r="B272" t="str">
        <f t="shared" si="4"/>
        <v>TD2A00000487</v>
      </c>
      <c r="C272" t="s">
        <v>237</v>
      </c>
      <c r="D272" t="s">
        <v>85</v>
      </c>
      <c r="E272" t="s">
        <v>496</v>
      </c>
      <c r="F272">
        <v>30000</v>
      </c>
      <c r="G272" s="13">
        <v>44538</v>
      </c>
      <c r="H272" s="13">
        <v>44540</v>
      </c>
      <c r="J272">
        <v>0</v>
      </c>
      <c r="N272">
        <v>16.666666666666664</v>
      </c>
      <c r="T272" t="s">
        <v>754</v>
      </c>
      <c r="W272" t="s">
        <v>497</v>
      </c>
    </row>
    <row r="273" spans="1:23" x14ac:dyDescent="0.25">
      <c r="A273" t="s">
        <v>769</v>
      </c>
      <c r="B273" t="str">
        <f t="shared" si="4"/>
        <v>CM2A00000070</v>
      </c>
      <c r="C273" t="s">
        <v>225</v>
      </c>
      <c r="D273" t="s">
        <v>85</v>
      </c>
      <c r="E273" t="s">
        <v>496</v>
      </c>
      <c r="F273">
        <v>20000</v>
      </c>
      <c r="G273" s="13">
        <v>44545</v>
      </c>
      <c r="H273" s="13">
        <v>44547</v>
      </c>
      <c r="J273">
        <v>0</v>
      </c>
      <c r="N273">
        <v>4.7619047619047619</v>
      </c>
      <c r="T273" t="s">
        <v>643</v>
      </c>
      <c r="W273" t="s">
        <v>497</v>
      </c>
    </row>
    <row r="274" spans="1:23" x14ac:dyDescent="0.25">
      <c r="A274" t="s">
        <v>770</v>
      </c>
      <c r="B274" t="str">
        <f t="shared" si="4"/>
        <v>CM2A00000088</v>
      </c>
      <c r="C274" t="s">
        <v>225</v>
      </c>
      <c r="D274" t="s">
        <v>85</v>
      </c>
      <c r="E274" t="s">
        <v>496</v>
      </c>
      <c r="F274">
        <v>20000</v>
      </c>
      <c r="G274" s="13">
        <v>44545</v>
      </c>
      <c r="H274" s="13">
        <v>44547</v>
      </c>
      <c r="I274">
        <v>20000</v>
      </c>
      <c r="J274">
        <v>0</v>
      </c>
      <c r="K274">
        <v>20000</v>
      </c>
      <c r="N274">
        <v>0</v>
      </c>
      <c r="T274" t="s">
        <v>542</v>
      </c>
      <c r="U274">
        <v>3.4</v>
      </c>
      <c r="W274" t="s">
        <v>542</v>
      </c>
    </row>
    <row r="275" spans="1:23" x14ac:dyDescent="0.25">
      <c r="A275" t="s">
        <v>771</v>
      </c>
      <c r="B275" t="str">
        <f t="shared" si="4"/>
        <v>CG2A00000262</v>
      </c>
      <c r="C275" t="s">
        <v>229</v>
      </c>
      <c r="D275" t="s">
        <v>85</v>
      </c>
      <c r="E275" t="s">
        <v>496</v>
      </c>
      <c r="F275">
        <v>15000</v>
      </c>
      <c r="G275" s="13">
        <v>44545</v>
      </c>
      <c r="H275" s="13">
        <v>44547</v>
      </c>
      <c r="I275">
        <v>0</v>
      </c>
      <c r="J275">
        <v>3309</v>
      </c>
      <c r="K275">
        <v>3309</v>
      </c>
      <c r="N275">
        <v>21.739130434782609</v>
      </c>
      <c r="O275">
        <v>90.203100000000006</v>
      </c>
      <c r="P275">
        <v>22.06</v>
      </c>
      <c r="Q275">
        <v>90</v>
      </c>
      <c r="R275">
        <v>91</v>
      </c>
      <c r="S275">
        <v>90</v>
      </c>
      <c r="T275">
        <v>10.83</v>
      </c>
      <c r="U275">
        <v>5.25</v>
      </c>
      <c r="W275" t="s">
        <v>497</v>
      </c>
    </row>
    <row r="276" spans="1:23" x14ac:dyDescent="0.25">
      <c r="A276" t="s">
        <v>772</v>
      </c>
      <c r="B276" t="str">
        <f t="shared" si="4"/>
        <v>TD2J00000074</v>
      </c>
      <c r="C276" t="s">
        <v>237</v>
      </c>
      <c r="D276" t="s">
        <v>85</v>
      </c>
      <c r="E276" t="s">
        <v>499</v>
      </c>
      <c r="F276">
        <v>30000</v>
      </c>
      <c r="G276" s="13">
        <v>44545</v>
      </c>
      <c r="H276" s="13">
        <v>44547</v>
      </c>
      <c r="I276">
        <v>5000</v>
      </c>
      <c r="J276">
        <v>0</v>
      </c>
      <c r="K276">
        <v>5000</v>
      </c>
      <c r="N276">
        <v>16.666666666666664</v>
      </c>
      <c r="O276">
        <v>95.5</v>
      </c>
      <c r="P276">
        <v>95.666700000000006</v>
      </c>
      <c r="Q276">
        <v>95.5</v>
      </c>
      <c r="R276">
        <v>95.5</v>
      </c>
      <c r="S276">
        <v>95.5</v>
      </c>
      <c r="T276">
        <v>7.45</v>
      </c>
      <c r="U276">
        <v>5.75</v>
      </c>
      <c r="W276" t="s">
        <v>497</v>
      </c>
    </row>
    <row r="277" spans="1:23" x14ac:dyDescent="0.25">
      <c r="A277" t="s">
        <v>773</v>
      </c>
      <c r="B277" t="str">
        <f t="shared" si="4"/>
        <v>GA2J00000234</v>
      </c>
      <c r="C277" t="s">
        <v>227</v>
      </c>
      <c r="D277" t="s">
        <v>85</v>
      </c>
      <c r="E277" t="s">
        <v>499</v>
      </c>
      <c r="F277">
        <v>20000</v>
      </c>
      <c r="G277" s="13">
        <v>44552</v>
      </c>
      <c r="H277" s="13">
        <v>44554</v>
      </c>
      <c r="I277">
        <v>6500</v>
      </c>
      <c r="J277">
        <v>13110.2</v>
      </c>
      <c r="K277">
        <v>19610.2</v>
      </c>
      <c r="N277">
        <v>33.333333333333329</v>
      </c>
      <c r="O277">
        <v>90.2256</v>
      </c>
      <c r="P277">
        <v>98.051000000000002</v>
      </c>
      <c r="Q277">
        <v>87</v>
      </c>
      <c r="R277">
        <v>95</v>
      </c>
      <c r="S277">
        <v>87</v>
      </c>
      <c r="T277">
        <v>9.0399999999999991</v>
      </c>
      <c r="U277">
        <v>5.25</v>
      </c>
      <c r="W277" t="s">
        <v>497</v>
      </c>
    </row>
    <row r="278" spans="1:23" x14ac:dyDescent="0.25">
      <c r="A278" t="s">
        <v>774</v>
      </c>
      <c r="B278" t="str">
        <f t="shared" si="4"/>
        <v>TD2J00000082</v>
      </c>
      <c r="C278" t="s">
        <v>237</v>
      </c>
      <c r="D278" t="s">
        <v>85</v>
      </c>
      <c r="E278" t="s">
        <v>499</v>
      </c>
      <c r="F278">
        <v>30000</v>
      </c>
      <c r="G278" s="13">
        <v>44552</v>
      </c>
      <c r="H278" s="13">
        <v>44554</v>
      </c>
      <c r="I278">
        <v>10750</v>
      </c>
      <c r="J278">
        <v>0</v>
      </c>
      <c r="K278">
        <v>10750</v>
      </c>
      <c r="N278">
        <v>25</v>
      </c>
      <c r="O278">
        <v>95</v>
      </c>
      <c r="P278">
        <v>36.5</v>
      </c>
      <c r="Q278">
        <v>95</v>
      </c>
      <c r="R278">
        <v>95</v>
      </c>
      <c r="S278">
        <v>95</v>
      </c>
      <c r="T278">
        <v>7.65</v>
      </c>
      <c r="U278">
        <v>5.75</v>
      </c>
      <c r="W278" t="s">
        <v>497</v>
      </c>
    </row>
    <row r="279" spans="1:23" x14ac:dyDescent="0.25">
      <c r="A279" t="s">
        <v>775</v>
      </c>
      <c r="B279" t="str">
        <f t="shared" si="4"/>
        <v>GQ2A00000023</v>
      </c>
      <c r="C279" t="s">
        <v>528</v>
      </c>
      <c r="D279" t="s">
        <v>85</v>
      </c>
      <c r="E279" t="s">
        <v>496</v>
      </c>
      <c r="F279">
        <v>19404.52</v>
      </c>
      <c r="G279" s="13">
        <v>44196</v>
      </c>
      <c r="H279" s="13">
        <v>44196</v>
      </c>
      <c r="J279">
        <v>19404.52</v>
      </c>
      <c r="K279">
        <v>19404.52</v>
      </c>
      <c r="T279" t="s">
        <v>542</v>
      </c>
      <c r="U279">
        <v>5</v>
      </c>
      <c r="W279" t="s">
        <v>542</v>
      </c>
    </row>
    <row r="280" spans="1:23" x14ac:dyDescent="0.25">
      <c r="A280" t="s">
        <v>776</v>
      </c>
      <c r="B280" t="str">
        <f t="shared" si="4"/>
        <v>GQ2J00000032</v>
      </c>
      <c r="C280" t="s">
        <v>528</v>
      </c>
      <c r="D280" t="s">
        <v>85</v>
      </c>
      <c r="E280" t="s">
        <v>499</v>
      </c>
      <c r="F280">
        <v>19404.52</v>
      </c>
      <c r="G280" s="13">
        <v>44196</v>
      </c>
      <c r="H280" s="13">
        <v>44196</v>
      </c>
      <c r="J280">
        <v>19404.52</v>
      </c>
      <c r="K280">
        <v>19404.52</v>
      </c>
      <c r="T280" t="s">
        <v>542</v>
      </c>
      <c r="U280">
        <v>5</v>
      </c>
      <c r="W280" t="s">
        <v>542</v>
      </c>
    </row>
    <row r="281" spans="1:23" x14ac:dyDescent="0.25">
      <c r="A281" t="s">
        <v>777</v>
      </c>
      <c r="B281" t="str">
        <f t="shared" si="4"/>
        <v>GQ2K00000054</v>
      </c>
      <c r="C281" t="s">
        <v>528</v>
      </c>
      <c r="D281" t="s">
        <v>85</v>
      </c>
      <c r="E281" t="s">
        <v>516</v>
      </c>
      <c r="F281">
        <v>19404.52</v>
      </c>
      <c r="G281" s="13">
        <v>44196</v>
      </c>
      <c r="H281" s="13">
        <v>44196</v>
      </c>
      <c r="J281">
        <v>19404.52</v>
      </c>
      <c r="K281">
        <v>19404.52</v>
      </c>
      <c r="T281" t="s">
        <v>542</v>
      </c>
      <c r="U281">
        <v>5</v>
      </c>
      <c r="W281" t="s">
        <v>542</v>
      </c>
    </row>
    <row r="282" spans="1:23" x14ac:dyDescent="0.25">
      <c r="A282" t="s">
        <v>778</v>
      </c>
      <c r="B282" t="str">
        <f t="shared" si="4"/>
        <v>GQ2B00000022</v>
      </c>
      <c r="C282" t="s">
        <v>528</v>
      </c>
      <c r="D282" t="s">
        <v>85</v>
      </c>
      <c r="E282" t="s">
        <v>507</v>
      </c>
      <c r="F282">
        <v>19404.52</v>
      </c>
      <c r="G282" s="13">
        <v>44196</v>
      </c>
      <c r="H282" s="13">
        <v>44196</v>
      </c>
      <c r="J282">
        <v>19404.52</v>
      </c>
      <c r="K282">
        <v>19404.52</v>
      </c>
      <c r="T282" t="s">
        <v>542</v>
      </c>
      <c r="U282">
        <v>5</v>
      </c>
      <c r="W282" t="s">
        <v>542</v>
      </c>
    </row>
    <row r="283" spans="1:23" x14ac:dyDescent="0.25">
      <c r="A283" t="s">
        <v>779</v>
      </c>
      <c r="B283" t="str">
        <f t="shared" si="4"/>
        <v>GQ2L00000020</v>
      </c>
      <c r="C283" t="s">
        <v>528</v>
      </c>
      <c r="D283" t="s">
        <v>85</v>
      </c>
      <c r="E283" t="s">
        <v>547</v>
      </c>
      <c r="F283">
        <v>19404.52</v>
      </c>
      <c r="G283" s="13">
        <v>44196</v>
      </c>
      <c r="H283" s="13">
        <v>44196</v>
      </c>
      <c r="J283">
        <v>19404.52</v>
      </c>
      <c r="K283">
        <v>19404.52</v>
      </c>
      <c r="T283" t="s">
        <v>542</v>
      </c>
      <c r="U283">
        <v>5</v>
      </c>
      <c r="W283" t="s">
        <v>542</v>
      </c>
    </row>
    <row r="284" spans="1:23" x14ac:dyDescent="0.25">
      <c r="A284" t="s">
        <v>780</v>
      </c>
      <c r="B284" t="str">
        <f t="shared" si="4"/>
        <v>GQ2C00000021</v>
      </c>
      <c r="C284" t="s">
        <v>528</v>
      </c>
      <c r="D284" t="s">
        <v>85</v>
      </c>
      <c r="E284" t="s">
        <v>549</v>
      </c>
      <c r="F284">
        <v>19404.52</v>
      </c>
      <c r="G284" s="13">
        <v>44196</v>
      </c>
      <c r="H284" s="13">
        <v>44196</v>
      </c>
      <c r="J284">
        <v>19404.52</v>
      </c>
      <c r="K284">
        <v>19404.52</v>
      </c>
      <c r="T284" t="s">
        <v>542</v>
      </c>
      <c r="U284">
        <v>5</v>
      </c>
      <c r="W284" t="s">
        <v>542</v>
      </c>
    </row>
    <row r="285" spans="1:23" x14ac:dyDescent="0.25">
      <c r="A285" t="s">
        <v>781</v>
      </c>
      <c r="B285" t="str">
        <f t="shared" si="4"/>
        <v>GQ2M00000029</v>
      </c>
      <c r="C285" t="s">
        <v>528</v>
      </c>
      <c r="D285" t="s">
        <v>85</v>
      </c>
      <c r="E285" t="s">
        <v>551</v>
      </c>
      <c r="F285">
        <v>19404.52</v>
      </c>
      <c r="G285" s="13">
        <v>44196</v>
      </c>
      <c r="H285" s="13">
        <v>44196</v>
      </c>
      <c r="J285">
        <v>19404.52</v>
      </c>
      <c r="K285">
        <v>19404.52</v>
      </c>
      <c r="T285" t="s">
        <v>542</v>
      </c>
      <c r="U285">
        <v>5</v>
      </c>
      <c r="W285" t="s">
        <v>542</v>
      </c>
    </row>
    <row r="286" spans="1:23" x14ac:dyDescent="0.25">
      <c r="A286" t="s">
        <v>782</v>
      </c>
      <c r="B286" t="str">
        <f t="shared" si="4"/>
        <v>GQ2N00000028</v>
      </c>
      <c r="C286" t="s">
        <v>528</v>
      </c>
      <c r="D286" t="s">
        <v>85</v>
      </c>
      <c r="E286" t="s">
        <v>553</v>
      </c>
      <c r="F286">
        <v>19404.52</v>
      </c>
      <c r="G286" s="13">
        <v>44196</v>
      </c>
      <c r="H286" s="13">
        <v>44196</v>
      </c>
      <c r="J286">
        <v>19404.52</v>
      </c>
      <c r="K286">
        <v>19404.52</v>
      </c>
      <c r="T286" t="s">
        <v>542</v>
      </c>
      <c r="U286">
        <v>5</v>
      </c>
      <c r="W286" t="s">
        <v>542</v>
      </c>
    </row>
    <row r="287" spans="1:23" x14ac:dyDescent="0.25">
      <c r="A287" t="s">
        <v>783</v>
      </c>
      <c r="B287" t="str">
        <f t="shared" si="4"/>
        <v>GQ2D00000020</v>
      </c>
      <c r="C287" t="s">
        <v>528</v>
      </c>
      <c r="D287" t="s">
        <v>85</v>
      </c>
      <c r="E287" t="s">
        <v>555</v>
      </c>
      <c r="F287">
        <v>19404.52</v>
      </c>
      <c r="G287" s="13">
        <v>44196</v>
      </c>
      <c r="H287" s="13">
        <v>44196</v>
      </c>
      <c r="J287">
        <v>19404.52</v>
      </c>
      <c r="K287">
        <v>19404.52</v>
      </c>
      <c r="T287" t="s">
        <v>542</v>
      </c>
      <c r="U287">
        <v>5</v>
      </c>
      <c r="W287" t="s">
        <v>542</v>
      </c>
    </row>
    <row r="288" spans="1:23" x14ac:dyDescent="0.25">
      <c r="A288" t="s">
        <v>784</v>
      </c>
      <c r="B288" t="str">
        <f t="shared" si="4"/>
        <v>GQ2O00000019</v>
      </c>
      <c r="C288" t="s">
        <v>528</v>
      </c>
      <c r="D288" t="s">
        <v>85</v>
      </c>
      <c r="E288" t="s">
        <v>785</v>
      </c>
      <c r="F288">
        <v>19404.52</v>
      </c>
      <c r="G288" s="13">
        <v>44196</v>
      </c>
      <c r="H288" s="13">
        <v>44196</v>
      </c>
      <c r="J288">
        <v>19404.52</v>
      </c>
      <c r="K288">
        <v>19404.52</v>
      </c>
      <c r="T288" t="s">
        <v>542</v>
      </c>
      <c r="U288">
        <v>5</v>
      </c>
      <c r="W288" t="s">
        <v>542</v>
      </c>
    </row>
    <row r="289" spans="1:23" x14ac:dyDescent="0.25">
      <c r="A289" t="s">
        <v>786</v>
      </c>
      <c r="B289" t="str">
        <f t="shared" si="4"/>
        <v>GQ2P00000018</v>
      </c>
      <c r="C289" t="s">
        <v>528</v>
      </c>
      <c r="D289" t="s">
        <v>85</v>
      </c>
      <c r="E289" t="s">
        <v>787</v>
      </c>
      <c r="F289">
        <v>19404.52</v>
      </c>
      <c r="G289" s="13">
        <v>44196</v>
      </c>
      <c r="H289" s="13">
        <v>44196</v>
      </c>
      <c r="J289">
        <v>19404.52</v>
      </c>
      <c r="K289">
        <v>19404.52</v>
      </c>
      <c r="T289" t="s">
        <v>542</v>
      </c>
      <c r="U289">
        <v>5</v>
      </c>
      <c r="W289" t="s">
        <v>542</v>
      </c>
    </row>
    <row r="290" spans="1:23" x14ac:dyDescent="0.25">
      <c r="A290" t="s">
        <v>788</v>
      </c>
      <c r="B290" t="str">
        <f t="shared" si="4"/>
        <v>GQ2Q00000017</v>
      </c>
      <c r="C290" t="s">
        <v>528</v>
      </c>
      <c r="D290" t="s">
        <v>85</v>
      </c>
      <c r="E290" t="s">
        <v>789</v>
      </c>
      <c r="F290">
        <v>19404.52</v>
      </c>
      <c r="G290" s="13">
        <v>44196</v>
      </c>
      <c r="H290" s="13">
        <v>44196</v>
      </c>
      <c r="J290">
        <v>19404.52</v>
      </c>
      <c r="K290">
        <v>19404.52</v>
      </c>
      <c r="T290" t="s">
        <v>542</v>
      </c>
      <c r="U290">
        <v>5</v>
      </c>
      <c r="W290" t="s">
        <v>542</v>
      </c>
    </row>
    <row r="291" spans="1:23" x14ac:dyDescent="0.25">
      <c r="A291" t="s">
        <v>790</v>
      </c>
      <c r="B291" t="str">
        <f t="shared" si="4"/>
        <v>GQ2R00000016</v>
      </c>
      <c r="C291" t="s">
        <v>528</v>
      </c>
      <c r="D291" t="s">
        <v>85</v>
      </c>
      <c r="E291" t="s">
        <v>791</v>
      </c>
      <c r="F291">
        <v>19404.52</v>
      </c>
      <c r="G291" s="13">
        <v>44196</v>
      </c>
      <c r="H291" s="13">
        <v>44196</v>
      </c>
      <c r="J291">
        <v>19404.52</v>
      </c>
      <c r="K291">
        <v>19404.52</v>
      </c>
      <c r="T291" t="s">
        <v>542</v>
      </c>
      <c r="U291">
        <v>5</v>
      </c>
      <c r="W291" t="s">
        <v>542</v>
      </c>
    </row>
    <row r="292" spans="1:23" x14ac:dyDescent="0.25">
      <c r="A292" t="s">
        <v>792</v>
      </c>
      <c r="B292" t="str">
        <f t="shared" si="4"/>
        <v>GQ2E00000011</v>
      </c>
      <c r="C292" t="s">
        <v>528</v>
      </c>
      <c r="D292" t="s">
        <v>85</v>
      </c>
      <c r="E292" t="s">
        <v>793</v>
      </c>
      <c r="F292">
        <v>19404.52</v>
      </c>
      <c r="G292" s="13">
        <v>44196</v>
      </c>
      <c r="H292" s="13">
        <v>44196</v>
      </c>
      <c r="J292">
        <v>19404.52</v>
      </c>
      <c r="K292">
        <v>19404.52</v>
      </c>
      <c r="T292" t="s">
        <v>542</v>
      </c>
      <c r="U292">
        <v>5</v>
      </c>
      <c r="W292" t="s">
        <v>542</v>
      </c>
    </row>
    <row r="293" spans="1:23" x14ac:dyDescent="0.25">
      <c r="A293" t="s">
        <v>794</v>
      </c>
      <c r="B293" t="str">
        <f t="shared" si="4"/>
        <v>CG2J00000206</v>
      </c>
      <c r="C293" t="s">
        <v>229</v>
      </c>
      <c r="D293" t="s">
        <v>85</v>
      </c>
      <c r="E293" t="s">
        <v>499</v>
      </c>
      <c r="F293">
        <v>10000</v>
      </c>
      <c r="G293" s="13">
        <v>44566</v>
      </c>
      <c r="H293" s="13">
        <v>44568</v>
      </c>
      <c r="I293">
        <v>100</v>
      </c>
      <c r="J293">
        <v>7163.17</v>
      </c>
      <c r="K293">
        <v>7263.17</v>
      </c>
      <c r="N293">
        <v>17.391304347826086</v>
      </c>
      <c r="O293">
        <v>90.692800000000005</v>
      </c>
      <c r="P293">
        <v>72.631699999999995</v>
      </c>
      <c r="Q293">
        <v>90</v>
      </c>
      <c r="R293">
        <v>100</v>
      </c>
      <c r="S293">
        <v>90</v>
      </c>
      <c r="T293">
        <v>9.65</v>
      </c>
      <c r="U293">
        <v>6</v>
      </c>
      <c r="W293" t="s">
        <v>497</v>
      </c>
    </row>
    <row r="294" spans="1:23" x14ac:dyDescent="0.25">
      <c r="A294" t="s">
        <v>795</v>
      </c>
      <c r="B294" t="str">
        <f t="shared" si="4"/>
        <v>CG2J00000206</v>
      </c>
      <c r="C294" t="s">
        <v>229</v>
      </c>
      <c r="D294" t="s">
        <v>85</v>
      </c>
      <c r="E294" t="s">
        <v>499</v>
      </c>
      <c r="F294">
        <v>15000</v>
      </c>
      <c r="G294" s="13">
        <v>44580</v>
      </c>
      <c r="H294" s="13">
        <v>44582</v>
      </c>
      <c r="I294">
        <v>0</v>
      </c>
      <c r="J294">
        <v>15000</v>
      </c>
      <c r="K294">
        <v>15000</v>
      </c>
      <c r="N294">
        <v>13.043478260869565</v>
      </c>
      <c r="O294">
        <v>92.822900000000004</v>
      </c>
      <c r="P294">
        <v>135.5333</v>
      </c>
      <c r="Q294">
        <v>90.25</v>
      </c>
      <c r="R294">
        <v>97</v>
      </c>
      <c r="S294">
        <v>90.25</v>
      </c>
      <c r="T294">
        <v>8.77</v>
      </c>
      <c r="U294">
        <v>6</v>
      </c>
      <c r="W294" t="s">
        <v>497</v>
      </c>
    </row>
    <row r="295" spans="1:23" x14ac:dyDescent="0.25">
      <c r="A295" t="s">
        <v>796</v>
      </c>
      <c r="B295" t="str">
        <f t="shared" si="4"/>
        <v>GA2J00000242</v>
      </c>
      <c r="C295" t="s">
        <v>227</v>
      </c>
      <c r="D295" t="s">
        <v>85</v>
      </c>
      <c r="E295" t="s">
        <v>499</v>
      </c>
      <c r="F295">
        <v>25000</v>
      </c>
      <c r="G295" s="13">
        <v>44580</v>
      </c>
      <c r="H295" s="13">
        <v>44582</v>
      </c>
      <c r="I295">
        <v>0</v>
      </c>
      <c r="J295">
        <v>18790.599999999999</v>
      </c>
      <c r="K295">
        <v>18790.599999999999</v>
      </c>
      <c r="N295">
        <v>33.333333333333329</v>
      </c>
      <c r="O295">
        <v>89.5428</v>
      </c>
      <c r="P295">
        <v>182.10239999999999</v>
      </c>
      <c r="Q295">
        <v>89</v>
      </c>
      <c r="R295">
        <v>95</v>
      </c>
      <c r="S295">
        <v>89</v>
      </c>
      <c r="T295">
        <v>9.59</v>
      </c>
      <c r="U295">
        <v>5.5</v>
      </c>
      <c r="W295" t="s">
        <v>497</v>
      </c>
    </row>
    <row r="296" spans="1:23" x14ac:dyDescent="0.25">
      <c r="A296" t="s">
        <v>797</v>
      </c>
      <c r="B296" t="str">
        <f t="shared" si="4"/>
        <v>CG2J00000214</v>
      </c>
      <c r="C296" t="s">
        <v>229</v>
      </c>
      <c r="D296" t="s">
        <v>85</v>
      </c>
      <c r="E296" t="s">
        <v>499</v>
      </c>
      <c r="F296">
        <v>30000</v>
      </c>
      <c r="G296" s="13">
        <v>44586</v>
      </c>
      <c r="H296" s="13">
        <v>44588</v>
      </c>
      <c r="I296">
        <v>3800</v>
      </c>
      <c r="J296">
        <v>21840</v>
      </c>
      <c r="K296">
        <v>25640</v>
      </c>
      <c r="N296">
        <v>30.434782608695656</v>
      </c>
      <c r="O296">
        <v>90.887500000000003</v>
      </c>
      <c r="P296">
        <v>85.466700000000003</v>
      </c>
      <c r="Q296">
        <v>90</v>
      </c>
      <c r="R296">
        <v>95</v>
      </c>
      <c r="S296">
        <v>90</v>
      </c>
      <c r="T296">
        <v>9.57</v>
      </c>
      <c r="U296">
        <v>6</v>
      </c>
      <c r="W296" t="s">
        <v>497</v>
      </c>
    </row>
    <row r="297" spans="1:23" x14ac:dyDescent="0.25">
      <c r="A297" t="s">
        <v>798</v>
      </c>
      <c r="B297" t="str">
        <f t="shared" si="4"/>
        <v>GA2J00000242</v>
      </c>
      <c r="C297" t="s">
        <v>227</v>
      </c>
      <c r="D297" t="s">
        <v>85</v>
      </c>
      <c r="E297" t="s">
        <v>499</v>
      </c>
      <c r="F297">
        <v>15000</v>
      </c>
      <c r="G297" s="13">
        <v>44587</v>
      </c>
      <c r="H297" s="13">
        <v>44589</v>
      </c>
      <c r="I297">
        <v>200</v>
      </c>
      <c r="J297">
        <v>14800</v>
      </c>
      <c r="K297">
        <v>15000</v>
      </c>
      <c r="N297">
        <v>33.333333333333329</v>
      </c>
      <c r="O297">
        <v>91.278300000000002</v>
      </c>
      <c r="P297">
        <v>242.53333000000001</v>
      </c>
      <c r="Q297">
        <v>90.4</v>
      </c>
      <c r="R297">
        <v>93</v>
      </c>
      <c r="S297">
        <v>90.4</v>
      </c>
      <c r="T297">
        <v>8.8800000000000008</v>
      </c>
      <c r="U297">
        <v>5.5</v>
      </c>
      <c r="W297" t="s">
        <v>497</v>
      </c>
    </row>
    <row r="298" spans="1:23" x14ac:dyDescent="0.25">
      <c r="A298" t="s">
        <v>799</v>
      </c>
      <c r="B298" t="str">
        <f t="shared" si="4"/>
        <v>CG2A00000270</v>
      </c>
      <c r="C298" t="s">
        <v>229</v>
      </c>
      <c r="D298" t="s">
        <v>85</v>
      </c>
      <c r="E298" t="s">
        <v>496</v>
      </c>
      <c r="F298">
        <v>15000</v>
      </c>
      <c r="G298" s="13">
        <v>44600</v>
      </c>
      <c r="H298" s="13">
        <v>44602</v>
      </c>
      <c r="I298">
        <v>8000</v>
      </c>
      <c r="J298">
        <v>7000</v>
      </c>
      <c r="K298">
        <v>15000</v>
      </c>
      <c r="N298">
        <v>34.782608695652172</v>
      </c>
      <c r="O298">
        <v>91.809899999999999</v>
      </c>
      <c r="P298">
        <v>149.80289999999999</v>
      </c>
      <c r="Q298">
        <v>91.1</v>
      </c>
      <c r="R298">
        <v>96</v>
      </c>
      <c r="S298">
        <v>91.1</v>
      </c>
      <c r="T298">
        <v>9.6</v>
      </c>
      <c r="U298">
        <v>5</v>
      </c>
      <c r="W298" t="s">
        <v>497</v>
      </c>
    </row>
    <row r="299" spans="1:23" x14ac:dyDescent="0.25">
      <c r="A299" t="s">
        <v>800</v>
      </c>
      <c r="B299" t="str">
        <f t="shared" si="4"/>
        <v>CM2D00000044</v>
      </c>
      <c r="C299" t="s">
        <v>225</v>
      </c>
      <c r="D299" t="s">
        <v>85</v>
      </c>
      <c r="E299" t="s">
        <v>555</v>
      </c>
      <c r="F299">
        <v>12000</v>
      </c>
      <c r="G299" s="13">
        <v>44606</v>
      </c>
      <c r="H299" s="13">
        <v>44608</v>
      </c>
      <c r="I299">
        <v>9850</v>
      </c>
      <c r="J299">
        <v>0</v>
      </c>
      <c r="K299">
        <v>9850</v>
      </c>
      <c r="N299">
        <v>19.047619047619047</v>
      </c>
      <c r="O299">
        <v>100</v>
      </c>
      <c r="P299">
        <v>82.083299999999994</v>
      </c>
      <c r="Q299">
        <v>100</v>
      </c>
      <c r="R299">
        <v>100</v>
      </c>
      <c r="S299">
        <v>10</v>
      </c>
      <c r="T299">
        <v>5</v>
      </c>
      <c r="U299">
        <v>5</v>
      </c>
      <c r="W299" t="s">
        <v>497</v>
      </c>
    </row>
    <row r="300" spans="1:23" x14ac:dyDescent="0.25">
      <c r="A300" t="s">
        <v>801</v>
      </c>
      <c r="B300" t="str">
        <f t="shared" si="4"/>
        <v>GA2B00000091</v>
      </c>
      <c r="C300" t="s">
        <v>227</v>
      </c>
      <c r="D300" t="s">
        <v>85</v>
      </c>
      <c r="E300" t="s">
        <v>507</v>
      </c>
      <c r="F300">
        <v>12500</v>
      </c>
      <c r="G300" s="13">
        <v>44608</v>
      </c>
      <c r="H300" s="13">
        <v>44638</v>
      </c>
      <c r="I300">
        <v>3050</v>
      </c>
      <c r="J300">
        <v>5352</v>
      </c>
      <c r="K300">
        <v>8402</v>
      </c>
      <c r="N300">
        <v>27.777777777777779</v>
      </c>
      <c r="O300">
        <v>90.103099999999998</v>
      </c>
      <c r="P300">
        <v>71.215999999999994</v>
      </c>
      <c r="Q300">
        <v>89</v>
      </c>
      <c r="R300">
        <v>97.6</v>
      </c>
      <c r="S300">
        <v>89</v>
      </c>
      <c r="T300">
        <v>8.74</v>
      </c>
      <c r="U300">
        <v>6.25</v>
      </c>
      <c r="W300" t="s">
        <v>497</v>
      </c>
    </row>
    <row r="301" spans="1:23" x14ac:dyDescent="0.25">
      <c r="A301" t="s">
        <v>802</v>
      </c>
      <c r="B301" t="str">
        <f t="shared" si="4"/>
        <v>GA2J00000259</v>
      </c>
      <c r="C301" t="s">
        <v>227</v>
      </c>
      <c r="D301" t="s">
        <v>85</v>
      </c>
      <c r="E301" t="s">
        <v>499</v>
      </c>
      <c r="F301">
        <v>22500</v>
      </c>
      <c r="G301" s="13">
        <v>44608</v>
      </c>
      <c r="H301" s="13">
        <v>44610</v>
      </c>
      <c r="I301">
        <v>6000</v>
      </c>
      <c r="J301">
        <v>16500</v>
      </c>
      <c r="K301">
        <v>22500</v>
      </c>
      <c r="N301">
        <v>38.888888888888893</v>
      </c>
      <c r="O301">
        <v>91.522599999999997</v>
      </c>
      <c r="P301">
        <v>176.04939999999999</v>
      </c>
      <c r="Q301">
        <v>91</v>
      </c>
      <c r="R301">
        <v>98.2</v>
      </c>
      <c r="S301">
        <v>91</v>
      </c>
      <c r="T301">
        <v>8.51</v>
      </c>
      <c r="U301">
        <v>5.25</v>
      </c>
      <c r="W301" t="s">
        <v>497</v>
      </c>
    </row>
    <row r="302" spans="1:23" x14ac:dyDescent="0.25">
      <c r="A302" t="s">
        <v>803</v>
      </c>
      <c r="B302" t="str">
        <f t="shared" si="4"/>
        <v>CG2J00000222</v>
      </c>
      <c r="C302" t="s">
        <v>229</v>
      </c>
      <c r="D302" t="s">
        <v>85</v>
      </c>
      <c r="E302" t="s">
        <v>499</v>
      </c>
      <c r="F302">
        <v>10000</v>
      </c>
      <c r="G302" s="13">
        <v>44614</v>
      </c>
      <c r="H302" s="13">
        <v>44616</v>
      </c>
      <c r="I302">
        <v>5065</v>
      </c>
      <c r="J302">
        <v>4935</v>
      </c>
      <c r="K302">
        <v>10000</v>
      </c>
      <c r="N302">
        <v>34.782608695652172</v>
      </c>
      <c r="O302">
        <v>92.000299999999996</v>
      </c>
      <c r="P302">
        <v>190.6773</v>
      </c>
      <c r="Q302">
        <v>92</v>
      </c>
      <c r="R302">
        <v>95</v>
      </c>
      <c r="S302">
        <v>92</v>
      </c>
      <c r="T302">
        <v>9.11</v>
      </c>
      <c r="U302">
        <v>6</v>
      </c>
      <c r="W302" t="s">
        <v>497</v>
      </c>
    </row>
    <row r="303" spans="1:23" x14ac:dyDescent="0.25">
      <c r="A303" t="s">
        <v>804</v>
      </c>
      <c r="B303" t="str">
        <f t="shared" si="4"/>
        <v>CG2B00000048</v>
      </c>
      <c r="C303" t="s">
        <v>229</v>
      </c>
      <c r="D303" t="s">
        <v>85</v>
      </c>
      <c r="E303" t="s">
        <v>507</v>
      </c>
      <c r="F303">
        <v>15000</v>
      </c>
      <c r="G303" s="13">
        <v>44614</v>
      </c>
      <c r="H303" s="13">
        <v>44616</v>
      </c>
      <c r="I303">
        <v>716</v>
      </c>
      <c r="J303">
        <v>14284</v>
      </c>
      <c r="K303">
        <v>15000</v>
      </c>
      <c r="N303">
        <v>21.739130434782609</v>
      </c>
      <c r="O303">
        <v>90.055499999999995</v>
      </c>
      <c r="P303">
        <v>111.5067</v>
      </c>
      <c r="Q303">
        <v>90</v>
      </c>
      <c r="R303">
        <v>92</v>
      </c>
      <c r="S303">
        <v>90</v>
      </c>
      <c r="T303">
        <v>9.01</v>
      </c>
      <c r="U303">
        <v>6.5</v>
      </c>
      <c r="W303" t="s">
        <v>497</v>
      </c>
    </row>
    <row r="304" spans="1:23" x14ac:dyDescent="0.25">
      <c r="A304" t="s">
        <v>805</v>
      </c>
      <c r="B304" t="str">
        <f t="shared" si="4"/>
        <v>GA2B00000091</v>
      </c>
      <c r="C304" t="s">
        <v>227</v>
      </c>
      <c r="D304" t="s">
        <v>85</v>
      </c>
      <c r="E304" t="s">
        <v>507</v>
      </c>
      <c r="F304">
        <v>10000</v>
      </c>
      <c r="G304" s="13">
        <v>44615</v>
      </c>
      <c r="H304" s="13">
        <v>44617</v>
      </c>
      <c r="I304">
        <v>350</v>
      </c>
      <c r="J304">
        <v>9650</v>
      </c>
      <c r="K304">
        <v>10000</v>
      </c>
      <c r="N304">
        <v>27.777777777777779</v>
      </c>
      <c r="O304">
        <v>90.308800000000005</v>
      </c>
      <c r="P304">
        <v>186.447</v>
      </c>
      <c r="Q304">
        <v>90.1</v>
      </c>
      <c r="R304">
        <v>98.3</v>
      </c>
      <c r="S304">
        <v>90.1</v>
      </c>
      <c r="T304">
        <v>8.68</v>
      </c>
      <c r="U304">
        <v>6.25</v>
      </c>
      <c r="W304" t="s">
        <v>497</v>
      </c>
    </row>
    <row r="305" spans="1:23" x14ac:dyDescent="0.25">
      <c r="A305" t="s">
        <v>806</v>
      </c>
      <c r="B305" t="str">
        <f t="shared" si="4"/>
        <v>CG2A00000270</v>
      </c>
      <c r="C305" t="s">
        <v>229</v>
      </c>
      <c r="D305" t="s">
        <v>85</v>
      </c>
      <c r="E305" t="s">
        <v>496</v>
      </c>
      <c r="F305">
        <v>10000</v>
      </c>
      <c r="G305" s="13">
        <v>44621</v>
      </c>
      <c r="H305" s="13">
        <v>44623</v>
      </c>
      <c r="I305">
        <v>3032</v>
      </c>
      <c r="J305">
        <v>6968</v>
      </c>
      <c r="K305">
        <v>10000</v>
      </c>
      <c r="N305">
        <v>26.086956521739129</v>
      </c>
      <c r="O305">
        <v>93.134100000000004</v>
      </c>
      <c r="P305">
        <v>114.9222</v>
      </c>
      <c r="Q305">
        <v>92</v>
      </c>
      <c r="R305">
        <v>93.25</v>
      </c>
      <c r="S305">
        <v>92</v>
      </c>
      <c r="T305">
        <v>8.82</v>
      </c>
      <c r="U305">
        <v>5</v>
      </c>
      <c r="W305" t="s">
        <v>497</v>
      </c>
    </row>
    <row r="306" spans="1:23" x14ac:dyDescent="0.25">
      <c r="A306" t="s">
        <v>807</v>
      </c>
      <c r="B306" t="str">
        <f t="shared" si="4"/>
        <v>CG2J00000222</v>
      </c>
      <c r="C306" t="s">
        <v>229</v>
      </c>
      <c r="D306" t="s">
        <v>85</v>
      </c>
      <c r="E306" t="s">
        <v>499</v>
      </c>
      <c r="F306">
        <v>10000</v>
      </c>
      <c r="G306" s="13">
        <v>44621</v>
      </c>
      <c r="H306" s="13">
        <v>44623</v>
      </c>
      <c r="I306">
        <v>4461.71</v>
      </c>
      <c r="J306">
        <v>1500</v>
      </c>
      <c r="K306">
        <v>5961.71</v>
      </c>
      <c r="N306">
        <v>30.434782608695656</v>
      </c>
      <c r="O306">
        <v>92.614900000000006</v>
      </c>
      <c r="P306">
        <v>97.8172</v>
      </c>
      <c r="Q306">
        <v>91.5</v>
      </c>
      <c r="R306">
        <v>92.5</v>
      </c>
      <c r="S306">
        <v>91.5</v>
      </c>
      <c r="T306">
        <v>8.86</v>
      </c>
      <c r="U306">
        <v>6</v>
      </c>
      <c r="W306" t="s">
        <v>497</v>
      </c>
    </row>
    <row r="307" spans="1:23" x14ac:dyDescent="0.25">
      <c r="A307" t="s">
        <v>808</v>
      </c>
      <c r="B307" t="str">
        <f t="shared" si="4"/>
        <v>CG2B00000048</v>
      </c>
      <c r="C307" t="s">
        <v>229</v>
      </c>
      <c r="D307" t="s">
        <v>85</v>
      </c>
      <c r="E307" t="s">
        <v>507</v>
      </c>
      <c r="F307">
        <v>5000</v>
      </c>
      <c r="G307" s="13">
        <v>44621</v>
      </c>
      <c r="H307" s="13">
        <v>44623</v>
      </c>
      <c r="I307">
        <v>3000</v>
      </c>
      <c r="J307">
        <v>1565.2399999999998</v>
      </c>
      <c r="K307">
        <v>4565.24</v>
      </c>
      <c r="N307">
        <v>21.739130434782609</v>
      </c>
      <c r="O307">
        <v>91.128200000000007</v>
      </c>
      <c r="P307">
        <v>91.305000000000007</v>
      </c>
      <c r="Q307">
        <v>89</v>
      </c>
      <c r="R307">
        <v>95</v>
      </c>
      <c r="S307">
        <v>89</v>
      </c>
      <c r="T307">
        <v>8.73</v>
      </c>
      <c r="U307">
        <v>6.5</v>
      </c>
      <c r="W307" t="s">
        <v>497</v>
      </c>
    </row>
    <row r="308" spans="1:23" x14ac:dyDescent="0.25">
      <c r="A308" t="s">
        <v>809</v>
      </c>
      <c r="B308" t="str">
        <f t="shared" si="4"/>
        <v>TD2A00000495</v>
      </c>
      <c r="C308" t="s">
        <v>237</v>
      </c>
      <c r="D308" t="s">
        <v>85</v>
      </c>
      <c r="E308" t="s">
        <v>496</v>
      </c>
      <c r="F308">
        <v>15000</v>
      </c>
      <c r="G308" s="13">
        <v>44622</v>
      </c>
      <c r="H308" s="13">
        <v>44624</v>
      </c>
      <c r="I308">
        <v>0</v>
      </c>
      <c r="J308">
        <v>4105</v>
      </c>
      <c r="K308">
        <v>4105</v>
      </c>
      <c r="N308">
        <v>33.333333333333329</v>
      </c>
      <c r="O308">
        <v>94.565299999999993</v>
      </c>
      <c r="P308">
        <v>27.366700000000002</v>
      </c>
      <c r="Q308">
        <v>90</v>
      </c>
      <c r="R308">
        <v>96</v>
      </c>
      <c r="S308">
        <v>90</v>
      </c>
      <c r="T308">
        <v>9.5500000000000007</v>
      </c>
      <c r="U308">
        <v>6.5</v>
      </c>
      <c r="W308" t="s">
        <v>497</v>
      </c>
    </row>
    <row r="309" spans="1:23" x14ac:dyDescent="0.25">
      <c r="A309" t="s">
        <v>810</v>
      </c>
      <c r="B309" t="str">
        <f t="shared" si="4"/>
        <v>CM2B00000095</v>
      </c>
      <c r="C309" t="s">
        <v>225</v>
      </c>
      <c r="D309" t="s">
        <v>85</v>
      </c>
      <c r="E309" t="s">
        <v>507</v>
      </c>
      <c r="F309">
        <v>60000</v>
      </c>
      <c r="G309" s="13">
        <v>44627</v>
      </c>
      <c r="H309" s="13">
        <v>44629</v>
      </c>
      <c r="I309">
        <v>55535</v>
      </c>
      <c r="J309">
        <v>1500</v>
      </c>
      <c r="K309">
        <v>57035</v>
      </c>
      <c r="N309">
        <v>38.095238095238095</v>
      </c>
      <c r="O309">
        <v>98.132599999999996</v>
      </c>
      <c r="P309">
        <v>96.724999999999994</v>
      </c>
      <c r="Q309">
        <v>97.5</v>
      </c>
      <c r="R309">
        <v>100</v>
      </c>
      <c r="S309">
        <v>97.5</v>
      </c>
      <c r="T309">
        <v>5.94</v>
      </c>
      <c r="U309">
        <v>5.5</v>
      </c>
      <c r="W309" t="s">
        <v>497</v>
      </c>
    </row>
    <row r="310" spans="1:23" x14ac:dyDescent="0.25">
      <c r="A310" t="s">
        <v>811</v>
      </c>
      <c r="B310" t="str">
        <f t="shared" si="4"/>
        <v>GA2K00000025</v>
      </c>
      <c r="C310" t="s">
        <v>227</v>
      </c>
      <c r="D310" t="s">
        <v>85</v>
      </c>
      <c r="E310" t="s">
        <v>516</v>
      </c>
      <c r="F310">
        <v>25000</v>
      </c>
      <c r="G310" s="13">
        <v>44629</v>
      </c>
      <c r="H310" s="13">
        <v>44631</v>
      </c>
      <c r="I310">
        <v>0</v>
      </c>
      <c r="J310">
        <v>19121.96</v>
      </c>
      <c r="K310">
        <v>19121.96</v>
      </c>
      <c r="N310">
        <v>22.222222222222221</v>
      </c>
      <c r="O310">
        <v>90.6995</v>
      </c>
      <c r="P310">
        <v>76.487799999999993</v>
      </c>
      <c r="Q310">
        <v>90</v>
      </c>
      <c r="R310">
        <v>92</v>
      </c>
      <c r="S310">
        <v>90</v>
      </c>
      <c r="T310">
        <v>8.5399999999999991</v>
      </c>
      <c r="U310">
        <v>5.75</v>
      </c>
      <c r="W310" t="s">
        <v>497</v>
      </c>
    </row>
    <row r="311" spans="1:23" x14ac:dyDescent="0.25">
      <c r="A311" t="s">
        <v>812</v>
      </c>
      <c r="B311" t="str">
        <f t="shared" si="4"/>
        <v>GA2B00000109</v>
      </c>
      <c r="C311" t="s">
        <v>227</v>
      </c>
      <c r="D311" t="s">
        <v>85</v>
      </c>
      <c r="E311" t="s">
        <v>507</v>
      </c>
      <c r="F311">
        <v>15000</v>
      </c>
      <c r="G311" s="13">
        <v>44629</v>
      </c>
      <c r="H311" s="13">
        <v>44631</v>
      </c>
      <c r="I311">
        <v>0</v>
      </c>
      <c r="J311">
        <v>12244.7</v>
      </c>
      <c r="K311">
        <v>12244.7</v>
      </c>
      <c r="N311">
        <v>22.222222222222221</v>
      </c>
      <c r="O311">
        <v>90.219499999999996</v>
      </c>
      <c r="P311">
        <v>81.631299999999996</v>
      </c>
      <c r="Q311">
        <v>89.5</v>
      </c>
      <c r="R311">
        <v>98</v>
      </c>
      <c r="S311">
        <v>89.5</v>
      </c>
      <c r="T311">
        <v>8.6999999999999993</v>
      </c>
      <c r="U311">
        <v>6.25</v>
      </c>
      <c r="W311" t="s">
        <v>497</v>
      </c>
    </row>
    <row r="312" spans="1:23" x14ac:dyDescent="0.25">
      <c r="A312" t="s">
        <v>813</v>
      </c>
      <c r="B312" t="str">
        <f t="shared" si="4"/>
        <v>TD2A00000503</v>
      </c>
      <c r="C312" t="s">
        <v>237</v>
      </c>
      <c r="D312" t="s">
        <v>85</v>
      </c>
      <c r="E312" t="s">
        <v>496</v>
      </c>
      <c r="F312">
        <v>10000</v>
      </c>
      <c r="G312" s="13">
        <v>44629</v>
      </c>
      <c r="H312" s="13">
        <v>44631</v>
      </c>
      <c r="I312">
        <v>7250</v>
      </c>
      <c r="J312">
        <v>0</v>
      </c>
      <c r="K312">
        <v>7250</v>
      </c>
      <c r="N312">
        <v>25</v>
      </c>
      <c r="O312">
        <v>91.586200000000005</v>
      </c>
      <c r="P312">
        <v>73.599999999999994</v>
      </c>
      <c r="Q312">
        <v>91</v>
      </c>
      <c r="R312">
        <v>92</v>
      </c>
      <c r="S312">
        <v>91</v>
      </c>
      <c r="T312">
        <v>10.79</v>
      </c>
      <c r="U312">
        <v>6</v>
      </c>
      <c r="W312" t="s">
        <v>497</v>
      </c>
    </row>
    <row r="313" spans="1:23" x14ac:dyDescent="0.25">
      <c r="A313" t="s">
        <v>814</v>
      </c>
      <c r="B313" t="str">
        <f t="shared" si="4"/>
        <v>CM2K00000029</v>
      </c>
      <c r="C313" t="s">
        <v>225</v>
      </c>
      <c r="D313" t="s">
        <v>85</v>
      </c>
      <c r="E313" t="s">
        <v>516</v>
      </c>
      <c r="F313">
        <v>25000</v>
      </c>
      <c r="G313" s="13">
        <v>44636</v>
      </c>
      <c r="H313" s="13">
        <v>44636</v>
      </c>
      <c r="J313">
        <v>25000</v>
      </c>
      <c r="K313">
        <v>25000</v>
      </c>
      <c r="N313" t="e">
        <v>#DIV/0!</v>
      </c>
      <c r="T313" t="s">
        <v>542</v>
      </c>
      <c r="U313">
        <v>4.5</v>
      </c>
      <c r="W313" t="s">
        <v>542</v>
      </c>
    </row>
    <row r="314" spans="1:23" x14ac:dyDescent="0.25">
      <c r="A314" t="s">
        <v>815</v>
      </c>
      <c r="B314" t="str">
        <f t="shared" si="4"/>
        <v>CM2B00000103</v>
      </c>
      <c r="C314" t="s">
        <v>225</v>
      </c>
      <c r="D314" t="s">
        <v>85</v>
      </c>
      <c r="E314" t="s">
        <v>507</v>
      </c>
      <c r="F314">
        <v>23000</v>
      </c>
      <c r="G314" s="13">
        <v>44636</v>
      </c>
      <c r="H314" s="13">
        <v>44636</v>
      </c>
      <c r="J314">
        <v>23000</v>
      </c>
      <c r="K314">
        <v>23000</v>
      </c>
      <c r="N314">
        <v>0</v>
      </c>
      <c r="T314" t="s">
        <v>542</v>
      </c>
      <c r="U314">
        <v>5.25</v>
      </c>
      <c r="W314" t="s">
        <v>542</v>
      </c>
    </row>
    <row r="315" spans="1:23" x14ac:dyDescent="0.25">
      <c r="A315" t="s">
        <v>751</v>
      </c>
      <c r="B315" t="str">
        <f t="shared" si="4"/>
        <v>GA2D00000024</v>
      </c>
      <c r="C315" t="s">
        <v>227</v>
      </c>
      <c r="D315" t="s">
        <v>85</v>
      </c>
      <c r="E315" t="s">
        <v>555</v>
      </c>
      <c r="F315">
        <v>10000</v>
      </c>
      <c r="G315" s="13">
        <v>44636</v>
      </c>
      <c r="H315" s="13">
        <v>44638</v>
      </c>
      <c r="I315">
        <v>850</v>
      </c>
      <c r="J315">
        <v>6700.05</v>
      </c>
      <c r="K315">
        <v>7550.05</v>
      </c>
      <c r="N315">
        <v>33.333333333333329</v>
      </c>
      <c r="O315">
        <v>93.166200000000003</v>
      </c>
      <c r="P315">
        <v>75.500500000000002</v>
      </c>
      <c r="Q315">
        <v>88</v>
      </c>
      <c r="R315">
        <v>90</v>
      </c>
      <c r="S315">
        <v>88</v>
      </c>
      <c r="T315">
        <v>9.39</v>
      </c>
      <c r="U315">
        <v>8.25</v>
      </c>
      <c r="W315" t="s">
        <v>497</v>
      </c>
    </row>
    <row r="316" spans="1:23" x14ac:dyDescent="0.25">
      <c r="A316" t="s">
        <v>816</v>
      </c>
      <c r="B316" t="str">
        <f t="shared" si="4"/>
        <v>TD2J00000090</v>
      </c>
      <c r="C316" t="s">
        <v>237</v>
      </c>
      <c r="D316" t="s">
        <v>85</v>
      </c>
      <c r="E316" t="s">
        <v>499</v>
      </c>
      <c r="F316">
        <v>10000</v>
      </c>
      <c r="G316" s="13">
        <v>44636</v>
      </c>
      <c r="H316" s="13">
        <v>44638</v>
      </c>
      <c r="I316">
        <v>2000</v>
      </c>
      <c r="J316">
        <v>8000</v>
      </c>
      <c r="K316">
        <v>10000</v>
      </c>
      <c r="N316">
        <v>25</v>
      </c>
      <c r="O316">
        <v>92.5</v>
      </c>
      <c r="P316">
        <v>100</v>
      </c>
      <c r="Q316">
        <v>91</v>
      </c>
      <c r="R316">
        <v>98</v>
      </c>
      <c r="S316">
        <v>91</v>
      </c>
      <c r="T316">
        <v>8.9</v>
      </c>
      <c r="U316">
        <v>6</v>
      </c>
      <c r="W316" t="s">
        <v>497</v>
      </c>
    </row>
    <row r="317" spans="1:23" x14ac:dyDescent="0.25">
      <c r="A317" t="s">
        <v>817</v>
      </c>
      <c r="B317" t="str">
        <f t="shared" si="4"/>
        <v>CM2B00000095</v>
      </c>
      <c r="C317" t="s">
        <v>225</v>
      </c>
      <c r="D317" t="s">
        <v>85</v>
      </c>
      <c r="E317" t="s">
        <v>507</v>
      </c>
      <c r="F317">
        <v>40000</v>
      </c>
      <c r="G317" s="13">
        <v>44641</v>
      </c>
      <c r="H317" s="13">
        <v>44643</v>
      </c>
      <c r="I317">
        <v>32532.400000000001</v>
      </c>
      <c r="J317">
        <v>0</v>
      </c>
      <c r="K317">
        <v>32532.400000000001</v>
      </c>
      <c r="N317">
        <v>19.047619047619047</v>
      </c>
      <c r="O317">
        <v>98.047899999999998</v>
      </c>
      <c r="P317">
        <v>86.331000000000003</v>
      </c>
      <c r="Q317">
        <v>97.5</v>
      </c>
      <c r="R317">
        <v>100</v>
      </c>
      <c r="S317">
        <v>97.5</v>
      </c>
      <c r="T317">
        <v>5.96</v>
      </c>
      <c r="U317">
        <v>5.5</v>
      </c>
      <c r="W317" t="s">
        <v>497</v>
      </c>
    </row>
    <row r="318" spans="1:23" x14ac:dyDescent="0.25">
      <c r="A318" t="s">
        <v>818</v>
      </c>
      <c r="B318" t="str">
        <f t="shared" si="4"/>
        <v>CG2B00000055</v>
      </c>
      <c r="C318" t="s">
        <v>229</v>
      </c>
      <c r="D318" t="s">
        <v>85</v>
      </c>
      <c r="E318" t="s">
        <v>507</v>
      </c>
      <c r="F318">
        <v>15000</v>
      </c>
      <c r="G318" s="13">
        <v>44642</v>
      </c>
      <c r="H318" s="13">
        <v>44644</v>
      </c>
      <c r="I318">
        <v>6000</v>
      </c>
      <c r="J318">
        <v>3046.6299999999992</v>
      </c>
      <c r="K318">
        <v>9046.6299999999992</v>
      </c>
      <c r="N318">
        <v>30.434782608695656</v>
      </c>
      <c r="O318">
        <v>91.005200000000002</v>
      </c>
      <c r="P318">
        <v>80.377499999999998</v>
      </c>
      <c r="Q318">
        <v>91</v>
      </c>
      <c r="R318">
        <v>92</v>
      </c>
      <c r="S318">
        <v>91</v>
      </c>
      <c r="T318">
        <v>8.76</v>
      </c>
      <c r="U318">
        <v>6.5</v>
      </c>
      <c r="W318" t="s">
        <v>497</v>
      </c>
    </row>
    <row r="319" spans="1:23" x14ac:dyDescent="0.25">
      <c r="A319" t="s">
        <v>819</v>
      </c>
      <c r="B319" t="str">
        <f t="shared" si="4"/>
        <v>GA2B00000109</v>
      </c>
      <c r="C319" t="s">
        <v>227</v>
      </c>
      <c r="D319" t="s">
        <v>85</v>
      </c>
      <c r="E319" t="s">
        <v>507</v>
      </c>
      <c r="F319">
        <v>15000</v>
      </c>
      <c r="G319" s="13">
        <v>44643</v>
      </c>
      <c r="H319" s="13">
        <v>44645</v>
      </c>
      <c r="I319">
        <v>0</v>
      </c>
      <c r="J319">
        <v>4000</v>
      </c>
      <c r="K319">
        <v>4000</v>
      </c>
      <c r="N319">
        <v>11.111111111111111</v>
      </c>
      <c r="O319">
        <v>89.489699999999999</v>
      </c>
      <c r="P319">
        <v>26.7333</v>
      </c>
      <c r="Q319">
        <v>89</v>
      </c>
      <c r="R319">
        <v>89.5</v>
      </c>
      <c r="S319">
        <v>89</v>
      </c>
      <c r="T319">
        <v>8.9</v>
      </c>
      <c r="U319">
        <v>6.25</v>
      </c>
      <c r="W319" t="s">
        <v>497</v>
      </c>
    </row>
    <row r="320" spans="1:23" x14ac:dyDescent="0.25">
      <c r="A320" t="s">
        <v>820</v>
      </c>
      <c r="B320" t="str">
        <f t="shared" si="4"/>
        <v>GA2J00000267</v>
      </c>
      <c r="C320" t="s">
        <v>227</v>
      </c>
      <c r="D320" t="s">
        <v>85</v>
      </c>
      <c r="E320" t="s">
        <v>499</v>
      </c>
      <c r="F320">
        <v>22500</v>
      </c>
      <c r="G320" s="13">
        <v>44643</v>
      </c>
      <c r="H320" s="13">
        <v>44645</v>
      </c>
      <c r="I320">
        <v>0</v>
      </c>
      <c r="J320">
        <v>15851.65</v>
      </c>
      <c r="K320">
        <v>15851.65</v>
      </c>
      <c r="N320">
        <v>16.666666666666664</v>
      </c>
      <c r="O320">
        <v>90.467600000000004</v>
      </c>
      <c r="P320">
        <v>70.496200000000002</v>
      </c>
      <c r="Q320">
        <v>90</v>
      </c>
      <c r="R320">
        <v>97</v>
      </c>
      <c r="S320">
        <v>90</v>
      </c>
      <c r="T320">
        <v>8.94</v>
      </c>
      <c r="U320">
        <v>5.25</v>
      </c>
      <c r="W320" t="s">
        <v>497</v>
      </c>
    </row>
    <row r="321" spans="1:23" x14ac:dyDescent="0.25">
      <c r="A321" t="s">
        <v>821</v>
      </c>
      <c r="B321" t="str">
        <f t="shared" si="4"/>
        <v>TD2A00000511</v>
      </c>
      <c r="C321" t="s">
        <v>237</v>
      </c>
      <c r="D321" t="s">
        <v>85</v>
      </c>
      <c r="E321" t="s">
        <v>496</v>
      </c>
      <c r="F321">
        <v>10000</v>
      </c>
      <c r="G321" s="13">
        <v>44643</v>
      </c>
      <c r="H321" s="13">
        <v>44645</v>
      </c>
      <c r="I321">
        <v>1700</v>
      </c>
      <c r="J321">
        <v>8300</v>
      </c>
      <c r="K321">
        <v>10000</v>
      </c>
      <c r="N321">
        <v>58.333333333333336</v>
      </c>
      <c r="O321">
        <v>92.730599999999995</v>
      </c>
      <c r="P321">
        <v>110.35</v>
      </c>
      <c r="Q321">
        <v>91.5</v>
      </c>
      <c r="R321">
        <v>100</v>
      </c>
      <c r="S321">
        <v>91.5</v>
      </c>
      <c r="T321">
        <v>10.63</v>
      </c>
      <c r="U321">
        <v>6.5</v>
      </c>
      <c r="W321" t="s">
        <v>497</v>
      </c>
    </row>
    <row r="322" spans="1:23" x14ac:dyDescent="0.25">
      <c r="A322" t="s">
        <v>822</v>
      </c>
      <c r="B322" t="str">
        <f t="shared" si="4"/>
        <v>CG2J00000248</v>
      </c>
      <c r="C322" t="s">
        <v>229</v>
      </c>
      <c r="D322" t="s">
        <v>85</v>
      </c>
      <c r="E322" t="s">
        <v>499</v>
      </c>
      <c r="F322">
        <v>50215</v>
      </c>
      <c r="G322" s="13">
        <v>44651</v>
      </c>
      <c r="H322" s="13">
        <v>44651</v>
      </c>
      <c r="K322">
        <v>50215</v>
      </c>
      <c r="N322">
        <v>0</v>
      </c>
      <c r="T322" t="s">
        <v>542</v>
      </c>
      <c r="U322">
        <v>6</v>
      </c>
      <c r="W322" t="s">
        <v>542</v>
      </c>
    </row>
    <row r="323" spans="1:23" x14ac:dyDescent="0.25">
      <c r="A323" t="s">
        <v>823</v>
      </c>
      <c r="B323" t="str">
        <f t="shared" si="4"/>
        <v>CG2K00000062</v>
      </c>
      <c r="C323" t="s">
        <v>229</v>
      </c>
      <c r="D323" t="s">
        <v>85</v>
      </c>
      <c r="E323" t="s">
        <v>516</v>
      </c>
      <c r="F323">
        <v>50215</v>
      </c>
      <c r="G323" s="13">
        <v>44651</v>
      </c>
      <c r="H323" s="13">
        <v>44651</v>
      </c>
      <c r="I323">
        <v>0</v>
      </c>
      <c r="K323">
        <v>50215</v>
      </c>
      <c r="N323">
        <v>0</v>
      </c>
      <c r="T323" t="s">
        <v>542</v>
      </c>
      <c r="U323">
        <v>6</v>
      </c>
      <c r="W323" t="s">
        <v>542</v>
      </c>
    </row>
    <row r="324" spans="1:23" x14ac:dyDescent="0.25">
      <c r="A324" t="s">
        <v>824</v>
      </c>
      <c r="B324" t="str">
        <f t="shared" si="4"/>
        <v>CG2B00000063</v>
      </c>
      <c r="C324" t="s">
        <v>229</v>
      </c>
      <c r="D324" t="s">
        <v>85</v>
      </c>
      <c r="E324" t="s">
        <v>507</v>
      </c>
      <c r="F324">
        <v>50215</v>
      </c>
      <c r="G324" s="13">
        <v>44651</v>
      </c>
      <c r="H324" s="13">
        <v>44651</v>
      </c>
      <c r="K324">
        <v>50215</v>
      </c>
      <c r="N324">
        <v>0</v>
      </c>
      <c r="T324" t="s">
        <v>542</v>
      </c>
      <c r="U324">
        <v>6</v>
      </c>
      <c r="W324" t="s">
        <v>542</v>
      </c>
    </row>
    <row r="325" spans="1:23" x14ac:dyDescent="0.25">
      <c r="A325" t="s">
        <v>825</v>
      </c>
      <c r="B325" t="str">
        <f t="shared" ref="B325:B388" si="5">MID(A325,1,12)</f>
        <v>CG2L00000012</v>
      </c>
      <c r="C325" t="s">
        <v>229</v>
      </c>
      <c r="D325" t="s">
        <v>85</v>
      </c>
      <c r="E325" t="s">
        <v>547</v>
      </c>
      <c r="F325">
        <v>50215</v>
      </c>
      <c r="G325" s="13">
        <v>44651</v>
      </c>
      <c r="H325" s="13">
        <v>44651</v>
      </c>
      <c r="K325">
        <v>50215</v>
      </c>
      <c r="N325">
        <v>0</v>
      </c>
      <c r="T325" t="s">
        <v>542</v>
      </c>
      <c r="U325">
        <v>6</v>
      </c>
      <c r="W325" t="s">
        <v>542</v>
      </c>
    </row>
    <row r="326" spans="1:23" x14ac:dyDescent="0.25">
      <c r="A326" t="s">
        <v>826</v>
      </c>
      <c r="B326" t="str">
        <f t="shared" si="5"/>
        <v>TD2A00000529</v>
      </c>
      <c r="C326" t="s">
        <v>237</v>
      </c>
      <c r="D326" t="s">
        <v>85</v>
      </c>
      <c r="E326" t="s">
        <v>496</v>
      </c>
      <c r="F326">
        <v>10000</v>
      </c>
      <c r="G326" s="13">
        <v>44650</v>
      </c>
      <c r="H326" s="13">
        <v>44652</v>
      </c>
      <c r="I326">
        <v>0</v>
      </c>
      <c r="J326">
        <v>2260</v>
      </c>
      <c r="K326">
        <v>2260</v>
      </c>
      <c r="N326">
        <v>33.333333333333329</v>
      </c>
      <c r="O326">
        <v>92.831699999999998</v>
      </c>
      <c r="P326">
        <v>32.950000000000003</v>
      </c>
      <c r="Q326">
        <v>92</v>
      </c>
      <c r="R326">
        <v>99.1</v>
      </c>
      <c r="S326">
        <v>92</v>
      </c>
      <c r="T326">
        <v>10.050000000000001</v>
      </c>
      <c r="U326">
        <v>6</v>
      </c>
      <c r="W326" t="s">
        <v>497</v>
      </c>
    </row>
    <row r="327" spans="1:23" x14ac:dyDescent="0.25">
      <c r="A327" t="s">
        <v>827</v>
      </c>
      <c r="B327" t="str">
        <f t="shared" si="5"/>
        <v>CG2J00000230</v>
      </c>
      <c r="C327" t="s">
        <v>229</v>
      </c>
      <c r="D327" t="s">
        <v>85</v>
      </c>
      <c r="E327" t="s">
        <v>499</v>
      </c>
      <c r="F327">
        <v>10000</v>
      </c>
      <c r="G327" s="13">
        <v>44656</v>
      </c>
      <c r="H327" s="13">
        <v>44658</v>
      </c>
      <c r="I327">
        <v>5152</v>
      </c>
      <c r="J327">
        <v>4848</v>
      </c>
      <c r="K327">
        <v>10000</v>
      </c>
      <c r="N327">
        <v>30.434782608695656</v>
      </c>
      <c r="O327">
        <v>92.559100000000001</v>
      </c>
      <c r="P327">
        <v>165.87</v>
      </c>
      <c r="Q327">
        <v>92.05</v>
      </c>
      <c r="R327">
        <v>95</v>
      </c>
      <c r="S327">
        <v>92.05</v>
      </c>
      <c r="T327">
        <v>8.8800000000000008</v>
      </c>
      <c r="U327">
        <v>6</v>
      </c>
      <c r="W327" t="s">
        <v>497</v>
      </c>
    </row>
    <row r="328" spans="1:23" x14ac:dyDescent="0.25">
      <c r="A328" t="s">
        <v>828</v>
      </c>
      <c r="B328" t="str">
        <f t="shared" si="5"/>
        <v>CG2K00000070</v>
      </c>
      <c r="C328" t="s">
        <v>229</v>
      </c>
      <c r="D328" t="s">
        <v>85</v>
      </c>
      <c r="E328" t="s">
        <v>516</v>
      </c>
      <c r="F328">
        <v>15000</v>
      </c>
      <c r="G328" s="13">
        <v>44663</v>
      </c>
      <c r="H328" s="13">
        <v>44665</v>
      </c>
      <c r="I328">
        <v>300</v>
      </c>
      <c r="J328">
        <v>6100</v>
      </c>
      <c r="K328">
        <v>6400</v>
      </c>
      <c r="N328">
        <v>13.043478260869565</v>
      </c>
      <c r="O328">
        <v>91.070300000000003</v>
      </c>
      <c r="P328">
        <v>42.7333</v>
      </c>
      <c r="Q328">
        <v>91</v>
      </c>
      <c r="R328">
        <v>91.25</v>
      </c>
      <c r="S328">
        <v>91</v>
      </c>
      <c r="T328">
        <v>8.9600000000000009</v>
      </c>
      <c r="U328">
        <v>6.25</v>
      </c>
      <c r="W328" t="s">
        <v>497</v>
      </c>
    </row>
    <row r="329" spans="1:23" x14ac:dyDescent="0.25">
      <c r="A329" t="s">
        <v>829</v>
      </c>
      <c r="B329" t="str">
        <f t="shared" si="5"/>
        <v>GA2B00000109</v>
      </c>
      <c r="C329" t="s">
        <v>227</v>
      </c>
      <c r="D329" t="s">
        <v>85</v>
      </c>
      <c r="E329" t="s">
        <v>507</v>
      </c>
      <c r="F329">
        <v>7500</v>
      </c>
      <c r="G329" s="13">
        <v>44664</v>
      </c>
      <c r="H329" s="13">
        <v>44666</v>
      </c>
      <c r="I329">
        <v>3</v>
      </c>
      <c r="J329">
        <v>1713.5</v>
      </c>
      <c r="K329">
        <v>1716.5</v>
      </c>
      <c r="N329">
        <v>22.222222222222221</v>
      </c>
      <c r="O329">
        <v>90.620400000000004</v>
      </c>
      <c r="P329">
        <v>23.5533</v>
      </c>
      <c r="Q329">
        <v>90</v>
      </c>
      <c r="R329">
        <v>98</v>
      </c>
      <c r="S329">
        <v>90</v>
      </c>
      <c r="T329">
        <v>8.6</v>
      </c>
      <c r="U329">
        <v>6.25</v>
      </c>
      <c r="W329" t="s">
        <v>497</v>
      </c>
    </row>
    <row r="330" spans="1:23" x14ac:dyDescent="0.25">
      <c r="A330" t="s">
        <v>830</v>
      </c>
      <c r="B330" t="str">
        <f t="shared" si="5"/>
        <v>GA2J00000267</v>
      </c>
      <c r="C330" t="s">
        <v>227</v>
      </c>
      <c r="D330" t="s">
        <v>85</v>
      </c>
      <c r="E330" t="s">
        <v>499</v>
      </c>
      <c r="F330">
        <v>15000</v>
      </c>
      <c r="G330" s="13">
        <v>44664</v>
      </c>
      <c r="H330" s="13">
        <v>44666</v>
      </c>
      <c r="I330">
        <v>3431.11</v>
      </c>
      <c r="J330">
        <v>11568.89</v>
      </c>
      <c r="K330">
        <v>15000</v>
      </c>
      <c r="N330">
        <v>33.333333333333329</v>
      </c>
      <c r="O330">
        <v>91.359300000000005</v>
      </c>
      <c r="P330">
        <v>174.1087</v>
      </c>
      <c r="Q330">
        <v>90.75</v>
      </c>
      <c r="R330">
        <v>97</v>
      </c>
      <c r="S330">
        <v>90.75</v>
      </c>
      <c r="T330">
        <v>8.58</v>
      </c>
      <c r="U330">
        <v>5.25</v>
      </c>
      <c r="W330" t="s">
        <v>497</v>
      </c>
    </row>
    <row r="331" spans="1:23" x14ac:dyDescent="0.25">
      <c r="A331" t="s">
        <v>831</v>
      </c>
      <c r="B331" t="str">
        <f t="shared" si="5"/>
        <v>TD2A00000537</v>
      </c>
      <c r="C331" t="s">
        <v>237</v>
      </c>
      <c r="D331" t="s">
        <v>85</v>
      </c>
      <c r="E331" t="s">
        <v>496</v>
      </c>
      <c r="F331">
        <v>10000</v>
      </c>
      <c r="G331" s="13">
        <v>44664</v>
      </c>
      <c r="H331" s="13">
        <v>44666</v>
      </c>
      <c r="I331">
        <v>0</v>
      </c>
      <c r="J331">
        <v>8070</v>
      </c>
      <c r="K331">
        <v>8070</v>
      </c>
      <c r="N331">
        <v>50</v>
      </c>
      <c r="O331">
        <v>92.164000000000001</v>
      </c>
      <c r="P331">
        <v>80.7</v>
      </c>
      <c r="Q331">
        <v>91</v>
      </c>
      <c r="R331">
        <v>97</v>
      </c>
      <c r="S331">
        <v>91</v>
      </c>
      <c r="T331">
        <v>10.97</v>
      </c>
      <c r="U331">
        <v>6.5</v>
      </c>
      <c r="W331" t="s">
        <v>497</v>
      </c>
    </row>
    <row r="332" spans="1:23" x14ac:dyDescent="0.25">
      <c r="A332" t="s">
        <v>832</v>
      </c>
      <c r="B332" t="str">
        <f t="shared" si="5"/>
        <v>TD2A00000545</v>
      </c>
      <c r="C332" t="s">
        <v>237</v>
      </c>
      <c r="D332" t="s">
        <v>85</v>
      </c>
      <c r="E332" t="s">
        <v>496</v>
      </c>
      <c r="F332">
        <v>10000</v>
      </c>
      <c r="G332" s="13">
        <v>44671</v>
      </c>
      <c r="H332" s="13">
        <v>44673</v>
      </c>
      <c r="J332">
        <v>4730</v>
      </c>
      <c r="K332">
        <v>4730</v>
      </c>
      <c r="N332">
        <v>25</v>
      </c>
      <c r="O332">
        <v>92.073999999999998</v>
      </c>
      <c r="P332">
        <v>57.3</v>
      </c>
      <c r="Q332">
        <v>92</v>
      </c>
      <c r="R332">
        <v>97</v>
      </c>
      <c r="S332">
        <v>92</v>
      </c>
      <c r="T332">
        <v>11.02</v>
      </c>
      <c r="U332">
        <v>6.5</v>
      </c>
      <c r="W332" t="s">
        <v>497</v>
      </c>
    </row>
    <row r="333" spans="1:23" x14ac:dyDescent="0.25">
      <c r="A333" t="s">
        <v>833</v>
      </c>
      <c r="B333" t="str">
        <f t="shared" si="5"/>
        <v>TD2J00000108</v>
      </c>
      <c r="C333" t="s">
        <v>237</v>
      </c>
      <c r="D333" t="s">
        <v>85</v>
      </c>
      <c r="E333" t="s">
        <v>499</v>
      </c>
      <c r="F333">
        <v>10000</v>
      </c>
      <c r="G333" s="13">
        <v>44678</v>
      </c>
      <c r="H333" s="13">
        <v>44680</v>
      </c>
      <c r="I333">
        <v>8409.07</v>
      </c>
      <c r="J333">
        <v>0</v>
      </c>
      <c r="K333">
        <v>8409.07</v>
      </c>
      <c r="N333">
        <v>16.666666666666664</v>
      </c>
      <c r="O333">
        <v>100</v>
      </c>
      <c r="P333">
        <v>84.190700000000007</v>
      </c>
      <c r="Q333">
        <v>100</v>
      </c>
      <c r="R333">
        <v>100</v>
      </c>
      <c r="S333">
        <v>100</v>
      </c>
      <c r="T333">
        <v>4.5</v>
      </c>
      <c r="U333">
        <v>4.5</v>
      </c>
      <c r="W333" t="s">
        <v>497</v>
      </c>
    </row>
    <row r="334" spans="1:23" x14ac:dyDescent="0.25">
      <c r="A334" t="s">
        <v>834</v>
      </c>
      <c r="B334" t="str">
        <f t="shared" si="5"/>
        <v>TD2J00000116</v>
      </c>
      <c r="C334" t="s">
        <v>237</v>
      </c>
      <c r="D334" t="s">
        <v>85</v>
      </c>
      <c r="E334" t="s">
        <v>499</v>
      </c>
      <c r="F334">
        <v>10000</v>
      </c>
      <c r="G334" s="13">
        <v>44685</v>
      </c>
      <c r="H334" s="13">
        <v>44687</v>
      </c>
      <c r="I334">
        <v>8409.07</v>
      </c>
      <c r="J334">
        <v>0</v>
      </c>
      <c r="K334">
        <v>8409.07</v>
      </c>
      <c r="N334">
        <v>16.666666666666664</v>
      </c>
      <c r="O334">
        <v>100</v>
      </c>
      <c r="P334">
        <v>84.190700000000007</v>
      </c>
      <c r="Q334">
        <v>100</v>
      </c>
      <c r="R334">
        <v>100</v>
      </c>
      <c r="S334">
        <v>1000</v>
      </c>
      <c r="T334">
        <v>4.5</v>
      </c>
      <c r="U334">
        <v>4.5</v>
      </c>
      <c r="W334" t="s">
        <v>497</v>
      </c>
    </row>
    <row r="335" spans="1:23" x14ac:dyDescent="0.25">
      <c r="A335" t="s">
        <v>835</v>
      </c>
      <c r="B335" t="str">
        <f t="shared" si="5"/>
        <v>CG2B00000071</v>
      </c>
      <c r="C335" t="s">
        <v>229</v>
      </c>
      <c r="D335" t="s">
        <v>85</v>
      </c>
      <c r="E335" t="s">
        <v>507</v>
      </c>
      <c r="F335">
        <v>15000</v>
      </c>
      <c r="G335" s="13">
        <v>44684</v>
      </c>
      <c r="H335" s="13">
        <v>44686</v>
      </c>
      <c r="J335">
        <v>0</v>
      </c>
      <c r="N335" t="e">
        <v>#VALUE!</v>
      </c>
      <c r="W335" t="s">
        <v>497</v>
      </c>
    </row>
    <row r="336" spans="1:23" x14ac:dyDescent="0.25">
      <c r="A336" t="s">
        <v>836</v>
      </c>
      <c r="B336" t="str">
        <f t="shared" si="5"/>
        <v>CF2J00000042</v>
      </c>
      <c r="C336" t="s">
        <v>634</v>
      </c>
      <c r="D336" t="s">
        <v>85</v>
      </c>
      <c r="E336" t="s">
        <v>499</v>
      </c>
      <c r="F336">
        <v>15000</v>
      </c>
      <c r="G336" s="13">
        <v>44690</v>
      </c>
      <c r="H336" s="13">
        <v>44692</v>
      </c>
      <c r="I336">
        <v>2800</v>
      </c>
      <c r="J336">
        <v>5100</v>
      </c>
      <c r="K336">
        <v>7900</v>
      </c>
      <c r="N336">
        <v>44.444444444444443</v>
      </c>
      <c r="O336">
        <v>90.6494</v>
      </c>
      <c r="P336">
        <v>52.666699999999999</v>
      </c>
      <c r="Q336">
        <v>90</v>
      </c>
      <c r="R336">
        <v>91</v>
      </c>
      <c r="S336">
        <v>90</v>
      </c>
      <c r="T336">
        <v>10.199999999999999</v>
      </c>
      <c r="U336">
        <v>6.5</v>
      </c>
      <c r="W336" t="s">
        <v>497</v>
      </c>
    </row>
    <row r="337" spans="1:23" x14ac:dyDescent="0.25">
      <c r="A337" t="s">
        <v>837</v>
      </c>
      <c r="B337" t="str">
        <f t="shared" si="5"/>
        <v>CG2B00000089</v>
      </c>
      <c r="C337" t="s">
        <v>229</v>
      </c>
      <c r="D337" t="s">
        <v>85</v>
      </c>
      <c r="E337" t="s">
        <v>507</v>
      </c>
      <c r="F337">
        <v>10000</v>
      </c>
      <c r="G337" s="13">
        <v>44691</v>
      </c>
      <c r="H337" s="13">
        <v>44693</v>
      </c>
      <c r="I337">
        <v>50</v>
      </c>
      <c r="J337">
        <v>1490</v>
      </c>
      <c r="K337">
        <v>1540</v>
      </c>
      <c r="N337">
        <v>21.739130434782609</v>
      </c>
      <c r="O337">
        <v>90.689899999999994</v>
      </c>
      <c r="P337">
        <v>15.4</v>
      </c>
      <c r="Q337">
        <v>90</v>
      </c>
      <c r="R337">
        <v>92</v>
      </c>
      <c r="S337">
        <v>90</v>
      </c>
      <c r="T337">
        <v>8.84</v>
      </c>
      <c r="U337">
        <v>6.5</v>
      </c>
      <c r="W337" t="s">
        <v>497</v>
      </c>
    </row>
    <row r="338" spans="1:23" x14ac:dyDescent="0.25">
      <c r="A338" t="s">
        <v>838</v>
      </c>
      <c r="B338" t="str">
        <f t="shared" si="5"/>
        <v>TD2A00000552</v>
      </c>
      <c r="C338" t="s">
        <v>237</v>
      </c>
      <c r="D338" t="s">
        <v>85</v>
      </c>
      <c r="E338" t="s">
        <v>496</v>
      </c>
      <c r="F338">
        <v>30000</v>
      </c>
      <c r="G338" s="13">
        <v>44692</v>
      </c>
      <c r="H338" s="13">
        <v>44694</v>
      </c>
      <c r="I338">
        <v>2500</v>
      </c>
      <c r="J338">
        <v>10914</v>
      </c>
      <c r="K338">
        <v>13414</v>
      </c>
      <c r="N338">
        <v>58.333333333333336</v>
      </c>
      <c r="O338">
        <v>92.5214</v>
      </c>
      <c r="P338">
        <v>61.075000000000003</v>
      </c>
      <c r="Q338">
        <v>92</v>
      </c>
      <c r="R338">
        <v>98.9</v>
      </c>
      <c r="S338">
        <v>92</v>
      </c>
      <c r="T338">
        <v>10.76</v>
      </c>
      <c r="U338">
        <v>6.5</v>
      </c>
      <c r="W338" t="s">
        <v>497</v>
      </c>
    </row>
    <row r="339" spans="1:23" x14ac:dyDescent="0.25">
      <c r="A339" t="s">
        <v>839</v>
      </c>
      <c r="B339" t="str">
        <f t="shared" si="5"/>
        <v>CG2A00000288</v>
      </c>
      <c r="C339" t="s">
        <v>229</v>
      </c>
      <c r="D339" t="s">
        <v>85</v>
      </c>
      <c r="E339" t="s">
        <v>496</v>
      </c>
      <c r="F339">
        <v>15000</v>
      </c>
      <c r="G339" s="13">
        <v>44698</v>
      </c>
      <c r="H339" s="13">
        <v>44700</v>
      </c>
      <c r="I339">
        <v>11069.7</v>
      </c>
      <c r="J339">
        <v>3930.2999999999993</v>
      </c>
      <c r="K339">
        <v>15000</v>
      </c>
      <c r="N339">
        <v>30.434782608695656</v>
      </c>
      <c r="O339">
        <v>92.185900000000004</v>
      </c>
      <c r="P339">
        <v>121.68</v>
      </c>
      <c r="Q339">
        <v>92</v>
      </c>
      <c r="R339">
        <v>92.5</v>
      </c>
      <c r="S339">
        <v>92</v>
      </c>
      <c r="T339">
        <v>9.64</v>
      </c>
      <c r="U339">
        <v>5.25</v>
      </c>
      <c r="W339" t="s">
        <v>497</v>
      </c>
    </row>
    <row r="340" spans="1:23" x14ac:dyDescent="0.25">
      <c r="A340" t="s">
        <v>840</v>
      </c>
      <c r="B340" t="str">
        <f t="shared" si="5"/>
        <v>GA2J00000275</v>
      </c>
      <c r="C340" t="s">
        <v>227</v>
      </c>
      <c r="D340" t="s">
        <v>85</v>
      </c>
      <c r="E340" t="s">
        <v>499</v>
      </c>
      <c r="F340">
        <v>30000</v>
      </c>
      <c r="G340" s="13">
        <v>44699</v>
      </c>
      <c r="H340" s="13">
        <v>44701</v>
      </c>
      <c r="I340">
        <v>4000</v>
      </c>
      <c r="J340">
        <v>19914</v>
      </c>
      <c r="K340">
        <v>23914</v>
      </c>
      <c r="N340">
        <v>38.888888888888893</v>
      </c>
      <c r="O340">
        <v>90.455799999999996</v>
      </c>
      <c r="P340">
        <v>79.746700000000004</v>
      </c>
      <c r="Q340">
        <v>90</v>
      </c>
      <c r="R340">
        <v>92</v>
      </c>
      <c r="S340">
        <v>90</v>
      </c>
      <c r="T340">
        <v>8.9499999999999993</v>
      </c>
      <c r="U340">
        <v>5.25</v>
      </c>
      <c r="W340" t="s">
        <v>497</v>
      </c>
    </row>
    <row r="341" spans="1:23" x14ac:dyDescent="0.25">
      <c r="A341" t="s">
        <v>841</v>
      </c>
      <c r="B341" t="str">
        <f t="shared" si="5"/>
        <v>GA2K00000033</v>
      </c>
      <c r="C341" t="s">
        <v>227</v>
      </c>
      <c r="D341" t="s">
        <v>85</v>
      </c>
      <c r="E341" t="s">
        <v>516</v>
      </c>
      <c r="F341">
        <v>15000</v>
      </c>
      <c r="G341" s="13">
        <v>44699</v>
      </c>
      <c r="H341" s="13">
        <v>44701</v>
      </c>
      <c r="J341">
        <v>8673</v>
      </c>
      <c r="K341">
        <v>8673</v>
      </c>
      <c r="N341">
        <v>11.111111111111111</v>
      </c>
      <c r="O341">
        <v>89.326999999999998</v>
      </c>
      <c r="P341">
        <v>57.82</v>
      </c>
      <c r="Q341">
        <v>89</v>
      </c>
      <c r="R341">
        <v>90</v>
      </c>
      <c r="S341">
        <v>89</v>
      </c>
      <c r="T341">
        <v>8.99</v>
      </c>
      <c r="U341">
        <v>5.75</v>
      </c>
      <c r="W341" t="s">
        <v>497</v>
      </c>
    </row>
    <row r="342" spans="1:23" x14ac:dyDescent="0.25">
      <c r="A342" t="s">
        <v>842</v>
      </c>
      <c r="B342" t="str">
        <f t="shared" si="5"/>
        <v>TD2A00000560</v>
      </c>
      <c r="C342" t="s">
        <v>237</v>
      </c>
      <c r="D342" t="s">
        <v>85</v>
      </c>
      <c r="E342" t="s">
        <v>496</v>
      </c>
      <c r="F342">
        <v>25000</v>
      </c>
      <c r="G342" s="13">
        <v>44699</v>
      </c>
      <c r="H342" s="13">
        <v>44701</v>
      </c>
      <c r="I342">
        <v>3600</v>
      </c>
      <c r="J342">
        <v>13107.25</v>
      </c>
      <c r="K342">
        <v>16707.25</v>
      </c>
      <c r="N342">
        <v>33.333333333333329</v>
      </c>
      <c r="O342">
        <v>92.201599999999999</v>
      </c>
      <c r="P342">
        <v>66.828999999999994</v>
      </c>
      <c r="Q342">
        <v>91</v>
      </c>
      <c r="R342">
        <v>94.5</v>
      </c>
      <c r="S342">
        <v>91</v>
      </c>
      <c r="T342">
        <v>10.95</v>
      </c>
      <c r="U342">
        <v>6.5</v>
      </c>
      <c r="W342" t="s">
        <v>497</v>
      </c>
    </row>
    <row r="343" spans="1:23" x14ac:dyDescent="0.25">
      <c r="A343" t="s">
        <v>843</v>
      </c>
      <c r="B343" t="str">
        <f t="shared" si="5"/>
        <v>GA2J00000275</v>
      </c>
      <c r="C343" t="s">
        <v>227</v>
      </c>
      <c r="D343" t="s">
        <v>85</v>
      </c>
      <c r="E343" t="s">
        <v>499</v>
      </c>
      <c r="F343">
        <v>10000</v>
      </c>
      <c r="G343" s="13">
        <v>44706</v>
      </c>
      <c r="H343" s="13">
        <v>44708</v>
      </c>
      <c r="I343">
        <v>6988.2</v>
      </c>
      <c r="J343">
        <v>3011.8</v>
      </c>
      <c r="K343">
        <v>10000</v>
      </c>
      <c r="N343">
        <v>33.333333333333329</v>
      </c>
      <c r="O343">
        <v>90.390199999999993</v>
      </c>
      <c r="P343">
        <v>105.22</v>
      </c>
      <c r="Q343">
        <v>90</v>
      </c>
      <c r="R343">
        <v>91</v>
      </c>
      <c r="S343">
        <v>90</v>
      </c>
      <c r="T343">
        <v>8.98</v>
      </c>
      <c r="U343">
        <v>5.25</v>
      </c>
      <c r="W343" t="s">
        <v>497</v>
      </c>
    </row>
    <row r="344" spans="1:23" x14ac:dyDescent="0.25">
      <c r="A344" t="s">
        <v>844</v>
      </c>
      <c r="B344" t="str">
        <f t="shared" si="5"/>
        <v>TD2A00000578</v>
      </c>
      <c r="C344" t="s">
        <v>237</v>
      </c>
      <c r="D344" t="s">
        <v>85</v>
      </c>
      <c r="E344" t="s">
        <v>496</v>
      </c>
      <c r="F344">
        <v>10000</v>
      </c>
      <c r="G344" s="13">
        <v>44706</v>
      </c>
      <c r="H344" s="13">
        <v>44708</v>
      </c>
      <c r="J344">
        <v>0</v>
      </c>
      <c r="N344" t="e">
        <v>#VALUE!</v>
      </c>
      <c r="W344" t="s">
        <v>497</v>
      </c>
    </row>
    <row r="345" spans="1:23" x14ac:dyDescent="0.25">
      <c r="A345" t="s">
        <v>845</v>
      </c>
      <c r="B345" t="str">
        <f t="shared" si="5"/>
        <v>CG2J00000255</v>
      </c>
      <c r="C345" t="s">
        <v>229</v>
      </c>
      <c r="D345" t="s">
        <v>85</v>
      </c>
      <c r="E345" t="s">
        <v>499</v>
      </c>
      <c r="F345">
        <v>10000</v>
      </c>
      <c r="G345" s="13">
        <v>44712</v>
      </c>
      <c r="H345" s="13">
        <v>44714</v>
      </c>
      <c r="I345">
        <v>2000</v>
      </c>
      <c r="J345">
        <v>493.11000000000013</v>
      </c>
      <c r="K345">
        <v>2493.11</v>
      </c>
      <c r="N345">
        <v>17.391304347826086</v>
      </c>
      <c r="O345">
        <v>92.215800000000002</v>
      </c>
      <c r="P345">
        <v>24.931100000000001</v>
      </c>
      <c r="Q345">
        <v>92</v>
      </c>
      <c r="R345">
        <v>95</v>
      </c>
      <c r="S345">
        <v>92</v>
      </c>
      <c r="T345">
        <v>9.02</v>
      </c>
      <c r="U345">
        <v>6</v>
      </c>
      <c r="W345" t="s">
        <v>497</v>
      </c>
    </row>
    <row r="346" spans="1:23" x14ac:dyDescent="0.25">
      <c r="A346" t="s">
        <v>846</v>
      </c>
      <c r="B346" t="str">
        <f t="shared" si="5"/>
        <v>TD2A00000586</v>
      </c>
      <c r="C346" t="s">
        <v>237</v>
      </c>
      <c r="D346" t="s">
        <v>85</v>
      </c>
      <c r="E346" t="s">
        <v>496</v>
      </c>
      <c r="F346">
        <v>35000</v>
      </c>
      <c r="G346" s="13">
        <v>44713</v>
      </c>
      <c r="H346" s="13">
        <v>44715</v>
      </c>
      <c r="I346">
        <v>0</v>
      </c>
      <c r="J346">
        <v>18863.5</v>
      </c>
      <c r="K346">
        <v>18863.5</v>
      </c>
      <c r="N346">
        <v>50</v>
      </c>
      <c r="O346">
        <v>91.4024</v>
      </c>
      <c r="P346">
        <v>54.467100000000002</v>
      </c>
      <c r="Q346">
        <v>91</v>
      </c>
      <c r="R346">
        <v>98.5</v>
      </c>
      <c r="S346">
        <v>91</v>
      </c>
      <c r="T346">
        <v>11.43</v>
      </c>
      <c r="U346">
        <v>6.5</v>
      </c>
      <c r="W346" t="s">
        <v>497</v>
      </c>
    </row>
    <row r="347" spans="1:23" x14ac:dyDescent="0.25">
      <c r="A347" t="s">
        <v>847</v>
      </c>
      <c r="B347" t="str">
        <f t="shared" si="5"/>
        <v>CG2B00000089</v>
      </c>
      <c r="C347" t="s">
        <v>229</v>
      </c>
      <c r="D347" t="s">
        <v>85</v>
      </c>
      <c r="E347" t="s">
        <v>507</v>
      </c>
      <c r="F347">
        <v>7500</v>
      </c>
      <c r="G347" s="13">
        <v>44719</v>
      </c>
      <c r="H347" s="13">
        <v>44721</v>
      </c>
      <c r="J347">
        <v>0</v>
      </c>
      <c r="N347" t="e">
        <v>#VALUE!</v>
      </c>
      <c r="W347" t="s">
        <v>497</v>
      </c>
    </row>
    <row r="348" spans="1:23" x14ac:dyDescent="0.25">
      <c r="A348" t="s">
        <v>848</v>
      </c>
      <c r="B348" t="str">
        <f t="shared" si="5"/>
        <v>GA2K00000033</v>
      </c>
      <c r="C348" t="s">
        <v>227</v>
      </c>
      <c r="D348" t="s">
        <v>85</v>
      </c>
      <c r="E348" t="s">
        <v>516</v>
      </c>
      <c r="F348">
        <v>22500</v>
      </c>
      <c r="G348" s="13">
        <v>44720</v>
      </c>
      <c r="H348" s="13">
        <v>44722</v>
      </c>
      <c r="I348">
        <v>2540</v>
      </c>
      <c r="J348">
        <v>7080</v>
      </c>
      <c r="K348">
        <v>9620</v>
      </c>
      <c r="N348">
        <v>33.333333333333329</v>
      </c>
      <c r="O348">
        <v>89.567800000000005</v>
      </c>
      <c r="P348">
        <v>43.644399999999997</v>
      </c>
      <c r="Q348">
        <v>89</v>
      </c>
      <c r="R348">
        <v>92</v>
      </c>
      <c r="S348">
        <v>89</v>
      </c>
      <c r="T348">
        <v>8.91</v>
      </c>
      <c r="U348">
        <v>5.75</v>
      </c>
      <c r="W348" t="s">
        <v>497</v>
      </c>
    </row>
    <row r="349" spans="1:23" x14ac:dyDescent="0.25">
      <c r="A349" t="s">
        <v>849</v>
      </c>
      <c r="B349" t="str">
        <f t="shared" si="5"/>
        <v>TD2J00000124</v>
      </c>
      <c r="C349" t="s">
        <v>237</v>
      </c>
      <c r="D349" t="s">
        <v>85</v>
      </c>
      <c r="E349" t="s">
        <v>499</v>
      </c>
      <c r="F349">
        <v>25000</v>
      </c>
      <c r="G349" s="13">
        <v>44720</v>
      </c>
      <c r="H349" s="13">
        <v>44722</v>
      </c>
      <c r="I349">
        <v>1000</v>
      </c>
      <c r="J349">
        <v>16513</v>
      </c>
      <c r="K349">
        <v>17513</v>
      </c>
      <c r="N349">
        <v>33.333333333333329</v>
      </c>
      <c r="O349">
        <v>90.702399999999997</v>
      </c>
      <c r="P349">
        <v>70.052000000000007</v>
      </c>
      <c r="Q349">
        <v>90</v>
      </c>
      <c r="R349">
        <v>100</v>
      </c>
      <c r="S349">
        <v>90</v>
      </c>
      <c r="T349">
        <v>10.17</v>
      </c>
      <c r="U349">
        <v>6.5</v>
      </c>
      <c r="W349" t="s">
        <v>497</v>
      </c>
    </row>
    <row r="350" spans="1:23" x14ac:dyDescent="0.25">
      <c r="A350" t="s">
        <v>850</v>
      </c>
      <c r="B350" t="str">
        <f t="shared" si="5"/>
        <v>CG2J00000263</v>
      </c>
      <c r="C350" t="s">
        <v>229</v>
      </c>
      <c r="D350" t="s">
        <v>85</v>
      </c>
      <c r="E350" t="s">
        <v>499</v>
      </c>
      <c r="F350">
        <v>10000</v>
      </c>
      <c r="G350" s="13">
        <v>44726</v>
      </c>
      <c r="H350" s="13">
        <v>44728</v>
      </c>
      <c r="I350">
        <v>4100</v>
      </c>
      <c r="J350">
        <v>0</v>
      </c>
      <c r="K350">
        <v>4100</v>
      </c>
      <c r="N350">
        <v>8.695652173913043</v>
      </c>
      <c r="O350">
        <v>92.006100000000004</v>
      </c>
      <c r="P350">
        <v>41.1</v>
      </c>
      <c r="Q350">
        <v>92</v>
      </c>
      <c r="R350">
        <v>92.25</v>
      </c>
      <c r="S350">
        <v>92</v>
      </c>
      <c r="T350">
        <v>8.84</v>
      </c>
      <c r="U350">
        <v>5.75</v>
      </c>
      <c r="W350" t="s">
        <v>497</v>
      </c>
    </row>
    <row r="351" spans="1:23" x14ac:dyDescent="0.25">
      <c r="A351" t="s">
        <v>851</v>
      </c>
      <c r="B351" t="str">
        <f t="shared" si="5"/>
        <v>TD2A00000594</v>
      </c>
      <c r="C351" t="s">
        <v>237</v>
      </c>
      <c r="D351" t="s">
        <v>85</v>
      </c>
      <c r="E351" t="s">
        <v>496</v>
      </c>
      <c r="F351">
        <v>50000</v>
      </c>
      <c r="G351" s="13">
        <v>44727</v>
      </c>
      <c r="H351" s="13">
        <v>44729</v>
      </c>
      <c r="I351">
        <v>6000</v>
      </c>
      <c r="J351">
        <v>20315.169999999998</v>
      </c>
      <c r="K351">
        <v>26315.17</v>
      </c>
      <c r="N351">
        <v>41.666666666666671</v>
      </c>
      <c r="O351">
        <v>91.157899999999998</v>
      </c>
      <c r="P351">
        <v>52.630299999999998</v>
      </c>
      <c r="Q351">
        <v>90</v>
      </c>
      <c r="R351">
        <v>98.9</v>
      </c>
      <c r="S351">
        <v>90</v>
      </c>
      <c r="T351">
        <v>11.58</v>
      </c>
      <c r="U351">
        <v>6.5</v>
      </c>
      <c r="W351" t="s">
        <v>497</v>
      </c>
    </row>
    <row r="352" spans="1:23" x14ac:dyDescent="0.25">
      <c r="A352" t="s">
        <v>852</v>
      </c>
      <c r="B352" t="str">
        <f t="shared" si="5"/>
        <v>CG2J00000255</v>
      </c>
      <c r="C352" t="s">
        <v>229</v>
      </c>
      <c r="D352" t="s">
        <v>85</v>
      </c>
      <c r="E352" t="s">
        <v>499</v>
      </c>
      <c r="F352">
        <v>10000</v>
      </c>
      <c r="G352" s="13">
        <v>44733</v>
      </c>
      <c r="H352" s="13">
        <v>44735</v>
      </c>
      <c r="I352">
        <v>1350.05</v>
      </c>
      <c r="J352">
        <v>1520.0000000000002</v>
      </c>
      <c r="K352">
        <v>2870.05</v>
      </c>
      <c r="N352">
        <v>26.086956521739129</v>
      </c>
      <c r="O352">
        <v>92.627399999999994</v>
      </c>
      <c r="P352">
        <v>29.1005</v>
      </c>
      <c r="Q352">
        <v>92</v>
      </c>
      <c r="R352">
        <v>97</v>
      </c>
      <c r="S352">
        <v>92</v>
      </c>
      <c r="T352">
        <v>8.85</v>
      </c>
      <c r="U352">
        <v>6</v>
      </c>
      <c r="W352" t="s">
        <v>497</v>
      </c>
    </row>
    <row r="353" spans="1:23" x14ac:dyDescent="0.25">
      <c r="A353" t="s">
        <v>853</v>
      </c>
      <c r="B353" t="str">
        <f t="shared" si="5"/>
        <v>GA2J00000218</v>
      </c>
      <c r="C353" t="s">
        <v>227</v>
      </c>
      <c r="D353" t="s">
        <v>85</v>
      </c>
      <c r="E353" t="s">
        <v>499</v>
      </c>
      <c r="F353">
        <v>20000</v>
      </c>
      <c r="G353" s="13">
        <v>44734</v>
      </c>
      <c r="H353" s="13">
        <v>44736</v>
      </c>
      <c r="I353">
        <v>10457.59</v>
      </c>
      <c r="J353">
        <v>9542.41</v>
      </c>
      <c r="K353">
        <v>20000</v>
      </c>
      <c r="N353">
        <v>38.888888888888893</v>
      </c>
      <c r="O353">
        <v>95.433199999999999</v>
      </c>
      <c r="P353">
        <v>204.29599999999999</v>
      </c>
      <c r="Q353">
        <v>91</v>
      </c>
      <c r="R353">
        <v>94</v>
      </c>
      <c r="S353">
        <v>91</v>
      </c>
      <c r="T353">
        <v>7.76</v>
      </c>
      <c r="U353">
        <v>5.25</v>
      </c>
      <c r="W353" t="s">
        <v>497</v>
      </c>
    </row>
    <row r="354" spans="1:23" x14ac:dyDescent="0.25">
      <c r="A354" t="s">
        <v>854</v>
      </c>
      <c r="B354" t="str">
        <f t="shared" si="5"/>
        <v>TD2A00000602</v>
      </c>
      <c r="C354" t="s">
        <v>237</v>
      </c>
      <c r="D354" t="s">
        <v>85</v>
      </c>
      <c r="E354" t="s">
        <v>496</v>
      </c>
      <c r="F354">
        <v>20000</v>
      </c>
      <c r="G354" s="13">
        <v>44734</v>
      </c>
      <c r="H354" s="13">
        <v>44736</v>
      </c>
      <c r="I354">
        <v>0</v>
      </c>
      <c r="J354">
        <v>8130</v>
      </c>
      <c r="K354">
        <v>8130</v>
      </c>
      <c r="N354">
        <v>33.333333333333329</v>
      </c>
      <c r="O354">
        <v>90.218800000000002</v>
      </c>
      <c r="P354">
        <v>40.65</v>
      </c>
      <c r="Q354">
        <v>90</v>
      </c>
      <c r="R354">
        <v>93</v>
      </c>
      <c r="S354">
        <v>90</v>
      </c>
      <c r="T354">
        <v>12.16</v>
      </c>
      <c r="U354">
        <v>6.5</v>
      </c>
      <c r="W354" t="s">
        <v>497</v>
      </c>
    </row>
    <row r="355" spans="1:23" x14ac:dyDescent="0.25">
      <c r="A355" t="s">
        <v>855</v>
      </c>
      <c r="B355" t="str">
        <f t="shared" si="5"/>
        <v>CG2J00000263</v>
      </c>
      <c r="C355" t="s">
        <v>229</v>
      </c>
      <c r="D355" t="s">
        <v>85</v>
      </c>
      <c r="E355" t="s">
        <v>499</v>
      </c>
      <c r="F355">
        <v>20000</v>
      </c>
      <c r="G355" s="13">
        <v>44740</v>
      </c>
      <c r="H355" s="13">
        <v>44742</v>
      </c>
      <c r="I355">
        <v>3480</v>
      </c>
      <c r="J355">
        <v>3500.8</v>
      </c>
      <c r="K355">
        <v>6980.8</v>
      </c>
      <c r="N355">
        <v>21.739130434782609</v>
      </c>
      <c r="O355">
        <v>91.000699999999995</v>
      </c>
      <c r="P355">
        <v>34.904000000000003</v>
      </c>
      <c r="Q355">
        <v>90</v>
      </c>
      <c r="R355">
        <v>98</v>
      </c>
      <c r="S355">
        <v>90</v>
      </c>
      <c r="T355">
        <v>9.25</v>
      </c>
      <c r="U355">
        <v>5.75</v>
      </c>
      <c r="W355" t="s">
        <v>497</v>
      </c>
    </row>
    <row r="356" spans="1:23" x14ac:dyDescent="0.25">
      <c r="A356" t="s">
        <v>856</v>
      </c>
      <c r="B356" t="str">
        <f t="shared" si="5"/>
        <v>CF2J00000042</v>
      </c>
      <c r="C356" t="s">
        <v>634</v>
      </c>
      <c r="D356" t="s">
        <v>85</v>
      </c>
      <c r="E356" t="s">
        <v>499</v>
      </c>
      <c r="F356">
        <v>8000</v>
      </c>
      <c r="G356" s="13">
        <v>44746</v>
      </c>
      <c r="H356" s="13">
        <v>44748</v>
      </c>
      <c r="I356">
        <v>7100</v>
      </c>
      <c r="J356">
        <v>345.5</v>
      </c>
      <c r="K356">
        <v>7445.5</v>
      </c>
      <c r="N356">
        <v>33.333333333333329</v>
      </c>
      <c r="O356">
        <v>86.298400000000001</v>
      </c>
      <c r="P356">
        <v>93.081299999999999</v>
      </c>
      <c r="Q356">
        <v>85</v>
      </c>
      <c r="R356">
        <v>93</v>
      </c>
      <c r="S356">
        <v>90</v>
      </c>
      <c r="T356">
        <v>12.08</v>
      </c>
      <c r="U356">
        <v>6.5</v>
      </c>
      <c r="W356" t="s">
        <v>497</v>
      </c>
    </row>
    <row r="357" spans="1:23" x14ac:dyDescent="0.25">
      <c r="A357" t="s">
        <v>857</v>
      </c>
      <c r="B357" t="str">
        <f t="shared" si="5"/>
        <v>CG2A00000296</v>
      </c>
      <c r="C357" t="s">
        <v>229</v>
      </c>
      <c r="D357" t="s">
        <v>85</v>
      </c>
      <c r="E357" t="s">
        <v>496</v>
      </c>
      <c r="F357">
        <v>10000</v>
      </c>
      <c r="G357" s="13">
        <v>44747</v>
      </c>
      <c r="H357" s="13">
        <v>44749</v>
      </c>
      <c r="I357">
        <v>6060</v>
      </c>
      <c r="J357">
        <v>2000</v>
      </c>
      <c r="K357">
        <v>8060</v>
      </c>
      <c r="N357">
        <v>21.739130434782609</v>
      </c>
      <c r="O357">
        <v>92.525800000000004</v>
      </c>
      <c r="P357">
        <v>106.7</v>
      </c>
      <c r="Q357">
        <v>92</v>
      </c>
      <c r="R357">
        <v>93</v>
      </c>
      <c r="S357">
        <v>92</v>
      </c>
      <c r="T357">
        <v>9.44</v>
      </c>
      <c r="U357">
        <v>5.25</v>
      </c>
      <c r="W357" t="s">
        <v>497</v>
      </c>
    </row>
    <row r="358" spans="1:23" x14ac:dyDescent="0.25">
      <c r="A358" t="s">
        <v>858</v>
      </c>
      <c r="B358" t="str">
        <f t="shared" si="5"/>
        <v>TD2A00000610</v>
      </c>
      <c r="C358" t="s">
        <v>237</v>
      </c>
      <c r="D358" t="s">
        <v>85</v>
      </c>
      <c r="E358" t="s">
        <v>496</v>
      </c>
      <c r="F358">
        <v>40000</v>
      </c>
      <c r="G358" s="13">
        <v>44748</v>
      </c>
      <c r="H358" s="13">
        <v>44750</v>
      </c>
      <c r="I358">
        <v>0</v>
      </c>
      <c r="J358">
        <v>21065.35</v>
      </c>
      <c r="K358">
        <v>21065.35</v>
      </c>
      <c r="N358">
        <v>41.666666666666671</v>
      </c>
      <c r="O358">
        <v>90.187399999999997</v>
      </c>
      <c r="P358">
        <v>52.663400000000003</v>
      </c>
      <c r="Q358">
        <v>90</v>
      </c>
      <c r="R358">
        <v>98.54</v>
      </c>
      <c r="S358">
        <v>90</v>
      </c>
      <c r="T358">
        <v>12.18</v>
      </c>
      <c r="U358">
        <v>6.5</v>
      </c>
      <c r="W358" t="s">
        <v>497</v>
      </c>
    </row>
    <row r="359" spans="1:23" x14ac:dyDescent="0.25">
      <c r="A359" t="s">
        <v>859</v>
      </c>
      <c r="B359" t="str">
        <f t="shared" si="5"/>
        <v>CG2A00000304</v>
      </c>
      <c r="C359" t="s">
        <v>229</v>
      </c>
      <c r="D359" t="s">
        <v>85</v>
      </c>
      <c r="E359" t="s">
        <v>496</v>
      </c>
      <c r="F359">
        <v>10000</v>
      </c>
      <c r="G359" s="13">
        <v>44754</v>
      </c>
      <c r="H359" s="13">
        <v>44756</v>
      </c>
      <c r="I359">
        <v>6100</v>
      </c>
      <c r="J359">
        <v>3000</v>
      </c>
      <c r="K359">
        <v>9100</v>
      </c>
      <c r="N359">
        <v>17.391304347826086</v>
      </c>
      <c r="O359">
        <v>92.329700000000003</v>
      </c>
      <c r="P359">
        <v>91.1</v>
      </c>
      <c r="Q359">
        <v>92</v>
      </c>
      <c r="R359">
        <v>93</v>
      </c>
      <c r="S359">
        <v>92</v>
      </c>
      <c r="T359">
        <v>9.5500000000000007</v>
      </c>
      <c r="U359">
        <v>5.25</v>
      </c>
      <c r="W359" t="s">
        <v>497</v>
      </c>
    </row>
    <row r="360" spans="1:23" x14ac:dyDescent="0.25">
      <c r="A360" t="s">
        <v>860</v>
      </c>
      <c r="B360" t="str">
        <f t="shared" si="5"/>
        <v>GA2B00000034</v>
      </c>
      <c r="C360" t="s">
        <v>227</v>
      </c>
      <c r="D360" t="s">
        <v>85</v>
      </c>
      <c r="E360" t="s">
        <v>507</v>
      </c>
      <c r="F360">
        <v>12500</v>
      </c>
      <c r="G360" s="13">
        <v>44755</v>
      </c>
      <c r="H360" s="13">
        <v>44757</v>
      </c>
      <c r="I360">
        <v>10000</v>
      </c>
      <c r="J360">
        <v>2500</v>
      </c>
      <c r="K360">
        <v>12500</v>
      </c>
      <c r="N360">
        <v>44.444444444444443</v>
      </c>
      <c r="O360">
        <v>101.21939999999999</v>
      </c>
      <c r="P360">
        <v>299.89600000000002</v>
      </c>
      <c r="Q360">
        <v>94.025000000000006</v>
      </c>
      <c r="R360">
        <v>100</v>
      </c>
      <c r="S360">
        <v>94.025000000000006</v>
      </c>
      <c r="T360">
        <v>6.55</v>
      </c>
      <c r="U360">
        <v>7</v>
      </c>
      <c r="W360" t="s">
        <v>497</v>
      </c>
    </row>
    <row r="361" spans="1:23" x14ac:dyDescent="0.25">
      <c r="A361" t="s">
        <v>861</v>
      </c>
      <c r="B361" t="str">
        <f t="shared" si="5"/>
        <v>GA2J00000184</v>
      </c>
      <c r="C361" t="s">
        <v>227</v>
      </c>
      <c r="D361" t="s">
        <v>85</v>
      </c>
      <c r="E361" t="s">
        <v>499</v>
      </c>
      <c r="F361">
        <v>10000</v>
      </c>
      <c r="G361" s="13">
        <v>44755</v>
      </c>
      <c r="H361" s="13">
        <v>44757</v>
      </c>
      <c r="I361">
        <v>10000</v>
      </c>
      <c r="J361">
        <v>0</v>
      </c>
      <c r="K361">
        <v>10000</v>
      </c>
      <c r="N361">
        <v>33.333333333333329</v>
      </c>
      <c r="O361">
        <v>94.621399999999994</v>
      </c>
      <c r="P361">
        <v>183.1</v>
      </c>
      <c r="Q361">
        <v>94.15</v>
      </c>
      <c r="R361">
        <v>95</v>
      </c>
      <c r="S361">
        <v>94.15</v>
      </c>
      <c r="T361">
        <v>8.48</v>
      </c>
      <c r="U361">
        <v>5.5</v>
      </c>
      <c r="W361" t="s">
        <v>497</v>
      </c>
    </row>
    <row r="362" spans="1:23" x14ac:dyDescent="0.25">
      <c r="A362" t="s">
        <v>862</v>
      </c>
      <c r="B362" t="str">
        <f t="shared" si="5"/>
        <v>TD2A00000628</v>
      </c>
      <c r="C362" t="s">
        <v>237</v>
      </c>
      <c r="D362" t="s">
        <v>85</v>
      </c>
      <c r="E362" t="s">
        <v>496</v>
      </c>
      <c r="F362">
        <v>25000</v>
      </c>
      <c r="G362" s="13">
        <v>44755</v>
      </c>
      <c r="H362" s="13">
        <v>44757</v>
      </c>
      <c r="I362">
        <v>0</v>
      </c>
      <c r="J362">
        <v>18350</v>
      </c>
      <c r="K362">
        <v>18350</v>
      </c>
      <c r="N362">
        <v>41.666666666666671</v>
      </c>
      <c r="O362">
        <v>90.578800000000001</v>
      </c>
      <c r="P362">
        <v>73.400000000000006</v>
      </c>
      <c r="Q362">
        <v>90</v>
      </c>
      <c r="R362">
        <v>99.2</v>
      </c>
      <c r="S362">
        <v>90</v>
      </c>
      <c r="T362">
        <v>11.93</v>
      </c>
      <c r="U362">
        <v>6.5</v>
      </c>
      <c r="W362" t="s">
        <v>497</v>
      </c>
    </row>
    <row r="363" spans="1:23" x14ac:dyDescent="0.25">
      <c r="A363" t="s">
        <v>863</v>
      </c>
      <c r="B363" t="str">
        <f t="shared" si="5"/>
        <v>TD2J00000132</v>
      </c>
      <c r="C363" t="s">
        <v>237</v>
      </c>
      <c r="D363" t="s">
        <v>85</v>
      </c>
      <c r="E363" t="s">
        <v>499</v>
      </c>
      <c r="F363">
        <v>20000</v>
      </c>
      <c r="G363" s="13">
        <v>44762</v>
      </c>
      <c r="H363" s="13">
        <v>44764</v>
      </c>
      <c r="I363">
        <v>17000</v>
      </c>
      <c r="J363">
        <v>2015</v>
      </c>
      <c r="K363">
        <v>19015</v>
      </c>
      <c r="N363">
        <v>33.333333333333329</v>
      </c>
      <c r="O363">
        <v>92.762600000000006</v>
      </c>
      <c r="P363">
        <v>120.075</v>
      </c>
      <c r="Q363">
        <v>92</v>
      </c>
      <c r="R363">
        <v>93</v>
      </c>
      <c r="S363">
        <v>92</v>
      </c>
      <c r="T363">
        <v>9.32</v>
      </c>
      <c r="U363">
        <v>6.5</v>
      </c>
      <c r="W363" t="s">
        <v>497</v>
      </c>
    </row>
    <row r="364" spans="1:23" x14ac:dyDescent="0.25">
      <c r="A364" t="s">
        <v>864</v>
      </c>
      <c r="B364" t="str">
        <f t="shared" si="5"/>
        <v>CG2K00000047</v>
      </c>
      <c r="C364" t="s">
        <v>229</v>
      </c>
      <c r="D364" t="s">
        <v>85</v>
      </c>
      <c r="E364" t="s">
        <v>516</v>
      </c>
      <c r="F364">
        <v>15000</v>
      </c>
      <c r="G364" s="13">
        <v>44768</v>
      </c>
      <c r="H364" s="13">
        <v>44770</v>
      </c>
      <c r="I364">
        <v>1750</v>
      </c>
      <c r="J364">
        <v>2785</v>
      </c>
      <c r="K364">
        <v>4535</v>
      </c>
      <c r="N364">
        <v>30.434782608695656</v>
      </c>
      <c r="O364">
        <v>92.636399999999995</v>
      </c>
      <c r="P364">
        <v>80.366699999999994</v>
      </c>
      <c r="Q364">
        <v>92</v>
      </c>
      <c r="R364">
        <v>98</v>
      </c>
      <c r="S364">
        <v>92</v>
      </c>
      <c r="T364">
        <v>9.11</v>
      </c>
      <c r="U364">
        <v>6.25</v>
      </c>
      <c r="W364" t="s">
        <v>497</v>
      </c>
    </row>
    <row r="365" spans="1:23" x14ac:dyDescent="0.25">
      <c r="A365" t="s">
        <v>865</v>
      </c>
      <c r="B365" t="str">
        <f t="shared" si="5"/>
        <v>TD2J00000140</v>
      </c>
      <c r="C365" t="s">
        <v>237</v>
      </c>
      <c r="D365" t="s">
        <v>85</v>
      </c>
      <c r="E365" t="s">
        <v>499</v>
      </c>
      <c r="F365">
        <v>12000</v>
      </c>
      <c r="G365" s="13">
        <v>44769</v>
      </c>
      <c r="H365" s="13">
        <v>44771</v>
      </c>
      <c r="I365">
        <v>0</v>
      </c>
      <c r="J365">
        <v>8700</v>
      </c>
      <c r="K365">
        <v>8700</v>
      </c>
      <c r="N365">
        <v>33.333333333333329</v>
      </c>
      <c r="O365">
        <v>92.310299999999998</v>
      </c>
      <c r="P365">
        <v>93.333299999999994</v>
      </c>
      <c r="Q365">
        <v>92</v>
      </c>
      <c r="R365">
        <v>94</v>
      </c>
      <c r="S365">
        <v>92</v>
      </c>
      <c r="T365">
        <v>9.51</v>
      </c>
      <c r="U365">
        <v>6.5</v>
      </c>
      <c r="W365" t="s">
        <v>497</v>
      </c>
    </row>
    <row r="366" spans="1:23" x14ac:dyDescent="0.25">
      <c r="A366" t="s">
        <v>866</v>
      </c>
      <c r="B366" t="str">
        <f t="shared" si="5"/>
        <v>GA2B00000117</v>
      </c>
      <c r="C366" t="s">
        <v>227</v>
      </c>
      <c r="D366" t="s">
        <v>85</v>
      </c>
      <c r="E366" t="s">
        <v>507</v>
      </c>
      <c r="F366">
        <v>20000</v>
      </c>
      <c r="G366" s="13">
        <v>44776</v>
      </c>
      <c r="H366" s="13">
        <v>44778</v>
      </c>
      <c r="I366">
        <v>2810</v>
      </c>
      <c r="J366">
        <v>15520</v>
      </c>
      <c r="K366">
        <v>18330</v>
      </c>
      <c r="N366">
        <v>50</v>
      </c>
      <c r="O366">
        <v>90.055499999999995</v>
      </c>
      <c r="P366">
        <v>91.65</v>
      </c>
      <c r="Q366">
        <v>88</v>
      </c>
      <c r="R366">
        <v>97.9</v>
      </c>
      <c r="S366">
        <v>88</v>
      </c>
      <c r="T366">
        <v>8.75</v>
      </c>
      <c r="U366">
        <v>6.25</v>
      </c>
      <c r="W366" t="s">
        <v>497</v>
      </c>
    </row>
    <row r="367" spans="1:23" x14ac:dyDescent="0.25">
      <c r="A367" t="s">
        <v>867</v>
      </c>
      <c r="B367" t="str">
        <f t="shared" si="5"/>
        <v>TD2J00000157</v>
      </c>
      <c r="C367" t="s">
        <v>237</v>
      </c>
      <c r="D367" t="s">
        <v>85</v>
      </c>
      <c r="E367" t="s">
        <v>499</v>
      </c>
      <c r="F367">
        <v>20000</v>
      </c>
      <c r="G367" s="13">
        <v>44776</v>
      </c>
      <c r="H367" s="13">
        <v>44778</v>
      </c>
      <c r="J367">
        <v>2530</v>
      </c>
      <c r="K367">
        <v>2530</v>
      </c>
      <c r="N367">
        <v>33.333333333333329</v>
      </c>
      <c r="O367">
        <v>91.261700000000005</v>
      </c>
      <c r="P367">
        <v>13.275</v>
      </c>
      <c r="Q367">
        <v>91</v>
      </c>
      <c r="R367">
        <v>98.6</v>
      </c>
      <c r="S367">
        <v>91</v>
      </c>
      <c r="T367">
        <v>9.94</v>
      </c>
      <c r="U367">
        <v>6.5</v>
      </c>
      <c r="W367" t="s">
        <v>497</v>
      </c>
    </row>
    <row r="368" spans="1:23" x14ac:dyDescent="0.25">
      <c r="A368" t="s">
        <v>868</v>
      </c>
      <c r="B368" t="str">
        <f t="shared" si="5"/>
        <v>CG2A00000312</v>
      </c>
      <c r="C368" t="s">
        <v>229</v>
      </c>
      <c r="D368" t="s">
        <v>85</v>
      </c>
      <c r="E368" t="s">
        <v>496</v>
      </c>
      <c r="F368">
        <v>10000</v>
      </c>
      <c r="G368" s="13">
        <v>44782</v>
      </c>
      <c r="H368" s="13">
        <v>44784</v>
      </c>
      <c r="I368">
        <v>3588</v>
      </c>
      <c r="J368">
        <v>6412</v>
      </c>
      <c r="K368">
        <v>10000</v>
      </c>
      <c r="N368">
        <v>34.782608695652172</v>
      </c>
      <c r="O368">
        <v>92.489000000000004</v>
      </c>
      <c r="P368">
        <v>100.33</v>
      </c>
      <c r="Q368">
        <v>92</v>
      </c>
      <c r="R368">
        <v>98</v>
      </c>
      <c r="S368">
        <v>92</v>
      </c>
      <c r="T368">
        <v>9.4600000000000009</v>
      </c>
      <c r="U368">
        <v>5.25</v>
      </c>
      <c r="W368" t="s">
        <v>497</v>
      </c>
    </row>
    <row r="369" spans="1:23" x14ac:dyDescent="0.25">
      <c r="A369" t="s">
        <v>869</v>
      </c>
      <c r="B369" t="str">
        <f t="shared" si="5"/>
        <v>TD2J00000165</v>
      </c>
      <c r="C369" t="s">
        <v>237</v>
      </c>
      <c r="D369" t="s">
        <v>85</v>
      </c>
      <c r="E369" t="s">
        <v>499</v>
      </c>
      <c r="F369">
        <v>8000</v>
      </c>
      <c r="G369" s="13">
        <v>44783</v>
      </c>
      <c r="H369" s="13">
        <v>44785</v>
      </c>
      <c r="I369">
        <v>4000</v>
      </c>
      <c r="J369">
        <v>4000</v>
      </c>
      <c r="K369">
        <v>8000</v>
      </c>
      <c r="N369">
        <v>25</v>
      </c>
      <c r="O369">
        <v>93</v>
      </c>
      <c r="P369">
        <v>117.5</v>
      </c>
      <c r="Q369">
        <v>93</v>
      </c>
      <c r="R369">
        <v>93</v>
      </c>
      <c r="S369">
        <v>93</v>
      </c>
      <c r="T369">
        <v>9.2200000000000006</v>
      </c>
      <c r="U369">
        <v>6.5</v>
      </c>
      <c r="W369" t="s">
        <v>497</v>
      </c>
    </row>
    <row r="370" spans="1:23" x14ac:dyDescent="0.25">
      <c r="A370" t="s">
        <v>870</v>
      </c>
      <c r="B370" t="str">
        <f t="shared" si="5"/>
        <v>TD2J00000173</v>
      </c>
      <c r="C370" t="s">
        <v>237</v>
      </c>
      <c r="D370" t="s">
        <v>85</v>
      </c>
      <c r="E370" t="s">
        <v>499</v>
      </c>
      <c r="F370">
        <v>20000</v>
      </c>
      <c r="G370" s="13">
        <v>44790</v>
      </c>
      <c r="H370" s="13">
        <v>44792</v>
      </c>
      <c r="I370">
        <v>4600</v>
      </c>
      <c r="J370">
        <v>9601.73</v>
      </c>
      <c r="K370">
        <v>14201.73</v>
      </c>
      <c r="N370">
        <v>50</v>
      </c>
      <c r="O370">
        <v>91.2363</v>
      </c>
      <c r="P370">
        <v>71.008600000000001</v>
      </c>
      <c r="Q370">
        <v>90</v>
      </c>
      <c r="R370">
        <v>98</v>
      </c>
      <c r="S370">
        <v>90</v>
      </c>
      <c r="T370">
        <v>9.9499999999999993</v>
      </c>
      <c r="U370">
        <v>6.5</v>
      </c>
      <c r="W370" t="s">
        <v>497</v>
      </c>
    </row>
    <row r="371" spans="1:23" x14ac:dyDescent="0.25">
      <c r="A371" t="s">
        <v>871</v>
      </c>
      <c r="B371" t="str">
        <f t="shared" si="5"/>
        <v>CG2J00000271</v>
      </c>
      <c r="C371" t="s">
        <v>229</v>
      </c>
      <c r="D371" t="s">
        <v>85</v>
      </c>
      <c r="E371" t="s">
        <v>499</v>
      </c>
      <c r="F371">
        <v>15000</v>
      </c>
      <c r="G371" s="13">
        <v>44796</v>
      </c>
      <c r="H371" s="13">
        <v>44798</v>
      </c>
      <c r="I371">
        <v>4650</v>
      </c>
      <c r="J371">
        <v>6070</v>
      </c>
      <c r="K371">
        <v>10720</v>
      </c>
      <c r="N371">
        <v>21.739130434782609</v>
      </c>
      <c r="O371">
        <v>93.296599999999998</v>
      </c>
      <c r="P371">
        <v>71.533299999999997</v>
      </c>
      <c r="Q371">
        <v>93</v>
      </c>
      <c r="R371">
        <v>97</v>
      </c>
      <c r="S371">
        <v>93</v>
      </c>
      <c r="T371">
        <v>8.32</v>
      </c>
      <c r="U371">
        <v>5.75</v>
      </c>
      <c r="W371" t="s">
        <v>497</v>
      </c>
    </row>
    <row r="372" spans="1:23" x14ac:dyDescent="0.25">
      <c r="A372" t="s">
        <v>872</v>
      </c>
      <c r="B372" t="str">
        <f t="shared" si="5"/>
        <v>TD2J00000181</v>
      </c>
      <c r="C372" t="s">
        <v>237</v>
      </c>
      <c r="D372" t="s">
        <v>85</v>
      </c>
      <c r="E372" t="s">
        <v>499</v>
      </c>
      <c r="F372">
        <v>20000</v>
      </c>
      <c r="G372" s="13">
        <v>44797</v>
      </c>
      <c r="H372" s="13">
        <v>44799</v>
      </c>
      <c r="I372">
        <v>0</v>
      </c>
      <c r="J372">
        <v>9309</v>
      </c>
      <c r="K372">
        <v>9309</v>
      </c>
      <c r="N372">
        <v>41.666666666666671</v>
      </c>
      <c r="O372">
        <v>90.025400000000005</v>
      </c>
      <c r="P372">
        <v>46.545000000000002</v>
      </c>
      <c r="Q372">
        <v>90</v>
      </c>
      <c r="R372">
        <v>95</v>
      </c>
      <c r="S372">
        <v>90</v>
      </c>
      <c r="T372">
        <v>10.46</v>
      </c>
      <c r="U372">
        <v>6.5</v>
      </c>
      <c r="W372" t="s">
        <v>497</v>
      </c>
    </row>
    <row r="373" spans="1:23" x14ac:dyDescent="0.25">
      <c r="A373" t="s">
        <v>873</v>
      </c>
      <c r="B373" t="str">
        <f t="shared" si="5"/>
        <v>TD2J00000199</v>
      </c>
      <c r="C373" t="s">
        <v>237</v>
      </c>
      <c r="D373" t="s">
        <v>85</v>
      </c>
      <c r="E373" t="s">
        <v>499</v>
      </c>
      <c r="F373">
        <v>10000</v>
      </c>
      <c r="G373" s="13">
        <v>44804</v>
      </c>
      <c r="H373" s="13">
        <v>44806</v>
      </c>
      <c r="I373">
        <v>0</v>
      </c>
      <c r="J373">
        <v>5062.7</v>
      </c>
      <c r="K373">
        <v>5062.7</v>
      </c>
      <c r="N373">
        <v>25</v>
      </c>
      <c r="O373">
        <v>90.029600000000002</v>
      </c>
      <c r="P373">
        <v>50.627000000000002</v>
      </c>
      <c r="Q373">
        <v>90</v>
      </c>
      <c r="R373">
        <v>93</v>
      </c>
      <c r="S373">
        <v>90</v>
      </c>
      <c r="T373">
        <v>10.46</v>
      </c>
      <c r="U373">
        <v>6.5</v>
      </c>
      <c r="W373" t="s">
        <v>497</v>
      </c>
    </row>
    <row r="374" spans="1:23" x14ac:dyDescent="0.25">
      <c r="A374" t="s">
        <v>874</v>
      </c>
      <c r="B374" t="str">
        <f t="shared" si="5"/>
        <v>CM2B00000111</v>
      </c>
      <c r="C374" t="s">
        <v>225</v>
      </c>
      <c r="D374" t="s">
        <v>85</v>
      </c>
      <c r="E374" t="s">
        <v>507</v>
      </c>
      <c r="F374">
        <v>30000</v>
      </c>
      <c r="G374" s="13">
        <v>44809</v>
      </c>
      <c r="H374" s="13">
        <v>44811</v>
      </c>
      <c r="I374">
        <v>20000</v>
      </c>
      <c r="J374">
        <v>0</v>
      </c>
      <c r="K374">
        <v>20000</v>
      </c>
      <c r="N374">
        <v>9.5238095238095237</v>
      </c>
      <c r="O374">
        <v>97</v>
      </c>
      <c r="P374">
        <v>66.666700000000006</v>
      </c>
      <c r="Q374">
        <v>97</v>
      </c>
      <c r="R374">
        <v>97</v>
      </c>
      <c r="S374">
        <v>97</v>
      </c>
      <c r="T374">
        <v>6.21</v>
      </c>
      <c r="U374">
        <v>5.5</v>
      </c>
      <c r="W374" t="s">
        <v>875</v>
      </c>
    </row>
    <row r="375" spans="1:23" x14ac:dyDescent="0.25">
      <c r="A375" t="s">
        <v>876</v>
      </c>
      <c r="B375" t="str">
        <f t="shared" si="5"/>
        <v>CM2K00000037</v>
      </c>
      <c r="C375" t="s">
        <v>225</v>
      </c>
      <c r="D375" t="s">
        <v>85</v>
      </c>
      <c r="E375" t="s">
        <v>516</v>
      </c>
      <c r="F375">
        <v>30000</v>
      </c>
      <c r="G375" s="13">
        <v>44809</v>
      </c>
      <c r="H375" s="13">
        <v>44811</v>
      </c>
      <c r="I375">
        <v>30000</v>
      </c>
      <c r="J375">
        <v>0</v>
      </c>
      <c r="K375">
        <v>30000</v>
      </c>
      <c r="N375">
        <v>19.047619047619047</v>
      </c>
      <c r="O375">
        <v>97</v>
      </c>
      <c r="P375">
        <v>133.33330000000001</v>
      </c>
      <c r="Q375">
        <v>97</v>
      </c>
      <c r="R375">
        <v>97</v>
      </c>
      <c r="S375">
        <v>97</v>
      </c>
      <c r="T375">
        <v>5.6</v>
      </c>
      <c r="U375">
        <v>4.75</v>
      </c>
      <c r="W375" t="s">
        <v>875</v>
      </c>
    </row>
    <row r="376" spans="1:23" x14ac:dyDescent="0.25">
      <c r="A376" t="s">
        <v>877</v>
      </c>
      <c r="B376" t="str">
        <f t="shared" si="5"/>
        <v>TD2J00000207</v>
      </c>
      <c r="C376" t="s">
        <v>237</v>
      </c>
      <c r="D376" t="s">
        <v>85</v>
      </c>
      <c r="E376" t="s">
        <v>499</v>
      </c>
      <c r="F376">
        <v>40000</v>
      </c>
      <c r="G376" s="13">
        <v>44811</v>
      </c>
      <c r="H376" s="13">
        <v>44813</v>
      </c>
      <c r="I376">
        <v>200</v>
      </c>
      <c r="J376">
        <v>15526</v>
      </c>
      <c r="K376">
        <v>15726</v>
      </c>
      <c r="N376">
        <v>50</v>
      </c>
      <c r="O376">
        <v>90.029600000000002</v>
      </c>
      <c r="P376">
        <v>39.314999999999998</v>
      </c>
      <c r="Q376">
        <v>90</v>
      </c>
      <c r="R376">
        <v>92</v>
      </c>
      <c r="S376">
        <v>90</v>
      </c>
      <c r="T376">
        <v>10.46</v>
      </c>
      <c r="U376">
        <v>6.5</v>
      </c>
      <c r="W376" t="s">
        <v>497</v>
      </c>
    </row>
    <row r="377" spans="1:23" x14ac:dyDescent="0.25">
      <c r="A377" t="s">
        <v>878</v>
      </c>
      <c r="B377" t="str">
        <f t="shared" si="5"/>
        <v>CM2K00000037</v>
      </c>
      <c r="C377" t="s">
        <v>225</v>
      </c>
      <c r="D377" t="s">
        <v>85</v>
      </c>
      <c r="E377" t="s">
        <v>516</v>
      </c>
      <c r="F377">
        <v>30000</v>
      </c>
      <c r="G377" s="13">
        <v>44816</v>
      </c>
      <c r="H377" s="13">
        <v>44818</v>
      </c>
      <c r="I377">
        <v>10000</v>
      </c>
      <c r="J377">
        <v>0</v>
      </c>
      <c r="K377">
        <v>10000</v>
      </c>
      <c r="N377">
        <v>19.047619047619047</v>
      </c>
      <c r="O377">
        <v>97.091099999999997</v>
      </c>
      <c r="P377">
        <v>33.333300000000001</v>
      </c>
      <c r="Q377">
        <v>97</v>
      </c>
      <c r="R377">
        <v>97</v>
      </c>
      <c r="S377">
        <v>97</v>
      </c>
      <c r="T377">
        <v>5.57</v>
      </c>
      <c r="U377">
        <v>4.75</v>
      </c>
      <c r="W377" t="s">
        <v>497</v>
      </c>
    </row>
    <row r="378" spans="1:23" x14ac:dyDescent="0.25">
      <c r="A378" t="s">
        <v>703</v>
      </c>
      <c r="B378" t="str">
        <f t="shared" si="5"/>
        <v>CG2B00000030</v>
      </c>
      <c r="C378" t="s">
        <v>229</v>
      </c>
      <c r="D378" t="s">
        <v>85</v>
      </c>
      <c r="E378" t="s">
        <v>507</v>
      </c>
      <c r="F378">
        <v>10000</v>
      </c>
      <c r="G378" s="13">
        <v>44817</v>
      </c>
      <c r="H378" s="13">
        <v>44819</v>
      </c>
      <c r="J378">
        <v>0</v>
      </c>
      <c r="N378">
        <v>0</v>
      </c>
      <c r="T378" t="s">
        <v>643</v>
      </c>
      <c r="W378" t="s">
        <v>497</v>
      </c>
    </row>
    <row r="379" spans="1:23" x14ac:dyDescent="0.25">
      <c r="A379" t="s">
        <v>879</v>
      </c>
      <c r="B379" t="str">
        <f t="shared" si="5"/>
        <v>GA2K00000041</v>
      </c>
      <c r="C379" t="s">
        <v>227</v>
      </c>
      <c r="D379" t="s">
        <v>85</v>
      </c>
      <c r="E379" t="s">
        <v>516</v>
      </c>
      <c r="F379">
        <v>20000</v>
      </c>
      <c r="G379" s="13">
        <v>44818</v>
      </c>
      <c r="H379" s="13">
        <v>44820</v>
      </c>
      <c r="I379">
        <v>2620</v>
      </c>
      <c r="J379">
        <v>2180</v>
      </c>
      <c r="K379">
        <v>4800</v>
      </c>
      <c r="N379">
        <v>22.222222222222221</v>
      </c>
      <c r="O379">
        <v>90.097499999999997</v>
      </c>
      <c r="P379">
        <v>29</v>
      </c>
      <c r="Q379">
        <v>90</v>
      </c>
      <c r="R379">
        <v>92.6</v>
      </c>
      <c r="S379">
        <v>90</v>
      </c>
      <c r="T379">
        <v>8.74</v>
      </c>
      <c r="U379">
        <v>5.75</v>
      </c>
      <c r="W379" t="s">
        <v>497</v>
      </c>
    </row>
    <row r="380" spans="1:23" x14ac:dyDescent="0.25">
      <c r="A380" t="s">
        <v>880</v>
      </c>
      <c r="B380" t="str">
        <f t="shared" si="5"/>
        <v>TD2J00000215</v>
      </c>
      <c r="C380" t="s">
        <v>237</v>
      </c>
      <c r="D380" t="s">
        <v>85</v>
      </c>
      <c r="E380" t="s">
        <v>499</v>
      </c>
      <c r="F380">
        <v>15000</v>
      </c>
      <c r="G380" s="13">
        <v>44818</v>
      </c>
      <c r="H380" s="13">
        <v>44820</v>
      </c>
      <c r="I380">
        <v>0</v>
      </c>
      <c r="J380">
        <v>3834.5</v>
      </c>
      <c r="K380">
        <v>3834.5</v>
      </c>
      <c r="N380">
        <v>25</v>
      </c>
      <c r="O380">
        <v>90.035200000000003</v>
      </c>
      <c r="P380">
        <v>25.563300000000002</v>
      </c>
      <c r="Q380">
        <v>90</v>
      </c>
      <c r="R380">
        <v>98</v>
      </c>
      <c r="S380">
        <v>90</v>
      </c>
      <c r="T380">
        <v>10.46</v>
      </c>
      <c r="U380">
        <v>6.5</v>
      </c>
      <c r="W380" t="s">
        <v>497</v>
      </c>
    </row>
    <row r="381" spans="1:23" x14ac:dyDescent="0.25">
      <c r="A381" t="s">
        <v>881</v>
      </c>
      <c r="B381" t="str">
        <f t="shared" si="5"/>
        <v>CF2J00000059</v>
      </c>
      <c r="C381" t="s">
        <v>634</v>
      </c>
      <c r="D381" t="s">
        <v>85</v>
      </c>
      <c r="E381" t="s">
        <v>499</v>
      </c>
      <c r="F381">
        <v>10000</v>
      </c>
      <c r="G381" s="13">
        <v>44823</v>
      </c>
      <c r="H381" s="13">
        <v>44825</v>
      </c>
      <c r="I381">
        <v>8024</v>
      </c>
      <c r="J381">
        <v>1976</v>
      </c>
      <c r="K381">
        <v>10000</v>
      </c>
      <c r="N381">
        <v>33.333333333333329</v>
      </c>
      <c r="O381">
        <v>90.138000000000005</v>
      </c>
      <c r="P381">
        <v>136.25</v>
      </c>
      <c r="Q381">
        <v>90</v>
      </c>
      <c r="R381">
        <v>94</v>
      </c>
      <c r="S381">
        <v>90</v>
      </c>
      <c r="T381">
        <v>10.41</v>
      </c>
      <c r="U381">
        <v>6.5</v>
      </c>
      <c r="W381" t="s">
        <v>497</v>
      </c>
    </row>
    <row r="382" spans="1:23" x14ac:dyDescent="0.25">
      <c r="A382" t="s">
        <v>882</v>
      </c>
      <c r="B382" t="str">
        <f t="shared" si="5"/>
        <v>CG2J00000289</v>
      </c>
      <c r="C382" t="s">
        <v>229</v>
      </c>
      <c r="D382" t="s">
        <v>85</v>
      </c>
      <c r="E382" t="s">
        <v>499</v>
      </c>
      <c r="F382">
        <v>10000</v>
      </c>
      <c r="G382" s="13">
        <v>44824</v>
      </c>
      <c r="H382" s="13">
        <v>44826</v>
      </c>
      <c r="I382">
        <v>9941</v>
      </c>
      <c r="J382">
        <v>59</v>
      </c>
      <c r="K382">
        <v>10000</v>
      </c>
      <c r="N382">
        <v>39.130434782608695</v>
      </c>
      <c r="O382">
        <v>93.558899999999994</v>
      </c>
      <c r="P382">
        <v>191.49</v>
      </c>
      <c r="Q382">
        <v>93.5</v>
      </c>
      <c r="R382">
        <v>95</v>
      </c>
      <c r="S382">
        <v>93.5</v>
      </c>
      <c r="T382">
        <v>8.2200000000000006</v>
      </c>
      <c r="U382">
        <v>5.75</v>
      </c>
      <c r="W382" t="s">
        <v>497</v>
      </c>
    </row>
    <row r="383" spans="1:23" x14ac:dyDescent="0.25">
      <c r="A383" t="s">
        <v>883</v>
      </c>
      <c r="B383" t="str">
        <f t="shared" si="5"/>
        <v>GA2K00000041</v>
      </c>
      <c r="C383" t="s">
        <v>227</v>
      </c>
      <c r="D383" t="s">
        <v>85</v>
      </c>
      <c r="E383" t="s">
        <v>516</v>
      </c>
      <c r="F383">
        <v>15000</v>
      </c>
      <c r="G383" s="13">
        <v>44825</v>
      </c>
      <c r="H383" s="13">
        <v>44827</v>
      </c>
      <c r="I383">
        <v>0</v>
      </c>
      <c r="J383">
        <v>6045</v>
      </c>
      <c r="K383">
        <v>6045</v>
      </c>
      <c r="N383">
        <v>27.777777777777779</v>
      </c>
      <c r="O383">
        <v>90.132099999999994</v>
      </c>
      <c r="P383">
        <v>53.7</v>
      </c>
      <c r="Q383">
        <v>90</v>
      </c>
      <c r="R383">
        <v>91.1</v>
      </c>
      <c r="S383">
        <v>90</v>
      </c>
      <c r="T383">
        <v>8.73</v>
      </c>
      <c r="U383">
        <v>5.75</v>
      </c>
      <c r="W383" t="s">
        <v>497</v>
      </c>
    </row>
    <row r="384" spans="1:23" x14ac:dyDescent="0.25">
      <c r="A384" t="s">
        <v>884</v>
      </c>
      <c r="B384" t="str">
        <f t="shared" si="5"/>
        <v>TD2J00000223</v>
      </c>
      <c r="C384" t="s">
        <v>237</v>
      </c>
      <c r="D384" t="s">
        <v>85</v>
      </c>
      <c r="E384" t="s">
        <v>499</v>
      </c>
      <c r="F384">
        <v>25000</v>
      </c>
      <c r="G384" s="13">
        <v>44825</v>
      </c>
      <c r="H384" s="13">
        <v>44827</v>
      </c>
      <c r="J384">
        <v>0</v>
      </c>
      <c r="N384">
        <v>0</v>
      </c>
      <c r="T384" t="s">
        <v>643</v>
      </c>
      <c r="W384" t="s">
        <v>497</v>
      </c>
    </row>
    <row r="385" spans="1:23" x14ac:dyDescent="0.25">
      <c r="A385" t="s">
        <v>885</v>
      </c>
      <c r="B385" t="str">
        <f t="shared" si="5"/>
        <v>CM2C00000060</v>
      </c>
      <c r="C385" t="s">
        <v>225</v>
      </c>
      <c r="D385" t="s">
        <v>85</v>
      </c>
      <c r="E385" t="s">
        <v>549</v>
      </c>
      <c r="F385">
        <v>25000</v>
      </c>
      <c r="G385" s="13">
        <v>44830</v>
      </c>
      <c r="H385" s="13">
        <v>44832</v>
      </c>
      <c r="I385">
        <v>20000</v>
      </c>
      <c r="J385">
        <v>0</v>
      </c>
      <c r="K385">
        <v>20000</v>
      </c>
      <c r="N385">
        <v>9.5238095238095237</v>
      </c>
      <c r="O385">
        <v>97</v>
      </c>
      <c r="P385">
        <v>80</v>
      </c>
      <c r="Q385">
        <v>97</v>
      </c>
      <c r="R385">
        <v>97</v>
      </c>
      <c r="S385">
        <v>97</v>
      </c>
      <c r="T385">
        <v>7.05</v>
      </c>
      <c r="U385">
        <v>6.5</v>
      </c>
      <c r="W385" t="s">
        <v>497</v>
      </c>
    </row>
    <row r="386" spans="1:23" x14ac:dyDescent="0.25">
      <c r="A386" t="s">
        <v>886</v>
      </c>
      <c r="B386" t="str">
        <f t="shared" si="5"/>
        <v>TD2J00000249</v>
      </c>
      <c r="C386" t="s">
        <v>237</v>
      </c>
      <c r="D386" t="s">
        <v>85</v>
      </c>
      <c r="E386" t="s">
        <v>499</v>
      </c>
      <c r="F386">
        <v>15000</v>
      </c>
      <c r="G386" s="13">
        <v>44832</v>
      </c>
      <c r="H386" s="13">
        <v>44834</v>
      </c>
      <c r="I386">
        <v>0</v>
      </c>
      <c r="J386">
        <v>6708</v>
      </c>
      <c r="K386">
        <v>6708</v>
      </c>
      <c r="N386">
        <v>33.333333333333329</v>
      </c>
      <c r="O386">
        <v>90.650499999999994</v>
      </c>
      <c r="P386">
        <v>44.72</v>
      </c>
      <c r="Q386">
        <v>90</v>
      </c>
      <c r="R386">
        <v>93</v>
      </c>
      <c r="S386">
        <v>90</v>
      </c>
      <c r="T386">
        <v>10.199999999999999</v>
      </c>
      <c r="U386">
        <v>6.5</v>
      </c>
      <c r="W386" t="s">
        <v>497</v>
      </c>
    </row>
    <row r="387" spans="1:23" x14ac:dyDescent="0.25">
      <c r="A387" t="s">
        <v>887</v>
      </c>
      <c r="B387" t="str">
        <f t="shared" si="5"/>
        <v>CM2K00000037</v>
      </c>
      <c r="C387" t="s">
        <v>225</v>
      </c>
      <c r="D387" t="s">
        <v>85</v>
      </c>
      <c r="E387" t="s">
        <v>516</v>
      </c>
      <c r="F387">
        <v>10000</v>
      </c>
      <c r="G387" s="13">
        <v>44837</v>
      </c>
      <c r="H387" s="13">
        <v>44839</v>
      </c>
      <c r="I387">
        <v>9500</v>
      </c>
      <c r="J387">
        <v>0</v>
      </c>
      <c r="K387">
        <v>9500</v>
      </c>
      <c r="N387">
        <v>9.5238095238095237</v>
      </c>
      <c r="O387">
        <v>97.364400000000003</v>
      </c>
      <c r="P387">
        <v>95</v>
      </c>
      <c r="Q387">
        <v>97</v>
      </c>
      <c r="R387">
        <v>97</v>
      </c>
      <c r="S387">
        <v>97</v>
      </c>
      <c r="T387">
        <v>5.49</v>
      </c>
      <c r="U387">
        <v>4.75</v>
      </c>
      <c r="W387" t="s">
        <v>497</v>
      </c>
    </row>
    <row r="388" spans="1:23" x14ac:dyDescent="0.25">
      <c r="A388" t="s">
        <v>888</v>
      </c>
      <c r="B388" t="str">
        <f t="shared" si="5"/>
        <v>CM2B00000111</v>
      </c>
      <c r="C388" t="s">
        <v>225</v>
      </c>
      <c r="D388" t="s">
        <v>85</v>
      </c>
      <c r="E388" t="s">
        <v>507</v>
      </c>
      <c r="F388">
        <v>10000</v>
      </c>
      <c r="G388" s="13">
        <v>44837</v>
      </c>
      <c r="H388" s="13">
        <v>44839</v>
      </c>
      <c r="I388">
        <v>10000</v>
      </c>
      <c r="J388">
        <v>0</v>
      </c>
      <c r="K388">
        <v>10000</v>
      </c>
      <c r="N388">
        <v>14.285714285714285</v>
      </c>
      <c r="O388">
        <v>97.421899999999994</v>
      </c>
      <c r="P388">
        <v>130</v>
      </c>
      <c r="Q388">
        <v>97</v>
      </c>
      <c r="R388">
        <v>97</v>
      </c>
      <c r="S388">
        <v>97</v>
      </c>
      <c r="T388">
        <v>6.11</v>
      </c>
      <c r="U388">
        <v>5.5</v>
      </c>
      <c r="W388" t="s">
        <v>497</v>
      </c>
    </row>
    <row r="389" spans="1:23" x14ac:dyDescent="0.25">
      <c r="A389" t="s">
        <v>889</v>
      </c>
      <c r="B389" t="str">
        <f t="shared" ref="B389:B452" si="6">MID(A389,1,12)</f>
        <v>CG2A00000320</v>
      </c>
      <c r="C389" t="s">
        <v>229</v>
      </c>
      <c r="D389" t="s">
        <v>85</v>
      </c>
      <c r="E389" t="s">
        <v>496</v>
      </c>
      <c r="F389">
        <v>15000</v>
      </c>
      <c r="G389" s="13">
        <v>44838</v>
      </c>
      <c r="H389" s="13">
        <v>44840</v>
      </c>
      <c r="I389">
        <v>12870</v>
      </c>
      <c r="J389">
        <v>395</v>
      </c>
      <c r="K389">
        <v>13265</v>
      </c>
      <c r="N389">
        <v>43.478260869565219</v>
      </c>
      <c r="O389">
        <v>94.087800000000001</v>
      </c>
      <c r="P389">
        <v>110.5667</v>
      </c>
      <c r="Q389">
        <v>94</v>
      </c>
      <c r="R389">
        <v>96</v>
      </c>
      <c r="S389">
        <v>94</v>
      </c>
      <c r="T389">
        <v>8.5299999999999994</v>
      </c>
      <c r="U389">
        <v>5.25</v>
      </c>
      <c r="W389" t="s">
        <v>497</v>
      </c>
    </row>
    <row r="390" spans="1:23" x14ac:dyDescent="0.25">
      <c r="A390" t="s">
        <v>890</v>
      </c>
      <c r="B390" t="str">
        <f t="shared" si="6"/>
        <v>TD2J00000256</v>
      </c>
      <c r="C390" t="s">
        <v>237</v>
      </c>
      <c r="D390" t="s">
        <v>85</v>
      </c>
      <c r="E390" t="s">
        <v>499</v>
      </c>
      <c r="F390">
        <v>25000</v>
      </c>
      <c r="G390" s="13">
        <v>44839</v>
      </c>
      <c r="H390" s="13">
        <v>44841</v>
      </c>
      <c r="I390">
        <v>11000</v>
      </c>
      <c r="J390">
        <v>0</v>
      </c>
      <c r="K390">
        <v>11000</v>
      </c>
      <c r="N390">
        <v>33.333333333333329</v>
      </c>
      <c r="O390">
        <v>94</v>
      </c>
      <c r="P390">
        <v>53.08</v>
      </c>
      <c r="Q390">
        <v>94</v>
      </c>
      <c r="R390">
        <v>94</v>
      </c>
      <c r="S390">
        <v>94</v>
      </c>
      <c r="T390">
        <v>8.82</v>
      </c>
      <c r="U390">
        <v>6.5</v>
      </c>
      <c r="W390" t="s">
        <v>497</v>
      </c>
    </row>
    <row r="391" spans="1:23" x14ac:dyDescent="0.25">
      <c r="A391" t="s">
        <v>891</v>
      </c>
      <c r="B391" t="str">
        <f t="shared" si="6"/>
        <v>CF2J00000067</v>
      </c>
      <c r="C391" t="s">
        <v>634</v>
      </c>
      <c r="D391" t="s">
        <v>85</v>
      </c>
      <c r="E391" t="s">
        <v>499</v>
      </c>
      <c r="F391">
        <v>20000</v>
      </c>
      <c r="G391" s="13">
        <v>44844</v>
      </c>
      <c r="H391" s="13">
        <v>44846</v>
      </c>
      <c r="I391">
        <v>9405</v>
      </c>
      <c r="J391">
        <v>1528</v>
      </c>
      <c r="K391">
        <v>10933</v>
      </c>
      <c r="N391">
        <v>55.555555555555557</v>
      </c>
      <c r="O391">
        <v>88.609899999999996</v>
      </c>
      <c r="P391">
        <v>54.715000000000003</v>
      </c>
      <c r="Q391">
        <v>88</v>
      </c>
      <c r="R391">
        <v>94</v>
      </c>
      <c r="S391">
        <v>88</v>
      </c>
      <c r="T391">
        <v>11.07</v>
      </c>
      <c r="U391">
        <v>6.5</v>
      </c>
      <c r="W391" t="s">
        <v>497</v>
      </c>
    </row>
    <row r="392" spans="1:23" x14ac:dyDescent="0.25">
      <c r="A392" t="s">
        <v>892</v>
      </c>
      <c r="B392" t="str">
        <f t="shared" si="6"/>
        <v>TD2J00000264</v>
      </c>
      <c r="C392" t="s">
        <v>237</v>
      </c>
      <c r="D392" t="s">
        <v>85</v>
      </c>
      <c r="E392" t="s">
        <v>499</v>
      </c>
      <c r="F392">
        <v>15000</v>
      </c>
      <c r="G392" s="13">
        <v>44846</v>
      </c>
      <c r="H392" s="13">
        <v>44848</v>
      </c>
      <c r="I392">
        <v>11371.55</v>
      </c>
      <c r="J392">
        <v>1474.7000000000007</v>
      </c>
      <c r="K392">
        <v>12846.25</v>
      </c>
      <c r="N392">
        <v>41.666666666666671</v>
      </c>
      <c r="O392">
        <v>94.009</v>
      </c>
      <c r="P392">
        <v>153.89330000000001</v>
      </c>
      <c r="Q392">
        <v>94</v>
      </c>
      <c r="R392">
        <v>96</v>
      </c>
      <c r="S392">
        <v>94</v>
      </c>
      <c r="T392">
        <v>8.82</v>
      </c>
      <c r="U392">
        <v>6.5</v>
      </c>
      <c r="W392" t="s">
        <v>497</v>
      </c>
    </row>
    <row r="393" spans="1:23" x14ac:dyDescent="0.25">
      <c r="A393" t="s">
        <v>893</v>
      </c>
      <c r="B393" t="str">
        <f t="shared" si="6"/>
        <v>TD2J00000272</v>
      </c>
      <c r="C393" t="s">
        <v>237</v>
      </c>
      <c r="D393" t="s">
        <v>85</v>
      </c>
      <c r="E393" t="s">
        <v>499</v>
      </c>
      <c r="F393">
        <v>10000</v>
      </c>
      <c r="G393" s="13">
        <v>44853</v>
      </c>
      <c r="H393" s="13">
        <v>44855</v>
      </c>
      <c r="J393">
        <v>10000</v>
      </c>
      <c r="K393">
        <v>10000</v>
      </c>
      <c r="N393">
        <v>41.666666666666671</v>
      </c>
      <c r="O393">
        <v>91.512200000000007</v>
      </c>
      <c r="P393">
        <v>148.38999999999999</v>
      </c>
      <c r="Q393">
        <v>90.5</v>
      </c>
      <c r="R393">
        <v>99</v>
      </c>
      <c r="S393">
        <v>90.5</v>
      </c>
      <c r="T393">
        <v>9.84</v>
      </c>
      <c r="U393">
        <v>6.5</v>
      </c>
      <c r="W393" t="s">
        <v>497</v>
      </c>
    </row>
    <row r="394" spans="1:23" x14ac:dyDescent="0.25">
      <c r="A394" t="s">
        <v>894</v>
      </c>
      <c r="B394" t="str">
        <f t="shared" si="6"/>
        <v>TD2J00000280</v>
      </c>
      <c r="C394" t="s">
        <v>237</v>
      </c>
      <c r="D394" t="s">
        <v>85</v>
      </c>
      <c r="E394" t="s">
        <v>499</v>
      </c>
      <c r="F394">
        <v>12000</v>
      </c>
      <c r="G394" s="13">
        <v>44860</v>
      </c>
      <c r="H394" s="13">
        <v>44862</v>
      </c>
      <c r="I394">
        <v>700</v>
      </c>
      <c r="J394">
        <v>2120</v>
      </c>
      <c r="K394">
        <v>2820</v>
      </c>
      <c r="N394">
        <v>33.333333333333329</v>
      </c>
      <c r="O394">
        <v>91.873000000000005</v>
      </c>
      <c r="P394">
        <v>52.083300000000001</v>
      </c>
      <c r="Q394">
        <v>91.1</v>
      </c>
      <c r="R394">
        <v>98.6</v>
      </c>
      <c r="S394">
        <v>91.1</v>
      </c>
      <c r="T394">
        <v>9.69</v>
      </c>
      <c r="U394">
        <v>6.5</v>
      </c>
      <c r="W394" t="s">
        <v>497</v>
      </c>
    </row>
    <row r="395" spans="1:23" x14ac:dyDescent="0.25">
      <c r="A395" t="s">
        <v>895</v>
      </c>
      <c r="B395" t="str">
        <f t="shared" si="6"/>
        <v>CG2A00000338</v>
      </c>
      <c r="C395" t="s">
        <v>229</v>
      </c>
      <c r="D395" t="s">
        <v>85</v>
      </c>
      <c r="E395" t="s">
        <v>496</v>
      </c>
      <c r="F395">
        <v>25000</v>
      </c>
      <c r="G395" s="13">
        <v>44866</v>
      </c>
      <c r="H395" s="13">
        <v>44868</v>
      </c>
      <c r="I395">
        <v>16500</v>
      </c>
      <c r="J395">
        <v>4000</v>
      </c>
      <c r="K395">
        <v>20500</v>
      </c>
      <c r="N395">
        <v>100</v>
      </c>
      <c r="O395">
        <v>95</v>
      </c>
      <c r="P395">
        <v>82</v>
      </c>
      <c r="Q395">
        <v>95</v>
      </c>
      <c r="R395">
        <v>95</v>
      </c>
      <c r="S395">
        <v>95</v>
      </c>
      <c r="T395">
        <v>8.26</v>
      </c>
      <c r="U395">
        <v>5.5</v>
      </c>
      <c r="W395" t="s">
        <v>875</v>
      </c>
    </row>
    <row r="396" spans="1:23" x14ac:dyDescent="0.25">
      <c r="A396" t="s">
        <v>896</v>
      </c>
      <c r="B396" t="str">
        <f t="shared" si="6"/>
        <v>CG2J00000297</v>
      </c>
      <c r="C396" t="s">
        <v>229</v>
      </c>
      <c r="D396" t="s">
        <v>85</v>
      </c>
      <c r="E396" t="s">
        <v>499</v>
      </c>
      <c r="F396">
        <v>25000</v>
      </c>
      <c r="G396" s="13">
        <v>44866</v>
      </c>
      <c r="H396" s="13">
        <v>44868</v>
      </c>
      <c r="I396">
        <v>20500</v>
      </c>
      <c r="J396">
        <v>0</v>
      </c>
      <c r="K396">
        <v>20500</v>
      </c>
      <c r="N396">
        <v>80</v>
      </c>
      <c r="O396">
        <v>94</v>
      </c>
      <c r="P396">
        <v>82</v>
      </c>
      <c r="Q396">
        <v>94</v>
      </c>
      <c r="R396">
        <v>94</v>
      </c>
      <c r="S396">
        <v>94</v>
      </c>
      <c r="T396">
        <v>8.3000000000000007</v>
      </c>
      <c r="U396">
        <v>6</v>
      </c>
      <c r="W396" t="s">
        <v>875</v>
      </c>
    </row>
    <row r="397" spans="1:23" x14ac:dyDescent="0.25">
      <c r="A397" t="s">
        <v>897</v>
      </c>
      <c r="B397" t="str">
        <f t="shared" si="6"/>
        <v>CG2K00000088</v>
      </c>
      <c r="C397" t="s">
        <v>229</v>
      </c>
      <c r="D397" t="s">
        <v>85</v>
      </c>
      <c r="E397" t="s">
        <v>516</v>
      </c>
      <c r="F397">
        <v>5000</v>
      </c>
      <c r="G397" s="13">
        <v>44866</v>
      </c>
      <c r="H397" s="13">
        <v>44868</v>
      </c>
      <c r="I397">
        <v>150</v>
      </c>
      <c r="J397">
        <v>0</v>
      </c>
      <c r="K397">
        <v>150</v>
      </c>
      <c r="N397">
        <v>20</v>
      </c>
      <c r="O397">
        <v>93</v>
      </c>
      <c r="P397">
        <v>3</v>
      </c>
      <c r="Q397">
        <v>93</v>
      </c>
      <c r="R397">
        <v>93</v>
      </c>
      <c r="S397">
        <v>93</v>
      </c>
      <c r="T397">
        <v>8.4</v>
      </c>
      <c r="U397">
        <v>6.3</v>
      </c>
      <c r="W397" t="s">
        <v>875</v>
      </c>
    </row>
    <row r="398" spans="1:23" x14ac:dyDescent="0.25">
      <c r="A398" t="s">
        <v>898</v>
      </c>
      <c r="B398" t="str">
        <f t="shared" si="6"/>
        <v>CG2B00000097</v>
      </c>
      <c r="C398" t="s">
        <v>229</v>
      </c>
      <c r="D398" t="s">
        <v>85</v>
      </c>
      <c r="E398" t="s">
        <v>507</v>
      </c>
      <c r="F398">
        <v>5000</v>
      </c>
      <c r="G398" s="13">
        <v>44866</v>
      </c>
      <c r="H398" s="13">
        <v>44868</v>
      </c>
      <c r="I398">
        <v>800</v>
      </c>
      <c r="J398">
        <v>0</v>
      </c>
      <c r="K398">
        <v>800</v>
      </c>
      <c r="N398">
        <v>20</v>
      </c>
      <c r="O398">
        <v>92</v>
      </c>
      <c r="P398">
        <v>16</v>
      </c>
      <c r="Q398">
        <v>92</v>
      </c>
      <c r="R398">
        <v>92</v>
      </c>
      <c r="S398">
        <v>92</v>
      </c>
      <c r="T398">
        <v>8.5</v>
      </c>
      <c r="U398">
        <v>6.5</v>
      </c>
      <c r="W398" t="s">
        <v>875</v>
      </c>
    </row>
    <row r="399" spans="1:23" x14ac:dyDescent="0.25">
      <c r="A399" t="s">
        <v>899</v>
      </c>
      <c r="B399" t="str">
        <f t="shared" si="6"/>
        <v>CG2A00000338</v>
      </c>
      <c r="C399" t="s">
        <v>229</v>
      </c>
      <c r="D399" t="s">
        <v>85</v>
      </c>
      <c r="E399" t="s">
        <v>496</v>
      </c>
      <c r="F399">
        <v>10000</v>
      </c>
      <c r="G399" s="13">
        <v>44873</v>
      </c>
      <c r="H399" s="13">
        <v>44875</v>
      </c>
      <c r="I399">
        <v>10000</v>
      </c>
      <c r="J399">
        <v>0</v>
      </c>
      <c r="K399">
        <v>10000</v>
      </c>
      <c r="N399">
        <v>20</v>
      </c>
      <c r="O399">
        <v>93.106899999999996</v>
      </c>
      <c r="P399">
        <v>118</v>
      </c>
      <c r="Q399">
        <v>93</v>
      </c>
      <c r="R399">
        <v>93</v>
      </c>
      <c r="S399">
        <v>93</v>
      </c>
      <c r="T399">
        <v>9.36</v>
      </c>
      <c r="U399">
        <v>5.5</v>
      </c>
      <c r="W399" t="s">
        <v>497</v>
      </c>
    </row>
    <row r="400" spans="1:23" x14ac:dyDescent="0.25">
      <c r="A400" t="s">
        <v>900</v>
      </c>
      <c r="B400" t="str">
        <f t="shared" si="6"/>
        <v>CG2J00000297</v>
      </c>
      <c r="C400" t="s">
        <v>229</v>
      </c>
      <c r="D400" t="s">
        <v>85</v>
      </c>
      <c r="E400" t="s">
        <v>499</v>
      </c>
      <c r="F400">
        <v>10000</v>
      </c>
      <c r="G400" s="13">
        <v>44873</v>
      </c>
      <c r="H400" s="13">
        <v>44875</v>
      </c>
      <c r="I400">
        <v>9323</v>
      </c>
      <c r="J400">
        <v>677</v>
      </c>
      <c r="K400">
        <v>10000</v>
      </c>
      <c r="N400">
        <v>20</v>
      </c>
      <c r="O400">
        <v>92.452100000000002</v>
      </c>
      <c r="P400">
        <v>106.77</v>
      </c>
      <c r="Q400">
        <v>92</v>
      </c>
      <c r="R400">
        <v>94</v>
      </c>
      <c r="S400">
        <v>92</v>
      </c>
      <c r="T400">
        <v>8.92</v>
      </c>
      <c r="U400">
        <v>6</v>
      </c>
      <c r="W400" t="s">
        <v>497</v>
      </c>
    </row>
    <row r="401" spans="1:23" x14ac:dyDescent="0.25">
      <c r="A401" t="s">
        <v>901</v>
      </c>
      <c r="B401" t="str">
        <f t="shared" si="6"/>
        <v>TD2J00000298</v>
      </c>
      <c r="C401" t="s">
        <v>237</v>
      </c>
      <c r="D401" t="s">
        <v>85</v>
      </c>
      <c r="E401" t="s">
        <v>499</v>
      </c>
      <c r="F401">
        <v>25000</v>
      </c>
      <c r="G401" s="13">
        <v>44874</v>
      </c>
      <c r="H401" s="13">
        <v>44876</v>
      </c>
      <c r="I401">
        <v>0</v>
      </c>
      <c r="J401">
        <v>16477.5</v>
      </c>
      <c r="K401">
        <v>16477.5</v>
      </c>
      <c r="N401">
        <v>41.666666666666671</v>
      </c>
      <c r="O401">
        <v>90.665000000000006</v>
      </c>
      <c r="P401">
        <v>65.91</v>
      </c>
      <c r="Q401">
        <v>90</v>
      </c>
      <c r="R401">
        <v>98.6</v>
      </c>
      <c r="S401">
        <v>90</v>
      </c>
      <c r="T401">
        <v>10.19</v>
      </c>
      <c r="U401">
        <v>6.5</v>
      </c>
      <c r="W401" t="s">
        <v>497</v>
      </c>
    </row>
    <row r="402" spans="1:23" x14ac:dyDescent="0.25">
      <c r="A402" t="s">
        <v>902</v>
      </c>
      <c r="B402" t="str">
        <f t="shared" si="6"/>
        <v>CM2L00000044</v>
      </c>
      <c r="C402" t="s">
        <v>225</v>
      </c>
      <c r="D402" t="s">
        <v>85</v>
      </c>
      <c r="E402" t="s">
        <v>547</v>
      </c>
      <c r="F402">
        <v>20000</v>
      </c>
      <c r="G402" s="13">
        <v>44879</v>
      </c>
      <c r="H402" s="13">
        <v>44881</v>
      </c>
      <c r="I402">
        <v>13250</v>
      </c>
      <c r="J402">
        <v>0</v>
      </c>
      <c r="K402">
        <v>13250</v>
      </c>
      <c r="N402">
        <v>19.047619047619047</v>
      </c>
      <c r="O402">
        <v>97.310199999999995</v>
      </c>
      <c r="P402">
        <v>85</v>
      </c>
      <c r="Q402">
        <v>96.5</v>
      </c>
      <c r="R402">
        <v>98.02</v>
      </c>
      <c r="S402">
        <v>96.5</v>
      </c>
      <c r="T402">
        <v>6.55</v>
      </c>
      <c r="U402">
        <v>6</v>
      </c>
      <c r="W402" t="s">
        <v>497</v>
      </c>
    </row>
    <row r="403" spans="1:23" x14ac:dyDescent="0.25">
      <c r="A403" t="s">
        <v>903</v>
      </c>
      <c r="B403" t="str">
        <f t="shared" si="6"/>
        <v>CF2J00000067</v>
      </c>
      <c r="C403" t="s">
        <v>634</v>
      </c>
      <c r="D403" t="s">
        <v>85</v>
      </c>
      <c r="E403" t="s">
        <v>499</v>
      </c>
      <c r="F403">
        <v>10000</v>
      </c>
      <c r="G403" s="13">
        <v>44879</v>
      </c>
      <c r="H403" s="13">
        <v>44881</v>
      </c>
      <c r="I403">
        <v>6926.89</v>
      </c>
      <c r="J403">
        <v>1142</v>
      </c>
      <c r="K403">
        <v>8068.89</v>
      </c>
      <c r="N403">
        <v>44.444444444444443</v>
      </c>
      <c r="O403">
        <v>89.025099999999995</v>
      </c>
      <c r="P403">
        <v>80.688900000000004</v>
      </c>
      <c r="Q403">
        <v>88</v>
      </c>
      <c r="R403">
        <v>90</v>
      </c>
      <c r="S403">
        <v>88</v>
      </c>
      <c r="T403">
        <v>10.89</v>
      </c>
      <c r="U403">
        <v>6.5</v>
      </c>
      <c r="W403" t="s">
        <v>497</v>
      </c>
    </row>
    <row r="404" spans="1:23" x14ac:dyDescent="0.25">
      <c r="A404" t="s">
        <v>904</v>
      </c>
      <c r="B404" t="str">
        <f t="shared" si="6"/>
        <v>CF2J00000067</v>
      </c>
      <c r="C404" t="s">
        <v>634</v>
      </c>
      <c r="D404" t="s">
        <v>85</v>
      </c>
      <c r="E404" t="s">
        <v>499</v>
      </c>
      <c r="F404">
        <v>20000</v>
      </c>
      <c r="G404" s="13">
        <v>44886</v>
      </c>
      <c r="H404" s="13">
        <v>44888</v>
      </c>
      <c r="I404">
        <v>1995</v>
      </c>
      <c r="J404">
        <v>5</v>
      </c>
      <c r="K404">
        <v>2000</v>
      </c>
      <c r="N404">
        <v>22.222222222222221</v>
      </c>
      <c r="O404">
        <v>89.025099999999995</v>
      </c>
      <c r="P404">
        <v>100.75</v>
      </c>
      <c r="Q404">
        <v>88</v>
      </c>
      <c r="R404">
        <v>90</v>
      </c>
      <c r="S404">
        <v>88</v>
      </c>
      <c r="T404">
        <v>11</v>
      </c>
      <c r="U404">
        <v>6.5</v>
      </c>
      <c r="W404" t="s">
        <v>497</v>
      </c>
    </row>
    <row r="405" spans="1:23" x14ac:dyDescent="0.25">
      <c r="A405" t="s">
        <v>905</v>
      </c>
      <c r="B405" t="str">
        <f t="shared" si="6"/>
        <v>CG2B00000097</v>
      </c>
      <c r="C405" t="s">
        <v>229</v>
      </c>
      <c r="D405" t="s">
        <v>85</v>
      </c>
      <c r="E405" t="s">
        <v>507</v>
      </c>
      <c r="F405">
        <v>7000</v>
      </c>
      <c r="G405" s="13">
        <v>44887</v>
      </c>
      <c r="H405" s="13">
        <v>44889</v>
      </c>
      <c r="I405">
        <v>0</v>
      </c>
      <c r="J405">
        <v>5194</v>
      </c>
      <c r="K405">
        <v>5194</v>
      </c>
      <c r="N405">
        <v>26.086956521739129</v>
      </c>
      <c r="O405">
        <v>91.945999999999998</v>
      </c>
      <c r="P405">
        <v>76.6357</v>
      </c>
      <c r="Q405">
        <v>91.5</v>
      </c>
      <c r="R405">
        <v>100</v>
      </c>
      <c r="S405">
        <v>91.5</v>
      </c>
      <c r="T405">
        <v>8.51</v>
      </c>
      <c r="U405">
        <v>6.5</v>
      </c>
      <c r="W405" t="s">
        <v>497</v>
      </c>
    </row>
    <row r="406" spans="1:23" x14ac:dyDescent="0.25">
      <c r="A406" t="s">
        <v>906</v>
      </c>
      <c r="B406" t="str">
        <f t="shared" si="6"/>
        <v>CG2A00000346</v>
      </c>
      <c r="C406" t="s">
        <v>229</v>
      </c>
      <c r="D406" t="s">
        <v>85</v>
      </c>
      <c r="E406" t="s">
        <v>496</v>
      </c>
      <c r="F406">
        <v>20000</v>
      </c>
      <c r="G406" s="13">
        <v>44887</v>
      </c>
      <c r="H406" s="13">
        <v>44889</v>
      </c>
      <c r="I406">
        <v>2300</v>
      </c>
      <c r="J406">
        <v>4262</v>
      </c>
      <c r="K406">
        <v>6562</v>
      </c>
      <c r="N406">
        <v>26.086956521739129</v>
      </c>
      <c r="O406">
        <v>93.423699999999997</v>
      </c>
      <c r="P406">
        <v>42.865000000000002</v>
      </c>
      <c r="Q406">
        <v>93</v>
      </c>
      <c r="R406">
        <v>98</v>
      </c>
      <c r="S406">
        <v>93</v>
      </c>
      <c r="T406">
        <v>9.17</v>
      </c>
      <c r="U406">
        <v>5.5</v>
      </c>
      <c r="W406" t="s">
        <v>497</v>
      </c>
    </row>
    <row r="407" spans="1:23" x14ac:dyDescent="0.25">
      <c r="A407" t="s">
        <v>907</v>
      </c>
      <c r="B407" t="str">
        <f t="shared" si="6"/>
        <v>GA2B00000125</v>
      </c>
      <c r="C407" t="s">
        <v>227</v>
      </c>
      <c r="D407" t="s">
        <v>85</v>
      </c>
      <c r="E407" t="s">
        <v>507</v>
      </c>
      <c r="F407">
        <v>25000</v>
      </c>
      <c r="G407" s="13">
        <v>44888</v>
      </c>
      <c r="H407" s="13">
        <v>44890</v>
      </c>
      <c r="I407">
        <v>1161.6400000000001</v>
      </c>
      <c r="J407">
        <v>14402</v>
      </c>
      <c r="K407">
        <v>15563.64</v>
      </c>
      <c r="N407">
        <v>55.555555555555557</v>
      </c>
      <c r="O407">
        <v>90.908000000000001</v>
      </c>
      <c r="P407">
        <v>62.254600000000003</v>
      </c>
      <c r="Q407">
        <v>90</v>
      </c>
      <c r="R407">
        <v>95</v>
      </c>
      <c r="S407">
        <v>90</v>
      </c>
      <c r="T407">
        <v>8.7899999999999991</v>
      </c>
      <c r="U407">
        <v>6.5</v>
      </c>
      <c r="W407" t="s">
        <v>497</v>
      </c>
    </row>
    <row r="408" spans="1:23" x14ac:dyDescent="0.25">
      <c r="A408" t="s">
        <v>908</v>
      </c>
      <c r="B408" t="str">
        <f t="shared" si="6"/>
        <v>TD2J00000306</v>
      </c>
      <c r="C408" t="s">
        <v>237</v>
      </c>
      <c r="D408" t="s">
        <v>85</v>
      </c>
      <c r="E408" t="s">
        <v>499</v>
      </c>
      <c r="F408">
        <v>20000</v>
      </c>
      <c r="G408" s="13">
        <v>44895</v>
      </c>
      <c r="H408" s="13">
        <v>44897</v>
      </c>
      <c r="I408">
        <v>3500</v>
      </c>
      <c r="J408">
        <v>11472.3</v>
      </c>
      <c r="K408">
        <v>14972.3</v>
      </c>
      <c r="N408">
        <v>58.333333333333336</v>
      </c>
      <c r="O408">
        <v>93.053700000000006</v>
      </c>
      <c r="P408">
        <v>74.861500000000007</v>
      </c>
      <c r="Q408">
        <v>90</v>
      </c>
      <c r="R408">
        <v>100</v>
      </c>
      <c r="S408">
        <v>90</v>
      </c>
      <c r="T408">
        <v>9.1999999999999993</v>
      </c>
      <c r="U408">
        <v>6.5</v>
      </c>
      <c r="W408" t="s">
        <v>497</v>
      </c>
    </row>
    <row r="409" spans="1:23" x14ac:dyDescent="0.25">
      <c r="A409" t="s">
        <v>909</v>
      </c>
      <c r="B409" t="str">
        <f t="shared" si="6"/>
        <v>GA2K00000058</v>
      </c>
      <c r="C409" t="s">
        <v>227</v>
      </c>
      <c r="D409" t="s">
        <v>85</v>
      </c>
      <c r="E409" t="s">
        <v>516</v>
      </c>
      <c r="F409">
        <v>25000</v>
      </c>
      <c r="G409" s="13">
        <v>44902</v>
      </c>
      <c r="H409" s="13">
        <v>44904</v>
      </c>
      <c r="I409">
        <v>2000</v>
      </c>
      <c r="J409">
        <v>1514</v>
      </c>
      <c r="K409">
        <v>3514</v>
      </c>
      <c r="N409">
        <v>21.052631578947366</v>
      </c>
      <c r="O409">
        <v>90.3005</v>
      </c>
      <c r="P409">
        <v>14.055999999999999</v>
      </c>
      <c r="Q409">
        <v>90</v>
      </c>
      <c r="R409">
        <v>94</v>
      </c>
      <c r="S409">
        <v>90</v>
      </c>
      <c r="T409">
        <v>8.67</v>
      </c>
      <c r="U409">
        <v>5.75</v>
      </c>
      <c r="W409" t="s">
        <v>497</v>
      </c>
    </row>
    <row r="410" spans="1:23" x14ac:dyDescent="0.25">
      <c r="A410" t="s">
        <v>910</v>
      </c>
      <c r="B410" t="str">
        <f t="shared" si="6"/>
        <v>CG2J00000305</v>
      </c>
      <c r="C410" t="s">
        <v>229</v>
      </c>
      <c r="D410" t="s">
        <v>85</v>
      </c>
      <c r="E410" t="s">
        <v>499</v>
      </c>
      <c r="F410">
        <v>15000</v>
      </c>
      <c r="G410" s="13">
        <v>44901</v>
      </c>
      <c r="H410" s="13">
        <v>44903</v>
      </c>
      <c r="I410">
        <v>8454.85</v>
      </c>
      <c r="J410">
        <v>6545.15</v>
      </c>
      <c r="K410">
        <v>15000</v>
      </c>
      <c r="N410">
        <v>26.086956521739129</v>
      </c>
      <c r="O410">
        <v>91.680999999999997</v>
      </c>
      <c r="P410">
        <v>110.7167</v>
      </c>
      <c r="Q410">
        <v>90</v>
      </c>
      <c r="R410">
        <v>92.5</v>
      </c>
      <c r="S410">
        <v>90</v>
      </c>
      <c r="T410">
        <v>8.9700000000000006</v>
      </c>
      <c r="U410">
        <v>5.75</v>
      </c>
      <c r="W410" t="s">
        <v>497</v>
      </c>
    </row>
    <row r="411" spans="1:23" x14ac:dyDescent="0.25">
      <c r="A411" t="s">
        <v>911</v>
      </c>
      <c r="B411" t="str">
        <f t="shared" si="6"/>
        <v>TD2J00000314</v>
      </c>
      <c r="C411" t="s">
        <v>237</v>
      </c>
      <c r="D411" t="s">
        <v>85</v>
      </c>
      <c r="E411" t="s">
        <v>499</v>
      </c>
      <c r="F411">
        <v>15000</v>
      </c>
      <c r="G411" s="13">
        <v>44902</v>
      </c>
      <c r="H411" s="13">
        <v>44904</v>
      </c>
      <c r="J411">
        <v>0</v>
      </c>
      <c r="N411">
        <v>0</v>
      </c>
      <c r="T411" t="s">
        <v>912</v>
      </c>
      <c r="W411" t="s">
        <v>497</v>
      </c>
    </row>
    <row r="412" spans="1:23" x14ac:dyDescent="0.25">
      <c r="A412" t="s">
        <v>913</v>
      </c>
      <c r="B412" t="str">
        <f t="shared" si="6"/>
        <v>GA2K00000058</v>
      </c>
      <c r="C412" t="s">
        <v>227</v>
      </c>
      <c r="D412" t="s">
        <v>85</v>
      </c>
      <c r="E412" t="s">
        <v>516</v>
      </c>
      <c r="F412">
        <v>15000</v>
      </c>
      <c r="G412" s="13">
        <v>44909</v>
      </c>
      <c r="H412" s="13">
        <v>44911</v>
      </c>
      <c r="J412">
        <v>0</v>
      </c>
      <c r="N412">
        <v>0</v>
      </c>
      <c r="T412" t="s">
        <v>912</v>
      </c>
      <c r="W412" t="s">
        <v>497</v>
      </c>
    </row>
    <row r="413" spans="1:23" x14ac:dyDescent="0.25">
      <c r="A413" t="s">
        <v>914</v>
      </c>
      <c r="B413" t="str">
        <f t="shared" si="6"/>
        <v>GA2B00000125</v>
      </c>
      <c r="C413" t="s">
        <v>227</v>
      </c>
      <c r="D413" t="s">
        <v>85</v>
      </c>
      <c r="E413" t="s">
        <v>507</v>
      </c>
      <c r="F413">
        <v>15000</v>
      </c>
      <c r="G413" s="13">
        <v>44909</v>
      </c>
      <c r="H413" s="13">
        <v>44911</v>
      </c>
      <c r="J413">
        <v>0</v>
      </c>
      <c r="N413">
        <v>0</v>
      </c>
      <c r="T413" t="s">
        <v>912</v>
      </c>
      <c r="W413" t="s">
        <v>497</v>
      </c>
    </row>
    <row r="414" spans="1:23" x14ac:dyDescent="0.25">
      <c r="A414" t="s">
        <v>915</v>
      </c>
      <c r="B414" t="str">
        <f t="shared" si="6"/>
        <v>CG2A00000353</v>
      </c>
      <c r="C414" t="s">
        <v>229</v>
      </c>
      <c r="D414" t="s">
        <v>85</v>
      </c>
      <c r="E414" t="s">
        <v>496</v>
      </c>
      <c r="F414">
        <v>40000</v>
      </c>
      <c r="G414" s="13">
        <v>44915</v>
      </c>
      <c r="H414" s="13">
        <v>44917</v>
      </c>
      <c r="I414">
        <v>2950</v>
      </c>
      <c r="J414">
        <v>0</v>
      </c>
      <c r="K414">
        <v>2950</v>
      </c>
      <c r="N414">
        <v>25</v>
      </c>
      <c r="O414">
        <v>94</v>
      </c>
      <c r="P414">
        <v>7.375</v>
      </c>
      <c r="Q414">
        <v>94</v>
      </c>
      <c r="R414">
        <v>94</v>
      </c>
      <c r="S414">
        <v>94</v>
      </c>
      <c r="T414">
        <v>8.84</v>
      </c>
      <c r="U414">
        <v>5.5</v>
      </c>
      <c r="W414" t="s">
        <v>875</v>
      </c>
    </row>
    <row r="415" spans="1:23" x14ac:dyDescent="0.25">
      <c r="A415" t="s">
        <v>916</v>
      </c>
      <c r="B415" t="str">
        <f t="shared" si="6"/>
        <v>CG2J00000313</v>
      </c>
      <c r="C415" t="s">
        <v>229</v>
      </c>
      <c r="D415" t="s">
        <v>85</v>
      </c>
      <c r="E415" t="s">
        <v>499</v>
      </c>
      <c r="F415">
        <v>40000</v>
      </c>
      <c r="G415" s="13">
        <v>44915</v>
      </c>
      <c r="H415" s="13">
        <v>44917</v>
      </c>
      <c r="I415">
        <v>14271</v>
      </c>
      <c r="J415">
        <v>10000</v>
      </c>
      <c r="K415">
        <v>24271</v>
      </c>
      <c r="N415">
        <v>100</v>
      </c>
      <c r="O415">
        <v>93</v>
      </c>
      <c r="P415">
        <v>85.677499999999995</v>
      </c>
      <c r="Q415">
        <v>93</v>
      </c>
      <c r="R415">
        <v>93</v>
      </c>
      <c r="S415">
        <v>93</v>
      </c>
      <c r="T415">
        <v>8.6999999999999993</v>
      </c>
      <c r="U415">
        <v>6</v>
      </c>
      <c r="W415" t="s">
        <v>875</v>
      </c>
    </row>
    <row r="416" spans="1:23" x14ac:dyDescent="0.25">
      <c r="A416" t="s">
        <v>917</v>
      </c>
      <c r="B416" t="str">
        <f t="shared" si="6"/>
        <v>CG2B00000105</v>
      </c>
      <c r="C416" t="s">
        <v>229</v>
      </c>
      <c r="D416" t="s">
        <v>85</v>
      </c>
      <c r="E416" t="s">
        <v>507</v>
      </c>
      <c r="F416">
        <v>10000</v>
      </c>
      <c r="G416" s="13">
        <v>44915</v>
      </c>
      <c r="H416" s="13">
        <v>44917</v>
      </c>
      <c r="I416">
        <v>9000</v>
      </c>
      <c r="J416">
        <v>30</v>
      </c>
      <c r="K416">
        <v>9030</v>
      </c>
      <c r="N416">
        <v>50</v>
      </c>
      <c r="O416">
        <v>91</v>
      </c>
      <c r="P416">
        <v>90.3</v>
      </c>
      <c r="Q416">
        <v>91</v>
      </c>
      <c r="R416">
        <v>91</v>
      </c>
      <c r="S416">
        <v>91</v>
      </c>
      <c r="T416">
        <v>8.76</v>
      </c>
      <c r="U416">
        <v>6.5</v>
      </c>
      <c r="W416" t="s">
        <v>875</v>
      </c>
    </row>
    <row r="417" spans="1:23" x14ac:dyDescent="0.25">
      <c r="A417" t="s">
        <v>918</v>
      </c>
      <c r="B417" t="str">
        <f t="shared" si="6"/>
        <v>GA2K00000058</v>
      </c>
      <c r="C417" t="s">
        <v>227</v>
      </c>
      <c r="D417" t="s">
        <v>85</v>
      </c>
      <c r="E417" t="s">
        <v>516</v>
      </c>
      <c r="F417">
        <v>15000</v>
      </c>
      <c r="G417" s="13">
        <v>44916</v>
      </c>
      <c r="H417" s="13">
        <v>44918</v>
      </c>
      <c r="I417">
        <v>0</v>
      </c>
      <c r="J417">
        <v>4700</v>
      </c>
      <c r="K417">
        <v>4700</v>
      </c>
      <c r="N417">
        <v>15.789473684210526</v>
      </c>
      <c r="O417">
        <v>91.009900000000002</v>
      </c>
      <c r="P417">
        <v>31.333300000000001</v>
      </c>
      <c r="Q417">
        <v>90</v>
      </c>
      <c r="R417">
        <v>93</v>
      </c>
      <c r="S417">
        <v>90</v>
      </c>
      <c r="T417">
        <v>8.4499999999999993</v>
      </c>
      <c r="U417">
        <v>5.75</v>
      </c>
      <c r="W417" t="s">
        <v>497</v>
      </c>
    </row>
    <row r="418" spans="1:23" x14ac:dyDescent="0.25">
      <c r="A418" t="s">
        <v>919</v>
      </c>
      <c r="B418" t="str">
        <f t="shared" si="6"/>
        <v>GA2B00000125</v>
      </c>
      <c r="C418" t="s">
        <v>227</v>
      </c>
      <c r="D418" t="s">
        <v>85</v>
      </c>
      <c r="E418" t="s">
        <v>507</v>
      </c>
      <c r="F418">
        <v>15000</v>
      </c>
      <c r="G418" s="13">
        <v>44916</v>
      </c>
      <c r="H418" s="13">
        <v>44918</v>
      </c>
      <c r="I418">
        <v>65</v>
      </c>
      <c r="J418">
        <v>1122</v>
      </c>
      <c r="K418">
        <v>1187</v>
      </c>
      <c r="N418">
        <v>33.333333333333329</v>
      </c>
      <c r="O418">
        <v>92.427899999999994</v>
      </c>
      <c r="P418">
        <v>7.9132999999999996</v>
      </c>
      <c r="Q418">
        <v>90</v>
      </c>
      <c r="R418">
        <v>95</v>
      </c>
      <c r="S418">
        <v>90</v>
      </c>
      <c r="T418">
        <v>8.39</v>
      </c>
      <c r="U418">
        <v>6.5</v>
      </c>
      <c r="W418" t="s">
        <v>497</v>
      </c>
    </row>
    <row r="419" spans="1:23" x14ac:dyDescent="0.25">
      <c r="A419" t="s">
        <v>920</v>
      </c>
      <c r="B419" t="str">
        <f t="shared" si="6"/>
        <v>CG2A00000353</v>
      </c>
      <c r="C419" t="s">
        <v>229</v>
      </c>
      <c r="D419" t="s">
        <v>85</v>
      </c>
      <c r="E419" t="s">
        <v>496</v>
      </c>
      <c r="F419">
        <v>20000</v>
      </c>
      <c r="G419" s="13">
        <v>44922</v>
      </c>
      <c r="H419" s="13">
        <v>44924</v>
      </c>
      <c r="I419">
        <v>4755</v>
      </c>
      <c r="J419">
        <v>3396</v>
      </c>
      <c r="K419">
        <v>8151</v>
      </c>
      <c r="N419">
        <v>30.434782608695656</v>
      </c>
      <c r="O419">
        <v>92.582800000000006</v>
      </c>
      <c r="P419">
        <v>40.755000000000003</v>
      </c>
      <c r="Q419">
        <v>92</v>
      </c>
      <c r="R419">
        <v>94</v>
      </c>
      <c r="S419">
        <v>92</v>
      </c>
      <c r="T419">
        <v>9.67</v>
      </c>
      <c r="U419">
        <v>5.5</v>
      </c>
      <c r="W419" t="s">
        <v>497</v>
      </c>
    </row>
    <row r="420" spans="1:23" x14ac:dyDescent="0.25">
      <c r="A420" t="s">
        <v>921</v>
      </c>
      <c r="B420" t="str">
        <f t="shared" si="6"/>
        <v>GA2J00000283</v>
      </c>
      <c r="C420" t="s">
        <v>227</v>
      </c>
      <c r="D420" t="s">
        <v>85</v>
      </c>
      <c r="E420" t="s">
        <v>499</v>
      </c>
      <c r="F420">
        <v>25000</v>
      </c>
      <c r="G420" s="13">
        <v>44937</v>
      </c>
      <c r="H420" s="13">
        <v>44939</v>
      </c>
      <c r="I420">
        <v>15900</v>
      </c>
      <c r="J420">
        <v>4338</v>
      </c>
      <c r="K420">
        <v>20238</v>
      </c>
      <c r="N420">
        <v>45</v>
      </c>
      <c r="O420">
        <v>93.059899999999999</v>
      </c>
      <c r="P420">
        <v>80.951999999999998</v>
      </c>
      <c r="Q420">
        <v>90</v>
      </c>
      <c r="R420">
        <v>96</v>
      </c>
      <c r="S420">
        <v>90</v>
      </c>
      <c r="T420">
        <v>8.15</v>
      </c>
      <c r="U420">
        <v>5.5</v>
      </c>
      <c r="W420" t="s">
        <v>497</v>
      </c>
    </row>
    <row r="421" spans="1:23" x14ac:dyDescent="0.25">
      <c r="A421" t="s">
        <v>922</v>
      </c>
      <c r="B421" t="str">
        <f t="shared" si="6"/>
        <v>TD2J00000330</v>
      </c>
      <c r="C421" t="s">
        <v>237</v>
      </c>
      <c r="D421" t="s">
        <v>85</v>
      </c>
      <c r="E421" t="s">
        <v>499</v>
      </c>
      <c r="F421">
        <v>10000</v>
      </c>
      <c r="G421" s="13">
        <v>44937</v>
      </c>
      <c r="H421" s="13">
        <v>44939</v>
      </c>
      <c r="J421">
        <v>0</v>
      </c>
      <c r="N421">
        <v>0</v>
      </c>
      <c r="T421" t="s">
        <v>912</v>
      </c>
      <c r="W421" t="s">
        <v>497</v>
      </c>
    </row>
    <row r="422" spans="1:23" x14ac:dyDescent="0.25">
      <c r="A422" t="s">
        <v>923</v>
      </c>
      <c r="B422" t="str">
        <f t="shared" si="6"/>
        <v>CG2A00000361</v>
      </c>
      <c r="C422" t="s">
        <v>229</v>
      </c>
      <c r="D422" t="s">
        <v>85</v>
      </c>
      <c r="E422" t="s">
        <v>496</v>
      </c>
      <c r="F422">
        <v>40000</v>
      </c>
      <c r="G422" s="13">
        <v>44943</v>
      </c>
      <c r="H422" s="13">
        <v>44945</v>
      </c>
      <c r="I422">
        <v>40000</v>
      </c>
      <c r="J422">
        <v>0</v>
      </c>
      <c r="K422">
        <v>40000</v>
      </c>
      <c r="N422">
        <v>8.695652173913043</v>
      </c>
      <c r="O422">
        <v>94</v>
      </c>
      <c r="P422">
        <v>137.13749999999999</v>
      </c>
      <c r="Q422">
        <v>94</v>
      </c>
      <c r="R422">
        <v>94</v>
      </c>
      <c r="S422">
        <v>94</v>
      </c>
      <c r="T422">
        <v>8.84</v>
      </c>
      <c r="U422">
        <v>5.5</v>
      </c>
      <c r="W422" t="s">
        <v>875</v>
      </c>
    </row>
    <row r="423" spans="1:23" x14ac:dyDescent="0.25">
      <c r="A423" t="s">
        <v>924</v>
      </c>
      <c r="B423" t="str">
        <f t="shared" si="6"/>
        <v>CG2J00000321</v>
      </c>
      <c r="C423" t="s">
        <v>229</v>
      </c>
      <c r="D423" t="s">
        <v>85</v>
      </c>
      <c r="E423" t="s">
        <v>499</v>
      </c>
      <c r="F423">
        <v>15000</v>
      </c>
      <c r="G423" s="13">
        <v>44943</v>
      </c>
      <c r="H423" s="13">
        <v>44945</v>
      </c>
      <c r="I423">
        <v>2650</v>
      </c>
      <c r="J423">
        <v>0</v>
      </c>
      <c r="K423">
        <v>2650</v>
      </c>
      <c r="N423">
        <v>8.695652173913043</v>
      </c>
      <c r="O423">
        <v>94</v>
      </c>
      <c r="P423">
        <v>17.666699999999999</v>
      </c>
      <c r="Q423">
        <v>94</v>
      </c>
      <c r="R423">
        <v>94</v>
      </c>
      <c r="S423">
        <v>94</v>
      </c>
      <c r="T423">
        <v>8.0399999999999991</v>
      </c>
      <c r="U423">
        <v>5.75</v>
      </c>
      <c r="W423" t="s">
        <v>875</v>
      </c>
    </row>
    <row r="424" spans="1:23" x14ac:dyDescent="0.25">
      <c r="A424" t="s">
        <v>925</v>
      </c>
      <c r="B424" t="str">
        <f t="shared" si="6"/>
        <v>CG2B00000113</v>
      </c>
      <c r="C424" t="s">
        <v>229</v>
      </c>
      <c r="D424" t="s">
        <v>85</v>
      </c>
      <c r="E424" t="s">
        <v>507</v>
      </c>
      <c r="F424">
        <v>5000</v>
      </c>
      <c r="G424" s="13">
        <v>44943</v>
      </c>
      <c r="H424" s="13">
        <v>44945</v>
      </c>
      <c r="J424">
        <v>0</v>
      </c>
      <c r="N424">
        <v>0</v>
      </c>
      <c r="T424" t="s">
        <v>912</v>
      </c>
      <c r="W424" t="s">
        <v>875</v>
      </c>
    </row>
    <row r="425" spans="1:23" x14ac:dyDescent="0.25">
      <c r="A425" t="s">
        <v>926</v>
      </c>
      <c r="B425" t="str">
        <f t="shared" si="6"/>
        <v>GA2K00000066</v>
      </c>
      <c r="C425" t="s">
        <v>227</v>
      </c>
      <c r="D425" t="s">
        <v>85</v>
      </c>
      <c r="E425" t="s">
        <v>516</v>
      </c>
      <c r="F425">
        <v>15000</v>
      </c>
      <c r="G425" s="13">
        <v>44944</v>
      </c>
      <c r="H425" s="13">
        <v>44946</v>
      </c>
      <c r="I425">
        <v>6000</v>
      </c>
      <c r="J425">
        <v>6723</v>
      </c>
      <c r="K425">
        <v>12723</v>
      </c>
      <c r="N425">
        <v>40</v>
      </c>
      <c r="O425">
        <v>89.898099999999999</v>
      </c>
      <c r="P425">
        <v>84.82</v>
      </c>
      <c r="Q425">
        <v>89</v>
      </c>
      <c r="R425">
        <v>96</v>
      </c>
      <c r="S425">
        <v>89</v>
      </c>
      <c r="T425">
        <v>8.8000000000000007</v>
      </c>
      <c r="U425">
        <v>5.75</v>
      </c>
      <c r="W425" t="s">
        <v>497</v>
      </c>
    </row>
    <row r="426" spans="1:23" x14ac:dyDescent="0.25">
      <c r="A426" t="s">
        <v>927</v>
      </c>
      <c r="B426" t="str">
        <f t="shared" si="6"/>
        <v>CG2A00000361</v>
      </c>
      <c r="C426" t="s">
        <v>229</v>
      </c>
      <c r="D426" t="s">
        <v>85</v>
      </c>
      <c r="E426" t="s">
        <v>496</v>
      </c>
      <c r="F426">
        <v>20000</v>
      </c>
      <c r="G426" s="13">
        <v>44950</v>
      </c>
      <c r="H426" s="13">
        <v>44952</v>
      </c>
      <c r="I426">
        <v>14745</v>
      </c>
      <c r="J426">
        <v>10</v>
      </c>
      <c r="K426">
        <v>14755</v>
      </c>
      <c r="N426">
        <v>13.043478260869565</v>
      </c>
      <c r="O426">
        <v>94.108900000000006</v>
      </c>
      <c r="P426">
        <v>74.275000000000006</v>
      </c>
      <c r="Q426">
        <v>94</v>
      </c>
      <c r="R426">
        <v>99</v>
      </c>
      <c r="S426">
        <v>94</v>
      </c>
      <c r="T426">
        <v>8.7799999999999994</v>
      </c>
      <c r="U426">
        <v>5.5</v>
      </c>
      <c r="W426" t="s">
        <v>497</v>
      </c>
    </row>
    <row r="427" spans="1:23" x14ac:dyDescent="0.25">
      <c r="A427" t="s">
        <v>928</v>
      </c>
      <c r="B427" t="str">
        <f t="shared" si="6"/>
        <v>CG2J00000321</v>
      </c>
      <c r="C427" t="s">
        <v>229</v>
      </c>
      <c r="D427" t="s">
        <v>85</v>
      </c>
      <c r="E427" t="s">
        <v>499</v>
      </c>
      <c r="F427">
        <v>15000</v>
      </c>
      <c r="G427" s="13">
        <v>44950</v>
      </c>
      <c r="H427" s="13">
        <v>44952</v>
      </c>
      <c r="I427">
        <v>328.67</v>
      </c>
      <c r="J427">
        <v>2350</v>
      </c>
      <c r="K427">
        <v>2678.67</v>
      </c>
      <c r="N427">
        <v>30.434782608695656</v>
      </c>
      <c r="O427">
        <v>91.709400000000002</v>
      </c>
      <c r="P427">
        <v>17.857800000000001</v>
      </c>
      <c r="Q427">
        <v>90</v>
      </c>
      <c r="R427">
        <v>100</v>
      </c>
      <c r="S427">
        <v>90</v>
      </c>
      <c r="T427">
        <v>8.9600000000000009</v>
      </c>
      <c r="U427">
        <v>5.75</v>
      </c>
      <c r="W427" t="s">
        <v>497</v>
      </c>
    </row>
    <row r="428" spans="1:23" x14ac:dyDescent="0.25">
      <c r="A428" t="s">
        <v>929</v>
      </c>
      <c r="B428" t="str">
        <f t="shared" si="6"/>
        <v>CF2J00000075</v>
      </c>
      <c r="C428" t="s">
        <v>634</v>
      </c>
      <c r="D428" t="s">
        <v>85</v>
      </c>
      <c r="E428" t="s">
        <v>499</v>
      </c>
      <c r="F428">
        <v>12500</v>
      </c>
      <c r="G428" s="13">
        <v>44956</v>
      </c>
      <c r="H428" s="13">
        <v>44958</v>
      </c>
      <c r="I428">
        <v>6479.3</v>
      </c>
      <c r="J428">
        <v>100</v>
      </c>
      <c r="K428">
        <v>6579.3</v>
      </c>
      <c r="N428">
        <v>22.222222222222221</v>
      </c>
      <c r="O428">
        <v>88.121600000000001</v>
      </c>
      <c r="P428">
        <v>52.634399999999999</v>
      </c>
      <c r="Q428">
        <v>88</v>
      </c>
      <c r="R428">
        <v>96</v>
      </c>
      <c r="S428">
        <v>88</v>
      </c>
      <c r="T428">
        <v>11.28</v>
      </c>
      <c r="U428">
        <v>6.5</v>
      </c>
      <c r="W428" t="s">
        <v>497</v>
      </c>
    </row>
    <row r="429" spans="1:23" x14ac:dyDescent="0.25">
      <c r="A429" t="s">
        <v>930</v>
      </c>
      <c r="B429" t="str">
        <f t="shared" si="6"/>
        <v>CG2K00000104</v>
      </c>
      <c r="C429" t="s">
        <v>229</v>
      </c>
      <c r="D429" t="s">
        <v>85</v>
      </c>
      <c r="E429" t="s">
        <v>516</v>
      </c>
      <c r="F429">
        <v>10000</v>
      </c>
      <c r="G429" s="13">
        <v>44957</v>
      </c>
      <c r="H429" s="13">
        <v>44959</v>
      </c>
      <c r="I429">
        <v>6362</v>
      </c>
      <c r="J429">
        <v>3122</v>
      </c>
      <c r="K429">
        <v>9484</v>
      </c>
      <c r="N429">
        <v>17.391304347826086</v>
      </c>
      <c r="O429">
        <v>90.074700000000007</v>
      </c>
      <c r="P429">
        <v>94.84</v>
      </c>
      <c r="Q429">
        <v>90</v>
      </c>
      <c r="R429">
        <v>92</v>
      </c>
      <c r="S429">
        <v>90</v>
      </c>
      <c r="T429">
        <v>9.2200000000000006</v>
      </c>
      <c r="U429">
        <v>6.2</v>
      </c>
      <c r="W429" t="s">
        <v>497</v>
      </c>
    </row>
    <row r="430" spans="1:23" x14ac:dyDescent="0.25">
      <c r="A430" t="s">
        <v>931</v>
      </c>
      <c r="B430" t="str">
        <f t="shared" si="6"/>
        <v>CG2J00000339</v>
      </c>
      <c r="C430" t="s">
        <v>229</v>
      </c>
      <c r="D430" t="s">
        <v>85</v>
      </c>
      <c r="E430" t="s">
        <v>499</v>
      </c>
      <c r="F430">
        <v>25000</v>
      </c>
      <c r="G430" s="13">
        <v>44971</v>
      </c>
      <c r="H430" s="13">
        <v>44973</v>
      </c>
      <c r="I430">
        <v>100</v>
      </c>
      <c r="J430">
        <v>1162</v>
      </c>
      <c r="K430">
        <v>1262</v>
      </c>
      <c r="N430">
        <v>21.739130434782609</v>
      </c>
      <c r="O430">
        <v>93.034899999999993</v>
      </c>
      <c r="P430">
        <v>6.6280000000000001</v>
      </c>
      <c r="Q430">
        <v>93</v>
      </c>
      <c r="R430">
        <v>95</v>
      </c>
      <c r="S430">
        <v>93</v>
      </c>
      <c r="T430">
        <v>8.43</v>
      </c>
      <c r="U430">
        <v>5.75</v>
      </c>
      <c r="W430" t="s">
        <v>497</v>
      </c>
    </row>
    <row r="431" spans="1:23" x14ac:dyDescent="0.25">
      <c r="A431" t="s">
        <v>932</v>
      </c>
      <c r="B431" t="str">
        <f t="shared" si="6"/>
        <v>GA2B00000133</v>
      </c>
      <c r="C431" t="s">
        <v>227</v>
      </c>
      <c r="D431" t="s">
        <v>85</v>
      </c>
      <c r="E431" t="s">
        <v>507</v>
      </c>
      <c r="F431">
        <v>25000</v>
      </c>
      <c r="G431" s="13">
        <v>44972</v>
      </c>
      <c r="H431" s="13">
        <v>44974</v>
      </c>
      <c r="I431">
        <v>8010</v>
      </c>
      <c r="J431">
        <v>11133.68</v>
      </c>
      <c r="K431">
        <v>19143.68</v>
      </c>
      <c r="N431">
        <v>40</v>
      </c>
      <c r="O431">
        <v>89.734399999999994</v>
      </c>
      <c r="P431">
        <v>76.574700000000007</v>
      </c>
      <c r="Q431">
        <v>89</v>
      </c>
      <c r="R431">
        <v>97</v>
      </c>
      <c r="S431">
        <v>89</v>
      </c>
      <c r="T431">
        <v>9.1</v>
      </c>
      <c r="U431">
        <v>6.5</v>
      </c>
      <c r="W431" t="s">
        <v>497</v>
      </c>
    </row>
    <row r="432" spans="1:23" x14ac:dyDescent="0.25">
      <c r="A432" t="s">
        <v>933</v>
      </c>
      <c r="B432" t="str">
        <f t="shared" si="6"/>
        <v>CG2A00000395</v>
      </c>
      <c r="C432" t="s">
        <v>229</v>
      </c>
      <c r="D432" t="s">
        <v>85</v>
      </c>
      <c r="E432" t="s">
        <v>496</v>
      </c>
      <c r="F432">
        <v>41750.25</v>
      </c>
      <c r="G432" s="13">
        <v>44971</v>
      </c>
      <c r="H432" s="13">
        <v>44973</v>
      </c>
      <c r="K432">
        <v>41750.25</v>
      </c>
      <c r="N432">
        <v>0</v>
      </c>
      <c r="T432" t="s">
        <v>542</v>
      </c>
      <c r="U432">
        <v>6.5</v>
      </c>
      <c r="W432" t="s">
        <v>542</v>
      </c>
    </row>
    <row r="433" spans="1:23" x14ac:dyDescent="0.25">
      <c r="A433" t="s">
        <v>934</v>
      </c>
      <c r="B433" t="str">
        <f t="shared" si="6"/>
        <v>CG2J00000347</v>
      </c>
      <c r="C433" t="s">
        <v>229</v>
      </c>
      <c r="D433" t="s">
        <v>85</v>
      </c>
      <c r="E433" t="s">
        <v>499</v>
      </c>
      <c r="F433">
        <v>41750.25</v>
      </c>
      <c r="G433" s="13">
        <v>44971</v>
      </c>
      <c r="H433" s="13">
        <v>44973</v>
      </c>
      <c r="K433">
        <v>41750.25</v>
      </c>
      <c r="T433" t="s">
        <v>542</v>
      </c>
      <c r="U433">
        <v>6.5</v>
      </c>
      <c r="W433" t="s">
        <v>542</v>
      </c>
    </row>
    <row r="434" spans="1:23" x14ac:dyDescent="0.25">
      <c r="A434" t="s">
        <v>935</v>
      </c>
      <c r="B434" t="str">
        <f t="shared" si="6"/>
        <v>CG2K00000112</v>
      </c>
      <c r="C434" t="s">
        <v>229</v>
      </c>
      <c r="D434" t="s">
        <v>85</v>
      </c>
      <c r="E434" t="s">
        <v>516</v>
      </c>
      <c r="F434">
        <v>41750.25</v>
      </c>
      <c r="G434" s="13">
        <v>44971</v>
      </c>
      <c r="H434" s="13">
        <v>44973</v>
      </c>
      <c r="K434">
        <v>41750.25</v>
      </c>
      <c r="T434" t="s">
        <v>542</v>
      </c>
      <c r="U434">
        <v>6.5</v>
      </c>
      <c r="W434" t="s">
        <v>542</v>
      </c>
    </row>
    <row r="435" spans="1:23" x14ac:dyDescent="0.25">
      <c r="A435" t="s">
        <v>936</v>
      </c>
      <c r="B435" t="str">
        <f t="shared" si="6"/>
        <v>CG2B00000121</v>
      </c>
      <c r="C435" t="s">
        <v>229</v>
      </c>
      <c r="D435" t="s">
        <v>85</v>
      </c>
      <c r="E435" t="s">
        <v>507</v>
      </c>
      <c r="F435">
        <v>41750.25</v>
      </c>
      <c r="G435" s="13">
        <v>44971</v>
      </c>
      <c r="H435" s="13">
        <v>44973</v>
      </c>
      <c r="K435">
        <v>41750.25</v>
      </c>
      <c r="T435" t="s">
        <v>542</v>
      </c>
      <c r="U435">
        <v>6.5</v>
      </c>
      <c r="W435" t="s">
        <v>542</v>
      </c>
    </row>
    <row r="436" spans="1:23" x14ac:dyDescent="0.25">
      <c r="A436" t="s">
        <v>937</v>
      </c>
      <c r="B436" t="str">
        <f t="shared" si="6"/>
        <v>CG2L00000020</v>
      </c>
      <c r="C436" t="s">
        <v>229</v>
      </c>
      <c r="D436" t="s">
        <v>85</v>
      </c>
      <c r="E436" t="s">
        <v>547</v>
      </c>
      <c r="F436">
        <v>41750.25</v>
      </c>
      <c r="G436" s="13">
        <v>44971</v>
      </c>
      <c r="H436" s="13">
        <v>44973</v>
      </c>
      <c r="K436">
        <v>41750.25</v>
      </c>
      <c r="T436" t="s">
        <v>542</v>
      </c>
      <c r="U436">
        <v>6.5</v>
      </c>
      <c r="W436" t="s">
        <v>542</v>
      </c>
    </row>
    <row r="437" spans="1:23" x14ac:dyDescent="0.25">
      <c r="A437" t="s">
        <v>938</v>
      </c>
      <c r="B437" t="str">
        <f t="shared" si="6"/>
        <v>CG2C00000013</v>
      </c>
      <c r="C437" t="s">
        <v>229</v>
      </c>
      <c r="D437" t="s">
        <v>85</v>
      </c>
      <c r="E437" t="s">
        <v>549</v>
      </c>
      <c r="F437">
        <v>41750.25</v>
      </c>
      <c r="G437" s="13">
        <v>44971</v>
      </c>
      <c r="H437" s="13">
        <v>44973</v>
      </c>
      <c r="K437">
        <v>41750.25</v>
      </c>
      <c r="T437" t="s">
        <v>542</v>
      </c>
      <c r="U437">
        <v>6.5</v>
      </c>
      <c r="W437" t="s">
        <v>542</v>
      </c>
    </row>
    <row r="438" spans="1:23" x14ac:dyDescent="0.25">
      <c r="A438" t="s">
        <v>939</v>
      </c>
      <c r="B438" t="str">
        <f t="shared" si="6"/>
        <v>CG2M00000011</v>
      </c>
      <c r="C438" t="s">
        <v>229</v>
      </c>
      <c r="D438" t="s">
        <v>85</v>
      </c>
      <c r="E438" t="s">
        <v>551</v>
      </c>
      <c r="F438">
        <v>41750.25</v>
      </c>
      <c r="G438" s="13">
        <v>44971</v>
      </c>
      <c r="H438" s="13">
        <v>44973</v>
      </c>
      <c r="K438">
        <v>41750.25</v>
      </c>
      <c r="T438" t="s">
        <v>542</v>
      </c>
      <c r="U438">
        <v>6.5</v>
      </c>
      <c r="W438" t="s">
        <v>542</v>
      </c>
    </row>
    <row r="439" spans="1:23" x14ac:dyDescent="0.25">
      <c r="A439" t="s">
        <v>940</v>
      </c>
      <c r="B439" t="str">
        <f t="shared" si="6"/>
        <v>CG2N00000010</v>
      </c>
      <c r="C439" t="s">
        <v>229</v>
      </c>
      <c r="D439" t="s">
        <v>85</v>
      </c>
      <c r="E439" t="s">
        <v>553</v>
      </c>
      <c r="F439">
        <v>41750.25</v>
      </c>
      <c r="G439" s="13">
        <v>44971</v>
      </c>
      <c r="H439" s="13">
        <v>44973</v>
      </c>
      <c r="K439">
        <v>41750.25</v>
      </c>
      <c r="T439" t="s">
        <v>542</v>
      </c>
      <c r="U439">
        <v>6.5</v>
      </c>
      <c r="W439" t="s">
        <v>542</v>
      </c>
    </row>
    <row r="440" spans="1:23" x14ac:dyDescent="0.25">
      <c r="A440" t="s">
        <v>941</v>
      </c>
      <c r="B440" t="str">
        <f t="shared" si="6"/>
        <v>CF2K00000023</v>
      </c>
      <c r="C440" t="s">
        <v>634</v>
      </c>
      <c r="D440" t="s">
        <v>85</v>
      </c>
      <c r="E440" t="s">
        <v>516</v>
      </c>
      <c r="F440">
        <v>12500</v>
      </c>
      <c r="G440" s="13">
        <v>44977</v>
      </c>
      <c r="H440" s="13">
        <v>44979</v>
      </c>
      <c r="I440">
        <v>1735</v>
      </c>
      <c r="J440">
        <v>2157</v>
      </c>
      <c r="K440">
        <v>3892</v>
      </c>
      <c r="N440">
        <v>44.444444444444443</v>
      </c>
      <c r="O440">
        <v>87.491</v>
      </c>
      <c r="P440">
        <v>31.135999999999999</v>
      </c>
      <c r="Q440">
        <v>87</v>
      </c>
      <c r="R440">
        <v>93</v>
      </c>
      <c r="S440">
        <v>87</v>
      </c>
      <c r="T440">
        <v>10.4</v>
      </c>
      <c r="U440">
        <v>6.5</v>
      </c>
      <c r="W440" t="s">
        <v>497</v>
      </c>
    </row>
    <row r="441" spans="1:23" x14ac:dyDescent="0.25">
      <c r="A441" t="s">
        <v>942</v>
      </c>
      <c r="B441" t="str">
        <f t="shared" si="6"/>
        <v>CG2J00000339</v>
      </c>
      <c r="C441" t="s">
        <v>229</v>
      </c>
      <c r="D441" t="s">
        <v>85</v>
      </c>
      <c r="E441" t="s">
        <v>499</v>
      </c>
      <c r="F441">
        <v>20000</v>
      </c>
      <c r="G441" s="13">
        <v>44978</v>
      </c>
      <c r="H441" s="13">
        <v>44980</v>
      </c>
      <c r="I441">
        <v>8600</v>
      </c>
      <c r="J441">
        <v>4458</v>
      </c>
      <c r="K441">
        <v>13058</v>
      </c>
      <c r="N441">
        <v>30.434782608695656</v>
      </c>
      <c r="O441">
        <v>93.119500000000002</v>
      </c>
      <c r="P441">
        <v>80.290000000000006</v>
      </c>
      <c r="Q441">
        <v>91</v>
      </c>
      <c r="R441">
        <v>94</v>
      </c>
      <c r="S441">
        <v>93</v>
      </c>
      <c r="T441">
        <v>8.39</v>
      </c>
      <c r="U441">
        <v>5.75</v>
      </c>
      <c r="W441" t="s">
        <v>497</v>
      </c>
    </row>
    <row r="442" spans="1:23" x14ac:dyDescent="0.25">
      <c r="A442" t="s">
        <v>943</v>
      </c>
      <c r="B442" t="str">
        <f t="shared" si="6"/>
        <v>CG2K00000104</v>
      </c>
      <c r="C442" t="s">
        <v>229</v>
      </c>
      <c r="D442" t="s">
        <v>85</v>
      </c>
      <c r="E442" t="s">
        <v>516</v>
      </c>
      <c r="F442">
        <v>5000</v>
      </c>
      <c r="G442" s="13">
        <v>44978</v>
      </c>
      <c r="H442" s="13">
        <v>44980</v>
      </c>
      <c r="I442">
        <v>4965</v>
      </c>
      <c r="J442">
        <v>35</v>
      </c>
      <c r="K442">
        <v>5000</v>
      </c>
      <c r="N442">
        <v>13.043478260869565</v>
      </c>
      <c r="O442">
        <v>90.363699999999994</v>
      </c>
      <c r="P442">
        <v>100.9</v>
      </c>
      <c r="Q442">
        <v>87</v>
      </c>
      <c r="R442">
        <v>91</v>
      </c>
      <c r="S442">
        <v>90</v>
      </c>
      <c r="T442">
        <v>9.1300000000000008</v>
      </c>
      <c r="U442">
        <v>6.2</v>
      </c>
      <c r="W442" t="s">
        <v>497</v>
      </c>
    </row>
    <row r="443" spans="1:23" x14ac:dyDescent="0.25">
      <c r="A443" t="s">
        <v>944</v>
      </c>
      <c r="B443" t="str">
        <f t="shared" si="6"/>
        <v>CM2B00000129</v>
      </c>
      <c r="C443" t="s">
        <v>225</v>
      </c>
      <c r="D443" t="s">
        <v>85</v>
      </c>
      <c r="E443" t="s">
        <v>507</v>
      </c>
      <c r="F443">
        <v>30000</v>
      </c>
      <c r="G443" s="13">
        <v>44991</v>
      </c>
      <c r="H443" s="13">
        <v>44993</v>
      </c>
      <c r="J443">
        <v>14500</v>
      </c>
      <c r="K443">
        <v>14500</v>
      </c>
      <c r="N443">
        <v>14.285714285714285</v>
      </c>
      <c r="O443">
        <v>97.244799999999998</v>
      </c>
      <c r="P443">
        <v>73.333299999999994</v>
      </c>
      <c r="Q443">
        <v>93</v>
      </c>
      <c r="R443">
        <v>98.2</v>
      </c>
      <c r="S443">
        <v>96</v>
      </c>
      <c r="T443">
        <v>6.4</v>
      </c>
      <c r="U443">
        <v>5.75</v>
      </c>
      <c r="W443" t="s">
        <v>497</v>
      </c>
    </row>
    <row r="444" spans="1:23" x14ac:dyDescent="0.25">
      <c r="A444" t="s">
        <v>945</v>
      </c>
      <c r="B444" t="str">
        <f t="shared" si="6"/>
        <v>CF2J00000075</v>
      </c>
      <c r="C444" t="s">
        <v>634</v>
      </c>
      <c r="D444" t="s">
        <v>85</v>
      </c>
      <c r="E444" t="s">
        <v>499</v>
      </c>
      <c r="F444">
        <v>7000</v>
      </c>
      <c r="G444" s="13">
        <v>44991</v>
      </c>
      <c r="H444" s="13">
        <v>44993</v>
      </c>
      <c r="J444">
        <v>0</v>
      </c>
      <c r="N444">
        <v>0</v>
      </c>
      <c r="T444" t="s">
        <v>946</v>
      </c>
      <c r="W444" t="s">
        <v>497</v>
      </c>
    </row>
    <row r="445" spans="1:23" x14ac:dyDescent="0.25">
      <c r="A445" t="s">
        <v>947</v>
      </c>
      <c r="B445" t="str">
        <f t="shared" si="6"/>
        <v>CG2J00000321</v>
      </c>
      <c r="C445" t="s">
        <v>229</v>
      </c>
      <c r="D445" t="s">
        <v>85</v>
      </c>
      <c r="E445" t="s">
        <v>499</v>
      </c>
      <c r="F445">
        <v>10000</v>
      </c>
      <c r="G445" s="13">
        <v>44999</v>
      </c>
      <c r="H445" s="13">
        <v>45001</v>
      </c>
      <c r="J445">
        <v>2650</v>
      </c>
      <c r="K445">
        <v>2650</v>
      </c>
      <c r="N445">
        <v>26.086956521739129</v>
      </c>
      <c r="O445">
        <v>93.001599999999996</v>
      </c>
      <c r="P445">
        <v>32.5</v>
      </c>
      <c r="Q445">
        <v>90</v>
      </c>
      <c r="R445">
        <v>100</v>
      </c>
      <c r="S445">
        <v>92</v>
      </c>
      <c r="T445">
        <v>8.44</v>
      </c>
      <c r="U445">
        <v>5.75</v>
      </c>
      <c r="W445" t="s">
        <v>497</v>
      </c>
    </row>
    <row r="446" spans="1:23" x14ac:dyDescent="0.25">
      <c r="A446" t="s">
        <v>948</v>
      </c>
      <c r="B446" t="str">
        <f t="shared" si="6"/>
        <v>GA2C00000033</v>
      </c>
      <c r="C446" t="s">
        <v>227</v>
      </c>
      <c r="D446" t="s">
        <v>85</v>
      </c>
      <c r="E446" t="s">
        <v>549</v>
      </c>
      <c r="F446">
        <v>25000</v>
      </c>
      <c r="G446" s="13">
        <v>45000</v>
      </c>
      <c r="H446" s="13">
        <v>45002</v>
      </c>
      <c r="I446">
        <v>2525</v>
      </c>
      <c r="J446">
        <v>6408.7000000000007</v>
      </c>
      <c r="K446">
        <v>8933.7000000000007</v>
      </c>
      <c r="N446">
        <v>50</v>
      </c>
      <c r="O446">
        <v>88.978399999999993</v>
      </c>
      <c r="P446">
        <v>35.7348</v>
      </c>
      <c r="Q446">
        <v>88</v>
      </c>
      <c r="R446">
        <v>96</v>
      </c>
      <c r="S446">
        <v>88</v>
      </c>
      <c r="T446">
        <v>9.44</v>
      </c>
      <c r="U446">
        <v>7.25</v>
      </c>
      <c r="W446" t="s">
        <v>497</v>
      </c>
    </row>
    <row r="447" spans="1:23" x14ac:dyDescent="0.25">
      <c r="A447" t="s">
        <v>949</v>
      </c>
      <c r="B447" t="str">
        <f t="shared" si="6"/>
        <v>CG2A00000403</v>
      </c>
      <c r="C447" t="s">
        <v>229</v>
      </c>
      <c r="D447" t="s">
        <v>85</v>
      </c>
      <c r="E447" t="s">
        <v>496</v>
      </c>
      <c r="F447">
        <v>20000</v>
      </c>
      <c r="G447" s="13">
        <v>45006</v>
      </c>
      <c r="H447" s="13">
        <v>45008</v>
      </c>
      <c r="J447">
        <v>5004</v>
      </c>
      <c r="K447">
        <v>5004</v>
      </c>
      <c r="N447">
        <v>4.3478260869565215</v>
      </c>
      <c r="O447">
        <v>90.899299999999997</v>
      </c>
      <c r="P447">
        <v>25.02</v>
      </c>
      <c r="Q447">
        <v>90</v>
      </c>
      <c r="R447">
        <v>92</v>
      </c>
      <c r="S447">
        <v>90</v>
      </c>
      <c r="T447">
        <v>10.67</v>
      </c>
      <c r="U447">
        <v>5.5</v>
      </c>
      <c r="W447" t="s">
        <v>497</v>
      </c>
    </row>
    <row r="448" spans="1:23" x14ac:dyDescent="0.25">
      <c r="A448" t="s">
        <v>950</v>
      </c>
      <c r="B448" t="str">
        <f t="shared" si="6"/>
        <v>CG2J00000354</v>
      </c>
      <c r="C448" t="s">
        <v>229</v>
      </c>
      <c r="D448" t="s">
        <v>85</v>
      </c>
      <c r="E448" t="s">
        <v>499</v>
      </c>
      <c r="F448">
        <v>10000</v>
      </c>
      <c r="G448" s="13">
        <v>45006</v>
      </c>
      <c r="H448" s="13">
        <v>45008</v>
      </c>
      <c r="J448">
        <v>0</v>
      </c>
      <c r="N448">
        <v>0</v>
      </c>
      <c r="T448" t="s">
        <v>946</v>
      </c>
      <c r="W448" t="s">
        <v>497</v>
      </c>
    </row>
    <row r="449" spans="1:23" x14ac:dyDescent="0.25">
      <c r="A449" t="s">
        <v>951</v>
      </c>
      <c r="B449" t="str">
        <f t="shared" si="6"/>
        <v>CM2J00000071</v>
      </c>
      <c r="C449" t="s">
        <v>225</v>
      </c>
      <c r="D449" t="s">
        <v>85</v>
      </c>
      <c r="E449" t="s">
        <v>499</v>
      </c>
      <c r="F449">
        <v>30000</v>
      </c>
      <c r="G449" s="13">
        <v>45012</v>
      </c>
      <c r="H449" s="13">
        <v>45014</v>
      </c>
      <c r="I449">
        <v>5000</v>
      </c>
      <c r="J449">
        <v>0</v>
      </c>
      <c r="K449">
        <v>5000</v>
      </c>
      <c r="N449">
        <v>14.285714285714285</v>
      </c>
      <c r="O449">
        <v>97</v>
      </c>
      <c r="P449">
        <v>32.3367</v>
      </c>
      <c r="Q449">
        <v>92</v>
      </c>
      <c r="R449">
        <v>97</v>
      </c>
      <c r="S449">
        <v>97</v>
      </c>
      <c r="T449">
        <v>5.35</v>
      </c>
      <c r="U449">
        <v>4.25</v>
      </c>
      <c r="W449" t="s">
        <v>497</v>
      </c>
    </row>
    <row r="450" spans="1:23" x14ac:dyDescent="0.25">
      <c r="A450" t="s">
        <v>952</v>
      </c>
      <c r="B450" t="str">
        <f t="shared" si="6"/>
        <v>CG2A00000403</v>
      </c>
      <c r="C450" t="s">
        <v>229</v>
      </c>
      <c r="D450" t="s">
        <v>85</v>
      </c>
      <c r="E450" t="s">
        <v>496</v>
      </c>
      <c r="F450">
        <v>15000</v>
      </c>
      <c r="G450" s="13">
        <v>45013</v>
      </c>
      <c r="H450" s="13">
        <v>45015</v>
      </c>
      <c r="I450">
        <v>14374</v>
      </c>
      <c r="J450">
        <v>500</v>
      </c>
      <c r="K450">
        <v>14874</v>
      </c>
      <c r="N450">
        <v>21.739130434782609</v>
      </c>
      <c r="O450">
        <v>92.101900000000001</v>
      </c>
      <c r="P450">
        <v>119.58669999999999</v>
      </c>
      <c r="Q450">
        <v>90.01</v>
      </c>
      <c r="R450">
        <v>100</v>
      </c>
      <c r="S450">
        <v>90.01</v>
      </c>
      <c r="T450">
        <v>9.9499999999999993</v>
      </c>
      <c r="U450">
        <v>5.5</v>
      </c>
      <c r="W450" t="s">
        <v>497</v>
      </c>
    </row>
    <row r="451" spans="1:23" x14ac:dyDescent="0.25">
      <c r="A451" t="s">
        <v>953</v>
      </c>
      <c r="B451" t="str">
        <f t="shared" si="6"/>
        <v>GA2A00000167</v>
      </c>
      <c r="C451" t="s">
        <v>227</v>
      </c>
      <c r="D451" t="s">
        <v>85</v>
      </c>
      <c r="E451" t="s">
        <v>496</v>
      </c>
      <c r="F451">
        <v>30000</v>
      </c>
      <c r="G451" s="13">
        <v>45021</v>
      </c>
      <c r="H451" s="13">
        <v>45023</v>
      </c>
      <c r="I451">
        <v>30000</v>
      </c>
      <c r="J451">
        <v>0</v>
      </c>
      <c r="K451">
        <v>30000</v>
      </c>
      <c r="N451">
        <v>33.333333333333329</v>
      </c>
      <c r="O451">
        <v>93</v>
      </c>
      <c r="P451">
        <v>100</v>
      </c>
      <c r="Q451">
        <v>93</v>
      </c>
      <c r="R451">
        <v>93</v>
      </c>
      <c r="S451">
        <v>93</v>
      </c>
      <c r="T451">
        <v>8.9</v>
      </c>
      <c r="U451">
        <v>5</v>
      </c>
      <c r="W451" t="s">
        <v>875</v>
      </c>
    </row>
    <row r="452" spans="1:23" x14ac:dyDescent="0.25">
      <c r="A452" t="s">
        <v>954</v>
      </c>
      <c r="B452" t="str">
        <f t="shared" si="6"/>
        <v>GA2J00000291</v>
      </c>
      <c r="C452" t="s">
        <v>227</v>
      </c>
      <c r="D452" t="s">
        <v>85</v>
      </c>
      <c r="E452" t="s">
        <v>499</v>
      </c>
      <c r="F452">
        <v>66000</v>
      </c>
      <c r="G452" s="13">
        <v>45021</v>
      </c>
      <c r="H452" s="13">
        <v>45023</v>
      </c>
      <c r="I452">
        <v>56000</v>
      </c>
      <c r="J452">
        <v>10000</v>
      </c>
      <c r="K452">
        <v>66000</v>
      </c>
      <c r="N452">
        <v>100</v>
      </c>
      <c r="O452">
        <v>91.5</v>
      </c>
      <c r="P452">
        <v>100</v>
      </c>
      <c r="Q452">
        <v>91.5</v>
      </c>
      <c r="R452">
        <v>91.5</v>
      </c>
      <c r="S452">
        <v>91.5</v>
      </c>
      <c r="T452">
        <v>9.0500000000000007</v>
      </c>
      <c r="U452">
        <v>5.75</v>
      </c>
      <c r="W452" t="s">
        <v>875</v>
      </c>
    </row>
    <row r="453" spans="1:23" x14ac:dyDescent="0.25">
      <c r="A453" t="s">
        <v>955</v>
      </c>
      <c r="B453" t="str">
        <f t="shared" ref="B453:B516" si="7">MID(A453,1,12)</f>
        <v>GA2K00000074</v>
      </c>
      <c r="C453" t="s">
        <v>227</v>
      </c>
      <c r="D453" t="s">
        <v>85</v>
      </c>
      <c r="E453" t="s">
        <v>516</v>
      </c>
      <c r="F453">
        <v>33000</v>
      </c>
      <c r="G453" s="13">
        <v>45021</v>
      </c>
      <c r="H453" s="13">
        <v>45023</v>
      </c>
      <c r="I453">
        <v>25419</v>
      </c>
      <c r="J453">
        <v>7500</v>
      </c>
      <c r="K453">
        <v>32919</v>
      </c>
      <c r="N453">
        <v>100</v>
      </c>
      <c r="O453">
        <v>91</v>
      </c>
      <c r="P453">
        <v>99.754499999999993</v>
      </c>
      <c r="Q453">
        <v>91</v>
      </c>
      <c r="R453">
        <v>91</v>
      </c>
      <c r="S453">
        <v>91</v>
      </c>
      <c r="T453">
        <v>9.24</v>
      </c>
      <c r="U453">
        <v>6.5</v>
      </c>
      <c r="W453" t="s">
        <v>875</v>
      </c>
    </row>
    <row r="454" spans="1:23" x14ac:dyDescent="0.25">
      <c r="A454" t="s">
        <v>956</v>
      </c>
      <c r="B454" t="str">
        <f t="shared" si="7"/>
        <v>GA2B00000141</v>
      </c>
      <c r="C454" t="s">
        <v>227</v>
      </c>
      <c r="D454" t="s">
        <v>85</v>
      </c>
      <c r="E454" t="s">
        <v>507</v>
      </c>
      <c r="F454">
        <v>9000</v>
      </c>
      <c r="G454" s="13">
        <v>45021</v>
      </c>
      <c r="H454" s="13">
        <v>45023</v>
      </c>
      <c r="I454">
        <v>9000</v>
      </c>
      <c r="J454">
        <v>0</v>
      </c>
      <c r="K454">
        <v>9000</v>
      </c>
      <c r="N454">
        <v>33.333333333333329</v>
      </c>
      <c r="O454">
        <v>91</v>
      </c>
      <c r="P454">
        <v>100</v>
      </c>
      <c r="Q454">
        <v>91</v>
      </c>
      <c r="R454">
        <v>91</v>
      </c>
      <c r="S454">
        <v>91</v>
      </c>
      <c r="T454">
        <v>9.0299999999999994</v>
      </c>
      <c r="U454">
        <v>6.75</v>
      </c>
      <c r="W454" t="s">
        <v>875</v>
      </c>
    </row>
    <row r="455" spans="1:23" x14ac:dyDescent="0.25">
      <c r="A455" t="s">
        <v>957</v>
      </c>
      <c r="B455" t="str">
        <f t="shared" si="7"/>
        <v>GA2C00000041</v>
      </c>
      <c r="C455" t="s">
        <v>227</v>
      </c>
      <c r="D455" t="s">
        <v>85</v>
      </c>
      <c r="E455" t="s">
        <v>549</v>
      </c>
      <c r="F455">
        <v>12000</v>
      </c>
      <c r="G455" s="13">
        <v>45021</v>
      </c>
      <c r="H455" s="13">
        <v>45023</v>
      </c>
      <c r="I455">
        <v>11914.46</v>
      </c>
      <c r="J455">
        <v>0</v>
      </c>
      <c r="K455">
        <v>11914.46</v>
      </c>
      <c r="N455">
        <v>66.666666666666657</v>
      </c>
      <c r="O455">
        <v>91</v>
      </c>
      <c r="P455">
        <v>99.287199999999999</v>
      </c>
      <c r="Q455">
        <v>91</v>
      </c>
      <c r="R455">
        <v>91</v>
      </c>
      <c r="S455">
        <v>91</v>
      </c>
      <c r="T455">
        <v>9.2799999999999994</v>
      </c>
      <c r="U455">
        <v>7.5</v>
      </c>
      <c r="W455" t="s">
        <v>875</v>
      </c>
    </row>
    <row r="456" spans="1:23" x14ac:dyDescent="0.25">
      <c r="A456" t="s">
        <v>958</v>
      </c>
      <c r="B456" t="str">
        <f t="shared" si="7"/>
        <v>CF2J00000075</v>
      </c>
      <c r="C456" t="s">
        <v>634</v>
      </c>
      <c r="D456" t="s">
        <v>85</v>
      </c>
      <c r="E456" t="s">
        <v>499</v>
      </c>
      <c r="F456">
        <v>8000</v>
      </c>
      <c r="G456" s="13">
        <v>45026</v>
      </c>
      <c r="H456" s="13">
        <v>45028</v>
      </c>
      <c r="I456">
        <v>1500</v>
      </c>
      <c r="J456">
        <v>115</v>
      </c>
      <c r="K456">
        <v>1615</v>
      </c>
      <c r="N456">
        <v>33.333333333333329</v>
      </c>
      <c r="O456">
        <v>88.419899999999998</v>
      </c>
      <c r="P456">
        <v>20.1875</v>
      </c>
      <c r="Q456">
        <v>87</v>
      </c>
      <c r="R456">
        <v>95</v>
      </c>
      <c r="S456">
        <v>87</v>
      </c>
      <c r="T456">
        <v>11.15</v>
      </c>
      <c r="U456">
        <v>6.5</v>
      </c>
      <c r="W456" t="s">
        <v>497</v>
      </c>
    </row>
    <row r="457" spans="1:23" x14ac:dyDescent="0.25">
      <c r="A457" t="s">
        <v>959</v>
      </c>
      <c r="B457" t="str">
        <f t="shared" si="7"/>
        <v>CG2K00000070</v>
      </c>
      <c r="C457" t="s">
        <v>229</v>
      </c>
      <c r="D457" t="s">
        <v>85</v>
      </c>
      <c r="E457" t="s">
        <v>516</v>
      </c>
      <c r="F457">
        <v>15000</v>
      </c>
      <c r="G457" s="13">
        <v>45034</v>
      </c>
      <c r="H457" s="13">
        <v>45036</v>
      </c>
      <c r="I457">
        <v>575</v>
      </c>
      <c r="J457">
        <v>13689</v>
      </c>
      <c r="K457">
        <v>14264</v>
      </c>
      <c r="N457">
        <v>47.826086956521742</v>
      </c>
      <c r="O457">
        <v>91.705500000000001</v>
      </c>
      <c r="P457">
        <v>107.0933</v>
      </c>
      <c r="Q457">
        <v>91</v>
      </c>
      <c r="R457">
        <v>97</v>
      </c>
      <c r="S457">
        <v>90</v>
      </c>
      <c r="T457">
        <v>9.49</v>
      </c>
      <c r="U457">
        <v>6.25</v>
      </c>
      <c r="W457" t="s">
        <v>497</v>
      </c>
    </row>
    <row r="458" spans="1:23" x14ac:dyDescent="0.25">
      <c r="A458" t="s">
        <v>960</v>
      </c>
      <c r="B458" t="str">
        <f t="shared" si="7"/>
        <v>CM2L00000051</v>
      </c>
      <c r="C458" t="s">
        <v>225</v>
      </c>
      <c r="D458" t="s">
        <v>85</v>
      </c>
      <c r="E458" t="s">
        <v>547</v>
      </c>
      <c r="F458">
        <v>25000</v>
      </c>
      <c r="G458" s="13">
        <v>45040</v>
      </c>
      <c r="H458" s="13">
        <v>45042</v>
      </c>
      <c r="I458">
        <v>7510</v>
      </c>
      <c r="J458">
        <v>0</v>
      </c>
      <c r="K458">
        <v>7510</v>
      </c>
      <c r="N458">
        <v>19.047619047619047</v>
      </c>
      <c r="O458">
        <v>97.209699999999998</v>
      </c>
      <c r="P458">
        <v>76.040000000000006</v>
      </c>
      <c r="Q458">
        <v>97</v>
      </c>
      <c r="R458">
        <v>97.75</v>
      </c>
      <c r="S458">
        <v>94</v>
      </c>
      <c r="T458">
        <v>6.83</v>
      </c>
      <c r="U458">
        <v>6.25</v>
      </c>
      <c r="W458" t="s">
        <v>497</v>
      </c>
    </row>
    <row r="459" spans="1:23" x14ac:dyDescent="0.25">
      <c r="A459" t="s">
        <v>961</v>
      </c>
      <c r="B459" t="str">
        <f t="shared" si="7"/>
        <v>CG2K00000070</v>
      </c>
      <c r="C459" t="s">
        <v>229</v>
      </c>
      <c r="D459" t="s">
        <v>85</v>
      </c>
      <c r="E459" t="s">
        <v>516</v>
      </c>
      <c r="F459">
        <v>5000</v>
      </c>
      <c r="G459" s="13">
        <v>45041</v>
      </c>
      <c r="H459" s="13">
        <v>45043</v>
      </c>
      <c r="J459">
        <v>1730.1</v>
      </c>
      <c r="K459">
        <v>1730.1</v>
      </c>
      <c r="N459">
        <v>17.391304347826086</v>
      </c>
      <c r="O459">
        <v>91.345699999999994</v>
      </c>
      <c r="P459">
        <v>35.113199999999999</v>
      </c>
      <c r="Q459">
        <v>91</v>
      </c>
      <c r="R459">
        <v>96</v>
      </c>
      <c r="S459">
        <v>90</v>
      </c>
      <c r="T459">
        <v>9.64</v>
      </c>
      <c r="U459">
        <v>6.25</v>
      </c>
      <c r="W459" t="s">
        <v>497</v>
      </c>
    </row>
    <row r="460" spans="1:23" x14ac:dyDescent="0.25">
      <c r="A460" t="s">
        <v>962</v>
      </c>
      <c r="B460" t="str">
        <f t="shared" si="7"/>
        <v>GA2J00000309</v>
      </c>
      <c r="C460" t="s">
        <v>227</v>
      </c>
      <c r="D460" t="s">
        <v>85</v>
      </c>
      <c r="E460" t="s">
        <v>499</v>
      </c>
      <c r="F460">
        <v>25000</v>
      </c>
      <c r="G460" s="13">
        <v>45042</v>
      </c>
      <c r="H460" s="13">
        <v>45044</v>
      </c>
      <c r="I460">
        <v>2250</v>
      </c>
      <c r="J460">
        <v>8537</v>
      </c>
      <c r="K460">
        <v>10787</v>
      </c>
      <c r="N460">
        <v>25</v>
      </c>
      <c r="O460">
        <v>90.602400000000003</v>
      </c>
      <c r="P460">
        <v>44.148000000000003</v>
      </c>
      <c r="Q460">
        <v>90</v>
      </c>
      <c r="R460">
        <v>93</v>
      </c>
      <c r="S460">
        <v>89</v>
      </c>
      <c r="T460">
        <v>9.15</v>
      </c>
      <c r="U460">
        <v>5.5</v>
      </c>
      <c r="W460" t="s">
        <v>497</v>
      </c>
    </row>
    <row r="461" spans="1:23" x14ac:dyDescent="0.25">
      <c r="A461" t="s">
        <v>963</v>
      </c>
      <c r="B461" t="str">
        <f t="shared" si="7"/>
        <v>CF2J00000075</v>
      </c>
      <c r="C461" t="s">
        <v>634</v>
      </c>
      <c r="D461" t="s">
        <v>85</v>
      </c>
      <c r="E461" t="s">
        <v>499</v>
      </c>
      <c r="F461">
        <v>8000</v>
      </c>
      <c r="G461" s="13">
        <v>45054</v>
      </c>
      <c r="H461" s="13">
        <v>45056</v>
      </c>
      <c r="I461">
        <v>6040</v>
      </c>
      <c r="J461">
        <v>118.30000000000018</v>
      </c>
      <c r="K461">
        <v>6158.3</v>
      </c>
      <c r="N461">
        <v>44.444444444444443</v>
      </c>
      <c r="O461">
        <v>88.928399999999996</v>
      </c>
      <c r="P461">
        <v>76.978800000000007</v>
      </c>
      <c r="Q461">
        <v>87</v>
      </c>
      <c r="R461">
        <v>90</v>
      </c>
      <c r="S461">
        <v>87</v>
      </c>
      <c r="T461">
        <v>10.93</v>
      </c>
      <c r="U461">
        <v>6.5</v>
      </c>
      <c r="W461" t="s">
        <v>497</v>
      </c>
    </row>
    <row r="462" spans="1:23" x14ac:dyDescent="0.25">
      <c r="A462" t="s">
        <v>964</v>
      </c>
      <c r="B462" t="str">
        <f t="shared" si="7"/>
        <v>CG2B00000055</v>
      </c>
      <c r="C462" t="s">
        <v>229</v>
      </c>
      <c r="D462" t="s">
        <v>85</v>
      </c>
      <c r="E462" t="s">
        <v>507</v>
      </c>
      <c r="F462">
        <v>5000</v>
      </c>
      <c r="G462" s="13">
        <v>45055</v>
      </c>
      <c r="H462" s="13">
        <v>45057</v>
      </c>
      <c r="I462">
        <v>100</v>
      </c>
      <c r="J462">
        <v>1642</v>
      </c>
      <c r="K462">
        <v>1742</v>
      </c>
      <c r="N462">
        <v>21.739130434782609</v>
      </c>
      <c r="O462">
        <v>91.557400000000001</v>
      </c>
      <c r="P462">
        <v>38.840000000000003</v>
      </c>
      <c r="Q462">
        <v>90</v>
      </c>
      <c r="R462">
        <v>95</v>
      </c>
      <c r="S462">
        <v>88</v>
      </c>
      <c r="T462">
        <v>9.06</v>
      </c>
      <c r="U462">
        <v>6.5</v>
      </c>
      <c r="W462" t="s">
        <v>497</v>
      </c>
    </row>
    <row r="463" spans="1:23" x14ac:dyDescent="0.25">
      <c r="A463" t="s">
        <v>965</v>
      </c>
      <c r="B463" t="str">
        <f t="shared" si="7"/>
        <v>GA2K00000082</v>
      </c>
      <c r="C463" t="s">
        <v>227</v>
      </c>
      <c r="D463" t="s">
        <v>85</v>
      </c>
      <c r="E463" t="s">
        <v>516</v>
      </c>
      <c r="F463">
        <v>17500</v>
      </c>
      <c r="G463" s="13">
        <v>45063</v>
      </c>
      <c r="H463" s="13">
        <v>45065</v>
      </c>
      <c r="I463">
        <v>0</v>
      </c>
      <c r="J463">
        <v>4838.92</v>
      </c>
      <c r="K463">
        <v>4838.92</v>
      </c>
      <c r="N463">
        <v>20</v>
      </c>
      <c r="O463">
        <v>90.017399999999995</v>
      </c>
      <c r="P463">
        <v>58.165300000000002</v>
      </c>
      <c r="Q463">
        <v>90</v>
      </c>
      <c r="R463">
        <v>94</v>
      </c>
      <c r="S463">
        <v>88.5</v>
      </c>
      <c r="T463">
        <v>8.76</v>
      </c>
      <c r="U463">
        <v>5.75</v>
      </c>
      <c r="W463" t="s">
        <v>497</v>
      </c>
    </row>
    <row r="464" spans="1:23" x14ac:dyDescent="0.25">
      <c r="A464" t="s">
        <v>966</v>
      </c>
      <c r="B464" t="str">
        <f t="shared" si="7"/>
        <v>GA2D00000032</v>
      </c>
      <c r="C464" t="s">
        <v>227</v>
      </c>
      <c r="D464" t="s">
        <v>85</v>
      </c>
      <c r="E464" t="s">
        <v>555</v>
      </c>
      <c r="F464">
        <v>12500</v>
      </c>
      <c r="G464" s="13">
        <v>45063</v>
      </c>
      <c r="H464" s="13">
        <v>45065</v>
      </c>
      <c r="I464">
        <v>1100</v>
      </c>
      <c r="J464">
        <v>6145</v>
      </c>
      <c r="K464">
        <v>7245</v>
      </c>
      <c r="N464">
        <v>30</v>
      </c>
      <c r="O464">
        <v>90.133200000000002</v>
      </c>
      <c r="P464">
        <v>138.47999999999999</v>
      </c>
      <c r="Q464">
        <v>90</v>
      </c>
      <c r="R464">
        <v>95</v>
      </c>
      <c r="S464">
        <v>89</v>
      </c>
      <c r="T464">
        <v>9.82</v>
      </c>
      <c r="U464">
        <v>8.25</v>
      </c>
      <c r="W464" t="s">
        <v>497</v>
      </c>
    </row>
    <row r="465" spans="1:23" x14ac:dyDescent="0.25">
      <c r="A465" t="s">
        <v>967</v>
      </c>
      <c r="B465" t="str">
        <f t="shared" si="7"/>
        <v>CF2K00000023</v>
      </c>
      <c r="C465" t="s">
        <v>634</v>
      </c>
      <c r="D465" t="s">
        <v>85</v>
      </c>
      <c r="E465" t="s">
        <v>516</v>
      </c>
      <c r="F465">
        <v>7000</v>
      </c>
      <c r="G465" s="13">
        <v>45068</v>
      </c>
      <c r="H465" s="13">
        <v>45070</v>
      </c>
      <c r="I465">
        <v>5000</v>
      </c>
      <c r="J465">
        <v>22.300000000000182</v>
      </c>
      <c r="K465">
        <v>5022.3</v>
      </c>
      <c r="N465">
        <v>22.222222222222221</v>
      </c>
      <c r="O465">
        <v>88.620500000000007</v>
      </c>
      <c r="P465">
        <v>71.747100000000003</v>
      </c>
      <c r="Q465">
        <v>87</v>
      </c>
      <c r="R465">
        <v>87</v>
      </c>
      <c r="S465">
        <v>87</v>
      </c>
      <c r="T465">
        <v>10.02</v>
      </c>
      <c r="U465">
        <v>6.5</v>
      </c>
      <c r="W465" t="s">
        <v>497</v>
      </c>
    </row>
    <row r="466" spans="1:23" x14ac:dyDescent="0.25">
      <c r="A466" t="s">
        <v>968</v>
      </c>
      <c r="B466" t="str">
        <f t="shared" si="7"/>
        <v>CG2J00000362</v>
      </c>
      <c r="C466" t="s">
        <v>229</v>
      </c>
      <c r="D466" t="s">
        <v>85</v>
      </c>
      <c r="E466" t="s">
        <v>499</v>
      </c>
      <c r="F466">
        <v>10000</v>
      </c>
      <c r="G466" s="13">
        <v>45069</v>
      </c>
      <c r="H466" s="13">
        <v>45071</v>
      </c>
      <c r="J466">
        <v>3307</v>
      </c>
      <c r="K466">
        <v>3307</v>
      </c>
      <c r="N466">
        <v>21.739130434782609</v>
      </c>
      <c r="O466">
        <v>90.722399999999993</v>
      </c>
      <c r="P466">
        <v>34.119999999999997</v>
      </c>
      <c r="Q466">
        <v>90</v>
      </c>
      <c r="R466">
        <v>95</v>
      </c>
      <c r="S466">
        <v>87</v>
      </c>
      <c r="T466">
        <v>9.32</v>
      </c>
      <c r="U466">
        <v>5.7</v>
      </c>
      <c r="W466" t="s">
        <v>497</v>
      </c>
    </row>
    <row r="467" spans="1:23" x14ac:dyDescent="0.25">
      <c r="A467" t="s">
        <v>969</v>
      </c>
      <c r="B467" t="str">
        <f t="shared" si="7"/>
        <v>CG2D00000012</v>
      </c>
      <c r="C467" t="s">
        <v>229</v>
      </c>
      <c r="D467" t="s">
        <v>85</v>
      </c>
      <c r="E467" t="s">
        <v>555</v>
      </c>
      <c r="F467">
        <v>10000</v>
      </c>
      <c r="G467" s="13">
        <v>45069</v>
      </c>
      <c r="H467" s="13">
        <v>45071</v>
      </c>
      <c r="I467">
        <v>10</v>
      </c>
      <c r="J467">
        <v>9990</v>
      </c>
      <c r="K467">
        <v>10000</v>
      </c>
      <c r="N467">
        <v>13.043478260869565</v>
      </c>
      <c r="O467">
        <v>90.01</v>
      </c>
      <c r="P467">
        <v>100.35</v>
      </c>
      <c r="Q467">
        <v>90</v>
      </c>
      <c r="R467">
        <v>100</v>
      </c>
      <c r="S467">
        <v>87</v>
      </c>
      <c r="T467">
        <v>10.38</v>
      </c>
      <c r="U467">
        <v>8.75</v>
      </c>
      <c r="W467" t="s">
        <v>497</v>
      </c>
    </row>
    <row r="468" spans="1:23" x14ac:dyDescent="0.25">
      <c r="A468" t="s">
        <v>970</v>
      </c>
      <c r="B468" t="str">
        <f t="shared" si="7"/>
        <v>GA2K00000082</v>
      </c>
      <c r="C468" t="s">
        <v>227</v>
      </c>
      <c r="D468" t="s">
        <v>85</v>
      </c>
      <c r="E468" t="s">
        <v>516</v>
      </c>
      <c r="F468">
        <v>10000</v>
      </c>
      <c r="G468" s="13">
        <v>45070</v>
      </c>
      <c r="H468" s="13">
        <v>45072</v>
      </c>
      <c r="J468">
        <v>3110</v>
      </c>
      <c r="K468">
        <v>3110</v>
      </c>
      <c r="N468">
        <v>25</v>
      </c>
      <c r="O468">
        <v>90.131699999999995</v>
      </c>
      <c r="P468">
        <v>76.150000000000006</v>
      </c>
      <c r="Q468">
        <v>90</v>
      </c>
      <c r="R468">
        <v>93</v>
      </c>
      <c r="S468">
        <v>88</v>
      </c>
      <c r="T468">
        <v>8.73</v>
      </c>
      <c r="U468">
        <v>5.75</v>
      </c>
      <c r="W468" t="s">
        <v>497</v>
      </c>
    </row>
    <row r="469" spans="1:23" x14ac:dyDescent="0.25">
      <c r="A469" t="s">
        <v>971</v>
      </c>
      <c r="B469" t="str">
        <f t="shared" si="7"/>
        <v>GA2D00000032</v>
      </c>
      <c r="C469" t="s">
        <v>227</v>
      </c>
      <c r="D469" t="s">
        <v>85</v>
      </c>
      <c r="E469" t="s">
        <v>555</v>
      </c>
      <c r="F469">
        <v>12500</v>
      </c>
      <c r="G469" s="13">
        <v>45070</v>
      </c>
      <c r="H469" s="13">
        <v>45072</v>
      </c>
      <c r="I469">
        <v>3025</v>
      </c>
      <c r="J469">
        <v>0</v>
      </c>
      <c r="K469">
        <v>3025</v>
      </c>
      <c r="N469">
        <v>20</v>
      </c>
      <c r="O469">
        <v>90.157799999999995</v>
      </c>
      <c r="P469">
        <v>24.32</v>
      </c>
      <c r="Q469">
        <v>90</v>
      </c>
      <c r="R469">
        <v>90</v>
      </c>
      <c r="S469">
        <v>87</v>
      </c>
      <c r="T469">
        <v>9.82</v>
      </c>
      <c r="U469">
        <v>8.25</v>
      </c>
      <c r="W469" t="s">
        <v>497</v>
      </c>
    </row>
    <row r="470" spans="1:23" x14ac:dyDescent="0.25">
      <c r="A470" t="s">
        <v>972</v>
      </c>
      <c r="B470" t="str">
        <f t="shared" si="7"/>
        <v>CM2C00000078</v>
      </c>
      <c r="C470" t="s">
        <v>225</v>
      </c>
      <c r="D470" t="s">
        <v>85</v>
      </c>
      <c r="E470" t="s">
        <v>549</v>
      </c>
      <c r="F470">
        <v>20000</v>
      </c>
      <c r="G470" s="13">
        <v>45082</v>
      </c>
      <c r="H470" s="13">
        <v>45084</v>
      </c>
      <c r="T470" t="s">
        <v>946</v>
      </c>
      <c r="W470" t="s">
        <v>497</v>
      </c>
    </row>
    <row r="471" spans="1:23" x14ac:dyDescent="0.25">
      <c r="A471" t="s">
        <v>973</v>
      </c>
      <c r="B471" t="str">
        <f t="shared" si="7"/>
        <v>GA2B00000158</v>
      </c>
      <c r="C471" t="s">
        <v>227</v>
      </c>
      <c r="D471" t="s">
        <v>85</v>
      </c>
      <c r="E471" t="s">
        <v>507</v>
      </c>
      <c r="F471">
        <v>25000</v>
      </c>
      <c r="G471" s="13">
        <v>45084</v>
      </c>
      <c r="H471" s="13">
        <v>45086</v>
      </c>
      <c r="I471">
        <v>3000</v>
      </c>
      <c r="J471">
        <v>314</v>
      </c>
      <c r="K471">
        <v>3314</v>
      </c>
      <c r="N471">
        <v>38.095238095238095</v>
      </c>
      <c r="O471">
        <v>90.304199999999994</v>
      </c>
      <c r="P471">
        <v>44.076000000000001</v>
      </c>
      <c r="Q471">
        <v>90</v>
      </c>
      <c r="R471">
        <v>100</v>
      </c>
      <c r="S471">
        <v>88</v>
      </c>
      <c r="T471">
        <v>8.9499999999999993</v>
      </c>
      <c r="U471">
        <v>6.5</v>
      </c>
      <c r="W471" t="s">
        <v>497</v>
      </c>
    </row>
    <row r="472" spans="1:23" x14ac:dyDescent="0.25">
      <c r="A472" t="s">
        <v>974</v>
      </c>
      <c r="B472" t="str">
        <f t="shared" si="7"/>
        <v>CF2J00000083</v>
      </c>
      <c r="C472" t="s">
        <v>634</v>
      </c>
      <c r="D472" t="s">
        <v>85</v>
      </c>
      <c r="E472" t="s">
        <v>499</v>
      </c>
      <c r="F472">
        <v>10000</v>
      </c>
      <c r="G472" s="13">
        <v>45089</v>
      </c>
      <c r="H472" s="13">
        <v>45091</v>
      </c>
      <c r="I472">
        <v>3250</v>
      </c>
      <c r="J472">
        <v>3466.55</v>
      </c>
      <c r="K472">
        <v>6716.55</v>
      </c>
      <c r="N472">
        <v>55.555555555555557</v>
      </c>
      <c r="O472">
        <v>87.721599999999995</v>
      </c>
      <c r="P472">
        <v>67.165499999999994</v>
      </c>
      <c r="Q472">
        <v>87.05</v>
      </c>
      <c r="R472">
        <v>91</v>
      </c>
      <c r="S472">
        <v>87.05</v>
      </c>
      <c r="T472">
        <v>11.45</v>
      </c>
      <c r="U472">
        <v>6.5</v>
      </c>
      <c r="W472" t="s">
        <v>497</v>
      </c>
    </row>
    <row r="473" spans="1:23" x14ac:dyDescent="0.25">
      <c r="A473" t="s">
        <v>975</v>
      </c>
      <c r="B473" t="str">
        <f t="shared" si="7"/>
        <v>CG2J00000370</v>
      </c>
      <c r="C473" t="s">
        <v>229</v>
      </c>
      <c r="D473" t="s">
        <v>85</v>
      </c>
      <c r="E473" t="s">
        <v>499</v>
      </c>
      <c r="F473">
        <v>10000</v>
      </c>
      <c r="G473" s="13">
        <v>45090</v>
      </c>
      <c r="H473" s="13">
        <v>45092</v>
      </c>
      <c r="I473">
        <v>0</v>
      </c>
      <c r="J473">
        <v>2460</v>
      </c>
      <c r="K473">
        <v>2460</v>
      </c>
      <c r="N473">
        <v>8.3333333333333321</v>
      </c>
      <c r="O473">
        <v>91.308899999999994</v>
      </c>
      <c r="P473">
        <v>24.6</v>
      </c>
      <c r="Q473">
        <v>90</v>
      </c>
      <c r="R473">
        <v>97</v>
      </c>
      <c r="S473">
        <v>90</v>
      </c>
      <c r="T473">
        <v>9.39</v>
      </c>
      <c r="U473">
        <v>6</v>
      </c>
      <c r="W473" t="s">
        <v>497</v>
      </c>
    </row>
    <row r="474" spans="1:23" x14ac:dyDescent="0.25">
      <c r="A474" t="s">
        <v>976</v>
      </c>
      <c r="B474" t="str">
        <f t="shared" si="7"/>
        <v>CG2K00000120</v>
      </c>
      <c r="C474" t="s">
        <v>229</v>
      </c>
      <c r="D474" t="s">
        <v>85</v>
      </c>
      <c r="E474" t="s">
        <v>516</v>
      </c>
      <c r="F474">
        <v>5000</v>
      </c>
      <c r="G474" s="13">
        <v>45090</v>
      </c>
      <c r="H474" s="13">
        <v>45092</v>
      </c>
      <c r="J474">
        <v>0</v>
      </c>
      <c r="N474">
        <v>0</v>
      </c>
      <c r="T474" t="s">
        <v>977</v>
      </c>
      <c r="U474">
        <v>6.3</v>
      </c>
      <c r="W474" t="s">
        <v>497</v>
      </c>
    </row>
    <row r="475" spans="1:23" x14ac:dyDescent="0.25">
      <c r="A475" t="s">
        <v>978</v>
      </c>
      <c r="B475" t="str">
        <f t="shared" si="7"/>
        <v>CG2B00000139</v>
      </c>
      <c r="C475" t="s">
        <v>229</v>
      </c>
      <c r="D475" t="s">
        <v>85</v>
      </c>
      <c r="E475" t="s">
        <v>507</v>
      </c>
      <c r="F475">
        <v>15000</v>
      </c>
      <c r="G475" s="13">
        <v>45090</v>
      </c>
      <c r="H475" s="13">
        <v>45092</v>
      </c>
      <c r="J475">
        <v>0</v>
      </c>
      <c r="N475">
        <v>0</v>
      </c>
      <c r="T475" t="s">
        <v>977</v>
      </c>
      <c r="U475">
        <v>6.5</v>
      </c>
      <c r="W475" t="s">
        <v>497</v>
      </c>
    </row>
    <row r="476" spans="1:23" x14ac:dyDescent="0.25">
      <c r="A476" t="s">
        <v>979</v>
      </c>
      <c r="B476" t="str">
        <f t="shared" si="7"/>
        <v>TD2A00000644</v>
      </c>
      <c r="C476" t="s">
        <v>237</v>
      </c>
      <c r="D476" t="s">
        <v>85</v>
      </c>
      <c r="E476" t="s">
        <v>496</v>
      </c>
      <c r="F476">
        <v>30000</v>
      </c>
      <c r="G476" s="13">
        <v>45091</v>
      </c>
      <c r="H476" s="13">
        <v>45093</v>
      </c>
      <c r="I476">
        <v>0</v>
      </c>
      <c r="K476">
        <v>8177.3</v>
      </c>
      <c r="N476">
        <v>33.333333333333329</v>
      </c>
      <c r="O476">
        <v>90.628900000000002</v>
      </c>
      <c r="P476">
        <v>27.2577</v>
      </c>
      <c r="Q476">
        <v>90</v>
      </c>
      <c r="R476">
        <v>96</v>
      </c>
      <c r="S476">
        <v>90</v>
      </c>
      <c r="T476">
        <v>11.9</v>
      </c>
      <c r="U476">
        <v>6.5</v>
      </c>
      <c r="W476" t="s">
        <v>497</v>
      </c>
    </row>
    <row r="477" spans="1:23" x14ac:dyDescent="0.25">
      <c r="A477" t="s">
        <v>980</v>
      </c>
      <c r="B477" t="str">
        <f t="shared" si="7"/>
        <v>GA2J00000309</v>
      </c>
      <c r="C477" t="s">
        <v>227</v>
      </c>
      <c r="D477" t="s">
        <v>85</v>
      </c>
      <c r="E477" t="s">
        <v>499</v>
      </c>
      <c r="F477">
        <v>12000</v>
      </c>
      <c r="G477" s="13">
        <v>45091</v>
      </c>
      <c r="H477" s="13">
        <v>45093</v>
      </c>
      <c r="J477">
        <v>0</v>
      </c>
      <c r="N477">
        <v>0</v>
      </c>
      <c r="T477" t="s">
        <v>977</v>
      </c>
      <c r="U477">
        <v>5.5</v>
      </c>
      <c r="W477" t="s">
        <v>497</v>
      </c>
    </row>
    <row r="478" spans="1:23" x14ac:dyDescent="0.25">
      <c r="A478" t="s">
        <v>981</v>
      </c>
      <c r="B478" t="str">
        <f t="shared" si="7"/>
        <v>GA2A00000175</v>
      </c>
      <c r="C478" t="s">
        <v>227</v>
      </c>
      <c r="D478" t="s">
        <v>85</v>
      </c>
      <c r="E478" t="s">
        <v>496</v>
      </c>
      <c r="F478">
        <v>15000</v>
      </c>
      <c r="G478" s="13">
        <v>45091</v>
      </c>
      <c r="H478" s="13">
        <v>45093</v>
      </c>
      <c r="I478">
        <v>0</v>
      </c>
      <c r="J478">
        <v>15000</v>
      </c>
      <c r="K478">
        <v>15000</v>
      </c>
      <c r="N478">
        <v>33.333333333333329</v>
      </c>
      <c r="O478">
        <v>94.541700000000006</v>
      </c>
      <c r="P478">
        <v>125.33329999999999</v>
      </c>
      <c r="Q478">
        <v>93.5</v>
      </c>
      <c r="R478">
        <v>95</v>
      </c>
      <c r="S478">
        <v>91</v>
      </c>
      <c r="T478">
        <v>8.01</v>
      </c>
      <c r="U478">
        <v>5</v>
      </c>
      <c r="W478" t="s">
        <v>497</v>
      </c>
    </row>
    <row r="479" spans="1:23" x14ac:dyDescent="0.25">
      <c r="A479" t="s">
        <v>982</v>
      </c>
      <c r="B479" t="str">
        <f t="shared" si="7"/>
        <v>CG2A00000411</v>
      </c>
      <c r="C479" t="s">
        <v>229</v>
      </c>
      <c r="D479" t="s">
        <v>85</v>
      </c>
      <c r="E479" t="s">
        <v>496</v>
      </c>
      <c r="F479">
        <v>20000</v>
      </c>
      <c r="G479" s="13">
        <v>45097</v>
      </c>
      <c r="H479" s="13">
        <v>45099</v>
      </c>
      <c r="I479">
        <v>10300</v>
      </c>
      <c r="J479">
        <v>5035</v>
      </c>
      <c r="K479">
        <v>15335</v>
      </c>
      <c r="N479">
        <v>66.666666666666657</v>
      </c>
      <c r="O479">
        <v>93</v>
      </c>
      <c r="P479">
        <v>76.674999999999997</v>
      </c>
      <c r="Q479">
        <v>93</v>
      </c>
      <c r="R479">
        <v>93</v>
      </c>
      <c r="S479">
        <v>93</v>
      </c>
      <c r="T479">
        <v>9.42</v>
      </c>
      <c r="U479">
        <v>5.5</v>
      </c>
      <c r="W479" t="s">
        <v>875</v>
      </c>
    </row>
    <row r="480" spans="1:23" x14ac:dyDescent="0.25">
      <c r="A480" t="s">
        <v>983</v>
      </c>
      <c r="B480" t="str">
        <f t="shared" si="7"/>
        <v>CG2J00000388</v>
      </c>
      <c r="C480" t="s">
        <v>229</v>
      </c>
      <c r="D480" t="s">
        <v>85</v>
      </c>
      <c r="E480" t="s">
        <v>499</v>
      </c>
      <c r="F480">
        <v>10000</v>
      </c>
      <c r="G480" s="13">
        <v>45097</v>
      </c>
      <c r="H480" s="13">
        <v>45099</v>
      </c>
      <c r="I480">
        <v>5100</v>
      </c>
      <c r="J480">
        <v>1066.67</v>
      </c>
      <c r="K480">
        <v>6166.67</v>
      </c>
      <c r="N480">
        <v>50</v>
      </c>
      <c r="O480">
        <v>92</v>
      </c>
      <c r="P480">
        <v>61.666699999999999</v>
      </c>
      <c r="Q480">
        <v>92</v>
      </c>
      <c r="R480">
        <v>92</v>
      </c>
      <c r="S480">
        <v>92</v>
      </c>
      <c r="T480">
        <v>9.11</v>
      </c>
      <c r="U480">
        <v>6</v>
      </c>
      <c r="W480" t="s">
        <v>875</v>
      </c>
    </row>
    <row r="481" spans="1:23" x14ac:dyDescent="0.25">
      <c r="A481" t="s">
        <v>984</v>
      </c>
      <c r="B481" t="str">
        <f t="shared" si="7"/>
        <v>GA2A00000175</v>
      </c>
      <c r="C481" t="s">
        <v>227</v>
      </c>
      <c r="D481" t="s">
        <v>85</v>
      </c>
      <c r="E481" t="s">
        <v>496</v>
      </c>
      <c r="F481">
        <v>10000</v>
      </c>
      <c r="G481" s="13">
        <v>45098</v>
      </c>
      <c r="H481" s="13">
        <v>45100</v>
      </c>
      <c r="I481">
        <v>4000</v>
      </c>
      <c r="J481">
        <v>2300</v>
      </c>
      <c r="K481">
        <v>6300</v>
      </c>
      <c r="N481">
        <v>28.571428571428569</v>
      </c>
      <c r="O481">
        <v>93.524199999999993</v>
      </c>
      <c r="P481">
        <v>63</v>
      </c>
      <c r="Q481">
        <v>92</v>
      </c>
      <c r="R481">
        <v>95</v>
      </c>
      <c r="S481">
        <v>92</v>
      </c>
      <c r="T481">
        <v>8.59</v>
      </c>
      <c r="U481">
        <v>5</v>
      </c>
      <c r="W481" t="s">
        <v>497</v>
      </c>
    </row>
    <row r="482" spans="1:23" x14ac:dyDescent="0.25">
      <c r="A482" t="s">
        <v>985</v>
      </c>
      <c r="B482" t="str">
        <f t="shared" si="7"/>
        <v>GA2J00000309</v>
      </c>
      <c r="C482" t="s">
        <v>227</v>
      </c>
      <c r="D482" t="s">
        <v>85</v>
      </c>
      <c r="E482" t="s">
        <v>499</v>
      </c>
      <c r="F482">
        <v>15000</v>
      </c>
      <c r="G482" s="13">
        <v>45098</v>
      </c>
      <c r="H482" s="13">
        <v>45100</v>
      </c>
      <c r="I482">
        <v>5500</v>
      </c>
      <c r="J482">
        <v>2370</v>
      </c>
      <c r="K482">
        <v>7870</v>
      </c>
      <c r="N482">
        <v>33.333333333333329</v>
      </c>
      <c r="O482">
        <v>93.001000000000005</v>
      </c>
      <c r="P482">
        <v>52.533299999999997</v>
      </c>
      <c r="Q482">
        <v>90</v>
      </c>
      <c r="R482">
        <v>100</v>
      </c>
      <c r="S482">
        <v>89</v>
      </c>
      <c r="T482">
        <v>8.18</v>
      </c>
      <c r="U482">
        <v>5.5</v>
      </c>
      <c r="W482" t="s">
        <v>497</v>
      </c>
    </row>
    <row r="483" spans="1:23" x14ac:dyDescent="0.25">
      <c r="A483" t="s">
        <v>986</v>
      </c>
      <c r="B483" t="str">
        <f t="shared" si="7"/>
        <v>CM2A00000096</v>
      </c>
      <c r="C483" t="s">
        <v>225</v>
      </c>
      <c r="D483" t="s">
        <v>85</v>
      </c>
      <c r="E483" t="s">
        <v>496</v>
      </c>
      <c r="F483">
        <v>20000</v>
      </c>
      <c r="G483" s="13">
        <v>45103</v>
      </c>
      <c r="H483" s="13">
        <v>45105</v>
      </c>
      <c r="I483">
        <v>0</v>
      </c>
      <c r="J483">
        <v>15000</v>
      </c>
      <c r="K483">
        <v>15000</v>
      </c>
      <c r="N483">
        <v>9.5238095238095237</v>
      </c>
      <c r="O483">
        <v>98</v>
      </c>
      <c r="P483">
        <v>80</v>
      </c>
      <c r="Q483">
        <v>98</v>
      </c>
      <c r="R483">
        <v>98</v>
      </c>
      <c r="S483">
        <v>95</v>
      </c>
      <c r="T483">
        <v>5.82</v>
      </c>
      <c r="U483">
        <v>4.75</v>
      </c>
      <c r="W483" t="s">
        <v>497</v>
      </c>
    </row>
    <row r="484" spans="1:23" x14ac:dyDescent="0.25">
      <c r="A484" t="s">
        <v>987</v>
      </c>
      <c r="B484" t="str">
        <f t="shared" si="7"/>
        <v>CM2K00000045</v>
      </c>
      <c r="C484" t="s">
        <v>225</v>
      </c>
      <c r="D484" t="s">
        <v>85</v>
      </c>
      <c r="E484" t="s">
        <v>516</v>
      </c>
      <c r="F484">
        <v>35000</v>
      </c>
      <c r="G484" s="13">
        <v>45103</v>
      </c>
      <c r="H484" s="13">
        <v>45105</v>
      </c>
      <c r="J484">
        <v>0</v>
      </c>
      <c r="N484">
        <v>0</v>
      </c>
      <c r="T484" t="s">
        <v>946</v>
      </c>
      <c r="W484" t="s">
        <v>497</v>
      </c>
    </row>
    <row r="485" spans="1:23" x14ac:dyDescent="0.25">
      <c r="A485" t="s">
        <v>988</v>
      </c>
      <c r="B485" t="str">
        <f t="shared" si="7"/>
        <v>CF2J00000083</v>
      </c>
      <c r="C485" t="s">
        <v>634</v>
      </c>
      <c r="D485" t="s">
        <v>85</v>
      </c>
      <c r="E485" t="s">
        <v>499</v>
      </c>
      <c r="F485">
        <v>5000</v>
      </c>
      <c r="G485" s="13">
        <v>45103</v>
      </c>
      <c r="H485" s="13">
        <v>45105</v>
      </c>
      <c r="I485">
        <v>5000</v>
      </c>
      <c r="J485">
        <v>0</v>
      </c>
      <c r="K485">
        <v>5000</v>
      </c>
      <c r="N485">
        <v>11.111111111111111</v>
      </c>
      <c r="O485">
        <v>88.248599999999996</v>
      </c>
      <c r="P485">
        <v>100</v>
      </c>
      <c r="Q485">
        <v>88</v>
      </c>
      <c r="R485">
        <v>88</v>
      </c>
      <c r="S485">
        <v>88</v>
      </c>
      <c r="T485">
        <v>11.22</v>
      </c>
      <c r="U485">
        <v>6.5</v>
      </c>
      <c r="W485" t="s">
        <v>497</v>
      </c>
    </row>
    <row r="486" spans="1:23" x14ac:dyDescent="0.25">
      <c r="A486" t="s">
        <v>989</v>
      </c>
      <c r="B486" t="str">
        <f t="shared" si="7"/>
        <v>CG2B00000147</v>
      </c>
      <c r="C486" t="s">
        <v>229</v>
      </c>
      <c r="D486" t="s">
        <v>85</v>
      </c>
      <c r="E486" t="s">
        <v>507</v>
      </c>
      <c r="F486">
        <v>10000</v>
      </c>
      <c r="G486" s="13">
        <v>45104</v>
      </c>
      <c r="H486" s="13">
        <v>45106</v>
      </c>
      <c r="I486">
        <v>7450</v>
      </c>
      <c r="J486">
        <v>0</v>
      </c>
      <c r="K486">
        <v>7450</v>
      </c>
      <c r="N486">
        <v>4.1666666666666661</v>
      </c>
      <c r="O486">
        <v>90</v>
      </c>
      <c r="P486">
        <v>74.5</v>
      </c>
      <c r="Q486">
        <v>90</v>
      </c>
      <c r="R486">
        <v>90</v>
      </c>
      <c r="S486">
        <v>90</v>
      </c>
      <c r="T486">
        <v>9.0299999999999994</v>
      </c>
      <c r="U486">
        <v>6.5</v>
      </c>
      <c r="W486" t="s">
        <v>497</v>
      </c>
    </row>
    <row r="487" spans="1:23" x14ac:dyDescent="0.25">
      <c r="A487" t="s">
        <v>990</v>
      </c>
      <c r="B487" t="str">
        <f t="shared" si="7"/>
        <v>CG2K00000138</v>
      </c>
      <c r="C487" t="s">
        <v>229</v>
      </c>
      <c r="D487" t="s">
        <v>85</v>
      </c>
      <c r="E487" t="s">
        <v>516</v>
      </c>
      <c r="F487">
        <v>5000</v>
      </c>
      <c r="G487" s="13">
        <v>45104</v>
      </c>
      <c r="H487" s="13">
        <v>45106</v>
      </c>
      <c r="I487">
        <v>4750</v>
      </c>
      <c r="J487">
        <v>250</v>
      </c>
      <c r="K487">
        <v>5000</v>
      </c>
      <c r="N487">
        <v>8.3333333333333321</v>
      </c>
      <c r="O487">
        <v>91.05</v>
      </c>
      <c r="P487">
        <v>105</v>
      </c>
      <c r="Q487">
        <v>91</v>
      </c>
      <c r="R487">
        <v>92</v>
      </c>
      <c r="S487">
        <v>91</v>
      </c>
      <c r="T487">
        <v>9.02</v>
      </c>
      <c r="U487">
        <v>6.3</v>
      </c>
      <c r="W487" t="s">
        <v>497</v>
      </c>
    </row>
    <row r="488" spans="1:23" x14ac:dyDescent="0.25">
      <c r="A488" t="s">
        <v>991</v>
      </c>
      <c r="B488" t="str">
        <f t="shared" si="7"/>
        <v>CG2J00000388</v>
      </c>
      <c r="C488" t="s">
        <v>229</v>
      </c>
      <c r="D488" t="s">
        <v>85</v>
      </c>
      <c r="E488" t="s">
        <v>499</v>
      </c>
      <c r="F488">
        <v>10000</v>
      </c>
      <c r="G488" s="13">
        <v>45104</v>
      </c>
      <c r="H488" s="13">
        <v>45106</v>
      </c>
      <c r="I488">
        <v>5500</v>
      </c>
      <c r="J488">
        <v>2260</v>
      </c>
      <c r="K488">
        <v>7760</v>
      </c>
      <c r="N488">
        <v>20.833333333333336</v>
      </c>
      <c r="O488">
        <v>92.116</v>
      </c>
      <c r="P488">
        <v>82.6</v>
      </c>
      <c r="Q488">
        <v>92</v>
      </c>
      <c r="R488">
        <v>93</v>
      </c>
      <c r="S488">
        <v>90</v>
      </c>
      <c r="T488">
        <v>9.06</v>
      </c>
      <c r="U488">
        <v>6</v>
      </c>
      <c r="W488" t="s">
        <v>497</v>
      </c>
    </row>
    <row r="489" spans="1:23" x14ac:dyDescent="0.25">
      <c r="A489" t="s">
        <v>992</v>
      </c>
      <c r="B489" t="str">
        <f t="shared" si="7"/>
        <v>TD2A00000651</v>
      </c>
      <c r="C489" t="s">
        <v>237</v>
      </c>
      <c r="D489" t="s">
        <v>85</v>
      </c>
      <c r="E489" t="s">
        <v>496</v>
      </c>
      <c r="F489">
        <v>15000</v>
      </c>
      <c r="G489" s="13">
        <v>45105</v>
      </c>
      <c r="H489" s="13">
        <v>45107</v>
      </c>
      <c r="I489">
        <v>4500</v>
      </c>
      <c r="J489">
        <v>2940</v>
      </c>
      <c r="K489">
        <v>7440</v>
      </c>
      <c r="N489">
        <v>33.333333333333329</v>
      </c>
      <c r="O489">
        <v>91.814499999999995</v>
      </c>
      <c r="P489">
        <v>49.6</v>
      </c>
      <c r="Q489">
        <v>90</v>
      </c>
      <c r="R489">
        <v>93</v>
      </c>
      <c r="S489">
        <v>90</v>
      </c>
      <c r="T489">
        <v>11.18</v>
      </c>
      <c r="U489">
        <v>6.5</v>
      </c>
      <c r="W489" t="s">
        <v>497</v>
      </c>
    </row>
    <row r="490" spans="1:23" x14ac:dyDescent="0.25">
      <c r="A490" t="s">
        <v>993</v>
      </c>
      <c r="B490" t="str">
        <f t="shared" si="7"/>
        <v>GA2K00000058</v>
      </c>
      <c r="C490" t="s">
        <v>227</v>
      </c>
      <c r="D490" t="s">
        <v>85</v>
      </c>
      <c r="E490" t="s">
        <v>516</v>
      </c>
      <c r="F490">
        <v>17500</v>
      </c>
      <c r="G490" s="13">
        <v>45112</v>
      </c>
      <c r="H490" s="13">
        <v>45114</v>
      </c>
      <c r="I490">
        <v>1060</v>
      </c>
      <c r="J490">
        <v>130</v>
      </c>
      <c r="K490">
        <v>1190</v>
      </c>
      <c r="N490">
        <v>14.285714285714285</v>
      </c>
      <c r="O490">
        <v>93.312399999999997</v>
      </c>
      <c r="P490">
        <v>6.8</v>
      </c>
      <c r="Q490">
        <v>90</v>
      </c>
      <c r="R490">
        <v>90.05</v>
      </c>
      <c r="S490">
        <v>90</v>
      </c>
      <c r="T490">
        <v>8.32</v>
      </c>
      <c r="U490">
        <v>5.75</v>
      </c>
      <c r="W490" t="s">
        <v>497</v>
      </c>
    </row>
    <row r="491" spans="1:23" x14ac:dyDescent="0.25">
      <c r="A491" t="s">
        <v>994</v>
      </c>
      <c r="B491" t="str">
        <f t="shared" si="7"/>
        <v>CG2J00000396</v>
      </c>
      <c r="C491" t="s">
        <v>229</v>
      </c>
      <c r="D491" t="s">
        <v>85</v>
      </c>
      <c r="E491" t="s">
        <v>499</v>
      </c>
      <c r="F491">
        <v>15000</v>
      </c>
      <c r="G491" s="13">
        <v>45118</v>
      </c>
      <c r="H491" s="13">
        <v>45120</v>
      </c>
      <c r="J491">
        <v>0</v>
      </c>
      <c r="N491">
        <v>0</v>
      </c>
      <c r="T491" t="s">
        <v>946</v>
      </c>
      <c r="W491" t="s">
        <v>497</v>
      </c>
    </row>
    <row r="492" spans="1:23" x14ac:dyDescent="0.25">
      <c r="A492" t="s">
        <v>995</v>
      </c>
      <c r="B492" t="str">
        <f t="shared" si="7"/>
        <v>TD2A00000669</v>
      </c>
      <c r="C492" t="s">
        <v>237</v>
      </c>
      <c r="D492" t="s">
        <v>85</v>
      </c>
      <c r="E492" t="s">
        <v>496</v>
      </c>
      <c r="F492">
        <v>15000</v>
      </c>
      <c r="G492" s="13">
        <v>45119</v>
      </c>
      <c r="H492" s="13">
        <v>45121</v>
      </c>
      <c r="I492">
        <v>0</v>
      </c>
      <c r="J492">
        <v>6819.55</v>
      </c>
      <c r="K492">
        <v>6819.55</v>
      </c>
      <c r="N492">
        <v>41.666666666666671</v>
      </c>
      <c r="O492">
        <v>90.083399999999997</v>
      </c>
      <c r="P492">
        <v>45.463700000000003</v>
      </c>
      <c r="Q492">
        <v>90</v>
      </c>
      <c r="R492">
        <v>95</v>
      </c>
      <c r="S492">
        <v>90</v>
      </c>
      <c r="T492">
        <v>12.24</v>
      </c>
      <c r="U492">
        <v>6.5</v>
      </c>
      <c r="W492" t="s">
        <v>497</v>
      </c>
    </row>
    <row r="493" spans="1:23" x14ac:dyDescent="0.25">
      <c r="A493" t="s">
        <v>996</v>
      </c>
      <c r="B493" t="str">
        <f t="shared" si="7"/>
        <v>GA2J00000317</v>
      </c>
      <c r="C493" t="s">
        <v>227</v>
      </c>
      <c r="D493" t="s">
        <v>85</v>
      </c>
      <c r="E493" t="s">
        <v>499</v>
      </c>
      <c r="F493">
        <v>45000</v>
      </c>
      <c r="G493" s="13">
        <v>45133</v>
      </c>
      <c r="H493" s="13">
        <v>45135</v>
      </c>
      <c r="I493">
        <v>25688.49</v>
      </c>
      <c r="J493">
        <v>17509.569999999996</v>
      </c>
      <c r="K493">
        <v>43198.06</v>
      </c>
      <c r="N493">
        <v>28.571428571428569</v>
      </c>
      <c r="O493">
        <v>90.289400000000001</v>
      </c>
      <c r="P493">
        <v>95.995699999999999</v>
      </c>
      <c r="Q493">
        <v>90</v>
      </c>
      <c r="R493">
        <v>95</v>
      </c>
      <c r="S493">
        <v>90</v>
      </c>
      <c r="T493">
        <v>9.2799999999999994</v>
      </c>
      <c r="U493">
        <v>5.5</v>
      </c>
      <c r="W493" t="s">
        <v>497</v>
      </c>
    </row>
    <row r="494" spans="1:23" x14ac:dyDescent="0.25">
      <c r="A494" t="s">
        <v>997</v>
      </c>
      <c r="B494" t="str">
        <f t="shared" si="7"/>
        <v>GA2K00000058</v>
      </c>
      <c r="C494" t="s">
        <v>227</v>
      </c>
      <c r="D494" t="s">
        <v>85</v>
      </c>
      <c r="E494" t="s">
        <v>516</v>
      </c>
      <c r="F494">
        <v>10000</v>
      </c>
      <c r="G494" s="13">
        <v>45133</v>
      </c>
      <c r="H494" s="13">
        <v>45135</v>
      </c>
      <c r="J494">
        <v>0</v>
      </c>
      <c r="N494">
        <v>0</v>
      </c>
      <c r="T494" t="s">
        <v>946</v>
      </c>
      <c r="W494" t="s">
        <v>497</v>
      </c>
    </row>
    <row r="495" spans="1:23" x14ac:dyDescent="0.25">
      <c r="A495" t="s">
        <v>998</v>
      </c>
      <c r="B495" t="str">
        <f t="shared" si="7"/>
        <v>GA2B00000141</v>
      </c>
      <c r="C495" t="s">
        <v>227</v>
      </c>
      <c r="D495" t="s">
        <v>85</v>
      </c>
      <c r="E495" t="s">
        <v>507</v>
      </c>
      <c r="F495">
        <v>10000</v>
      </c>
      <c r="G495" s="13">
        <v>45133</v>
      </c>
      <c r="H495" s="13">
        <v>45135</v>
      </c>
      <c r="I495">
        <v>1100</v>
      </c>
      <c r="J495">
        <v>0</v>
      </c>
      <c r="K495">
        <v>1100</v>
      </c>
      <c r="N495">
        <v>4.7619047619047619</v>
      </c>
      <c r="O495">
        <v>92.065600000000003</v>
      </c>
      <c r="P495">
        <v>11</v>
      </c>
      <c r="Q495">
        <v>90</v>
      </c>
      <c r="R495">
        <v>90</v>
      </c>
      <c r="S495">
        <v>90</v>
      </c>
      <c r="T495">
        <v>8.74</v>
      </c>
      <c r="U495">
        <v>6.75</v>
      </c>
      <c r="W495" t="s">
        <v>497</v>
      </c>
    </row>
    <row r="496" spans="1:23" x14ac:dyDescent="0.25">
      <c r="A496" t="s">
        <v>999</v>
      </c>
      <c r="B496" t="str">
        <f t="shared" si="7"/>
        <v>CM2L00000069</v>
      </c>
      <c r="C496" t="s">
        <v>225</v>
      </c>
      <c r="D496" t="s">
        <v>85</v>
      </c>
      <c r="E496" t="s">
        <v>547</v>
      </c>
      <c r="F496">
        <v>20000</v>
      </c>
      <c r="G496" s="13">
        <v>45138</v>
      </c>
      <c r="H496" s="13">
        <v>45140</v>
      </c>
      <c r="J496">
        <v>0</v>
      </c>
      <c r="N496">
        <v>0</v>
      </c>
      <c r="T496" t="s">
        <v>946</v>
      </c>
      <c r="W496" t="s">
        <v>497</v>
      </c>
    </row>
    <row r="497" spans="1:23" x14ac:dyDescent="0.25">
      <c r="A497" t="s">
        <v>1000</v>
      </c>
      <c r="B497" t="str">
        <f t="shared" si="7"/>
        <v>TD2J00000348</v>
      </c>
      <c r="C497" t="s">
        <v>237</v>
      </c>
      <c r="D497" t="s">
        <v>85</v>
      </c>
      <c r="E497" t="s">
        <v>499</v>
      </c>
      <c r="F497">
        <v>24000</v>
      </c>
      <c r="G497" s="13">
        <v>45140</v>
      </c>
      <c r="H497" s="13">
        <v>45142</v>
      </c>
      <c r="I497">
        <v>0</v>
      </c>
      <c r="J497">
        <v>10671.12</v>
      </c>
      <c r="K497">
        <v>10671.12</v>
      </c>
      <c r="N497">
        <v>41.666666666666671</v>
      </c>
      <c r="O497">
        <v>90.026600000000002</v>
      </c>
      <c r="P497">
        <v>44.588000000000001</v>
      </c>
      <c r="Q497">
        <v>90</v>
      </c>
      <c r="R497">
        <v>98.6</v>
      </c>
      <c r="S497">
        <v>89</v>
      </c>
      <c r="T497">
        <v>10.46</v>
      </c>
      <c r="U497">
        <v>6.5</v>
      </c>
      <c r="W497" t="s">
        <v>497</v>
      </c>
    </row>
    <row r="498" spans="1:23" x14ac:dyDescent="0.25">
      <c r="A498" t="s">
        <v>1001</v>
      </c>
      <c r="B498" t="str">
        <f t="shared" si="7"/>
        <v>TD2J00000355</v>
      </c>
      <c r="C498" t="s">
        <v>237</v>
      </c>
      <c r="D498" t="s">
        <v>85</v>
      </c>
      <c r="E498" t="s">
        <v>499</v>
      </c>
      <c r="F498">
        <v>20000</v>
      </c>
      <c r="G498" s="13">
        <v>45147</v>
      </c>
      <c r="H498" s="13">
        <v>45149</v>
      </c>
      <c r="I498">
        <v>6000</v>
      </c>
      <c r="J498">
        <v>4.6999999999998181</v>
      </c>
      <c r="K498">
        <v>6004.7</v>
      </c>
      <c r="N498">
        <v>16.666666666666664</v>
      </c>
      <c r="O498">
        <v>93.666899999999998</v>
      </c>
      <c r="P498">
        <v>35.455500000000001</v>
      </c>
      <c r="Q498">
        <v>93.5</v>
      </c>
      <c r="R498">
        <v>94</v>
      </c>
      <c r="S498">
        <v>90</v>
      </c>
      <c r="T498">
        <v>8.9499999999999993</v>
      </c>
      <c r="U498">
        <v>6.5</v>
      </c>
      <c r="W498" t="s">
        <v>497</v>
      </c>
    </row>
    <row r="499" spans="1:23" x14ac:dyDescent="0.25">
      <c r="A499" t="s">
        <v>1002</v>
      </c>
      <c r="B499" t="str">
        <f t="shared" si="7"/>
        <v>CF2K00000031</v>
      </c>
      <c r="C499" t="s">
        <v>634</v>
      </c>
      <c r="D499" t="s">
        <v>85</v>
      </c>
      <c r="E499" t="s">
        <v>516</v>
      </c>
      <c r="F499">
        <v>10000</v>
      </c>
      <c r="G499" s="13">
        <v>45152</v>
      </c>
      <c r="H499" s="13">
        <v>45154</v>
      </c>
      <c r="I499">
        <v>9958.25</v>
      </c>
      <c r="J499">
        <v>41.75</v>
      </c>
      <c r="K499">
        <v>10000</v>
      </c>
      <c r="N499">
        <v>22.222222222222221</v>
      </c>
      <c r="O499">
        <v>90.004199999999997</v>
      </c>
      <c r="P499">
        <v>100.4175</v>
      </c>
      <c r="Q499">
        <v>90</v>
      </c>
      <c r="R499">
        <v>91</v>
      </c>
      <c r="S499">
        <v>90</v>
      </c>
      <c r="T499">
        <v>9.57</v>
      </c>
      <c r="U499">
        <v>6.5</v>
      </c>
      <c r="W499" t="s">
        <v>875</v>
      </c>
    </row>
    <row r="500" spans="1:23" x14ac:dyDescent="0.25">
      <c r="A500" t="s">
        <v>1003</v>
      </c>
      <c r="B500" t="str">
        <f t="shared" si="7"/>
        <v>CF2B00000024</v>
      </c>
      <c r="C500" t="s">
        <v>634</v>
      </c>
      <c r="D500" t="s">
        <v>85</v>
      </c>
      <c r="E500" t="s">
        <v>507</v>
      </c>
      <c r="F500">
        <v>5000</v>
      </c>
      <c r="G500" s="13">
        <v>45152</v>
      </c>
      <c r="H500" s="13">
        <v>45154</v>
      </c>
      <c r="I500">
        <v>5000</v>
      </c>
      <c r="J500">
        <v>0</v>
      </c>
      <c r="K500">
        <v>5000</v>
      </c>
      <c r="N500">
        <v>11.111111111111111</v>
      </c>
      <c r="O500">
        <v>89</v>
      </c>
      <c r="P500">
        <v>100</v>
      </c>
      <c r="Q500">
        <v>89</v>
      </c>
      <c r="R500">
        <v>89</v>
      </c>
      <c r="S500">
        <v>89</v>
      </c>
      <c r="T500">
        <v>9.84</v>
      </c>
      <c r="U500">
        <v>7</v>
      </c>
      <c r="W500" t="s">
        <v>875</v>
      </c>
    </row>
    <row r="501" spans="1:23" x14ac:dyDescent="0.25">
      <c r="A501" t="s">
        <v>1004</v>
      </c>
      <c r="B501" t="str">
        <f t="shared" si="7"/>
        <v>CG2J00000404</v>
      </c>
      <c r="C501" t="s">
        <v>229</v>
      </c>
      <c r="D501" t="s">
        <v>85</v>
      </c>
      <c r="E501" t="s">
        <v>499</v>
      </c>
      <c r="F501">
        <v>15000</v>
      </c>
      <c r="G501" s="13">
        <v>45153</v>
      </c>
      <c r="H501" s="13">
        <v>45155</v>
      </c>
      <c r="I501">
        <v>10270</v>
      </c>
      <c r="J501">
        <v>300</v>
      </c>
      <c r="K501">
        <v>10570</v>
      </c>
      <c r="N501">
        <v>12.5</v>
      </c>
      <c r="O501">
        <v>92</v>
      </c>
      <c r="P501">
        <v>77.133300000000006</v>
      </c>
      <c r="Q501">
        <v>92</v>
      </c>
      <c r="R501">
        <v>92</v>
      </c>
      <c r="S501">
        <v>90</v>
      </c>
      <c r="T501">
        <v>9.11</v>
      </c>
      <c r="U501">
        <v>6</v>
      </c>
      <c r="W501" t="s">
        <v>497</v>
      </c>
    </row>
    <row r="502" spans="1:23" x14ac:dyDescent="0.25">
      <c r="A502" t="s">
        <v>1005</v>
      </c>
      <c r="B502" t="str">
        <f t="shared" si="7"/>
        <v>TD2J00000363</v>
      </c>
      <c r="C502" t="s">
        <v>237</v>
      </c>
      <c r="D502" t="s">
        <v>85</v>
      </c>
      <c r="E502" t="s">
        <v>499</v>
      </c>
      <c r="F502">
        <v>25000</v>
      </c>
      <c r="G502" s="13">
        <v>45154</v>
      </c>
      <c r="H502" s="13">
        <v>45156</v>
      </c>
      <c r="I502">
        <v>12500</v>
      </c>
      <c r="J502">
        <v>5968.93</v>
      </c>
      <c r="K502">
        <v>18468.93</v>
      </c>
      <c r="N502">
        <v>33.333333333333329</v>
      </c>
      <c r="O502">
        <v>92.725399999999993</v>
      </c>
      <c r="P502">
        <v>73.875699999999995</v>
      </c>
      <c r="Q502">
        <v>90</v>
      </c>
      <c r="R502">
        <v>94</v>
      </c>
      <c r="S502">
        <v>90</v>
      </c>
      <c r="T502">
        <v>9.34</v>
      </c>
      <c r="U502">
        <v>6.5</v>
      </c>
      <c r="W502" t="s">
        <v>497</v>
      </c>
    </row>
    <row r="503" spans="1:23" x14ac:dyDescent="0.25">
      <c r="A503" t="s">
        <v>1006</v>
      </c>
      <c r="B503" t="str">
        <f t="shared" si="7"/>
        <v>TD2J00000371</v>
      </c>
      <c r="C503" t="s">
        <v>237</v>
      </c>
      <c r="D503" t="s">
        <v>85</v>
      </c>
      <c r="E503" t="s">
        <v>499</v>
      </c>
      <c r="F503">
        <v>20000</v>
      </c>
      <c r="G503" s="13">
        <v>45161</v>
      </c>
      <c r="H503" s="13">
        <v>45163</v>
      </c>
      <c r="I503">
        <v>2000</v>
      </c>
      <c r="J503">
        <v>8011.1100000000006</v>
      </c>
      <c r="K503">
        <v>10011.11</v>
      </c>
      <c r="N503">
        <v>50</v>
      </c>
      <c r="O503">
        <v>90.905600000000007</v>
      </c>
      <c r="P503">
        <v>50.055599999999998</v>
      </c>
      <c r="Q503">
        <v>90</v>
      </c>
      <c r="R503">
        <v>95</v>
      </c>
      <c r="S503">
        <v>90</v>
      </c>
      <c r="T503">
        <v>10.09</v>
      </c>
      <c r="U503">
        <v>6.5</v>
      </c>
      <c r="W503" t="s">
        <v>497</v>
      </c>
    </row>
    <row r="504" spans="1:23" x14ac:dyDescent="0.25">
      <c r="A504" t="s">
        <v>1007</v>
      </c>
      <c r="B504" t="str">
        <f t="shared" si="7"/>
        <v>CG2A00000429</v>
      </c>
      <c r="C504" t="s">
        <v>229</v>
      </c>
      <c r="D504" t="s">
        <v>85</v>
      </c>
      <c r="E504" t="s">
        <v>496</v>
      </c>
      <c r="F504">
        <v>20000</v>
      </c>
      <c r="G504" s="13">
        <v>45167</v>
      </c>
      <c r="H504" s="13">
        <v>45169</v>
      </c>
      <c r="J504">
        <v>0</v>
      </c>
      <c r="N504">
        <v>0</v>
      </c>
      <c r="T504" t="s">
        <v>946</v>
      </c>
      <c r="W504" t="s">
        <v>497</v>
      </c>
    </row>
    <row r="505" spans="1:23" x14ac:dyDescent="0.25">
      <c r="A505" t="s">
        <v>1008</v>
      </c>
      <c r="B505" t="str">
        <f t="shared" si="7"/>
        <v>CG2J00000412</v>
      </c>
      <c r="C505" t="s">
        <v>229</v>
      </c>
      <c r="D505" t="s">
        <v>85</v>
      </c>
      <c r="E505" t="s">
        <v>499</v>
      </c>
      <c r="F505">
        <v>10000</v>
      </c>
      <c r="G505" s="13">
        <v>45167</v>
      </c>
      <c r="H505" s="13">
        <v>45169</v>
      </c>
      <c r="J505">
        <v>0</v>
      </c>
      <c r="N505">
        <v>0</v>
      </c>
      <c r="T505" t="s">
        <v>946</v>
      </c>
      <c r="W505" t="s">
        <v>497</v>
      </c>
    </row>
    <row r="506" spans="1:23" x14ac:dyDescent="0.25">
      <c r="A506" t="s">
        <v>1009</v>
      </c>
      <c r="B506" t="str">
        <f t="shared" si="7"/>
        <v>CG2K00000146</v>
      </c>
      <c r="C506" t="s">
        <v>229</v>
      </c>
      <c r="D506" t="s">
        <v>85</v>
      </c>
      <c r="E506" t="s">
        <v>516</v>
      </c>
      <c r="F506">
        <v>10000</v>
      </c>
      <c r="G506" s="13">
        <v>45167</v>
      </c>
      <c r="H506" s="13">
        <v>45169</v>
      </c>
      <c r="I506">
        <v>10000</v>
      </c>
      <c r="J506">
        <v>0</v>
      </c>
      <c r="K506">
        <v>10000</v>
      </c>
      <c r="N506">
        <v>12.5</v>
      </c>
      <c r="O506">
        <v>90.7941</v>
      </c>
      <c r="P506">
        <v>103.6</v>
      </c>
      <c r="Q506">
        <v>90.75</v>
      </c>
      <c r="R506">
        <v>92.01</v>
      </c>
      <c r="S506">
        <v>88</v>
      </c>
      <c r="T506">
        <v>8.99</v>
      </c>
      <c r="U506">
        <v>6.2</v>
      </c>
      <c r="W506" t="s">
        <v>497</v>
      </c>
    </row>
    <row r="507" spans="1:23" x14ac:dyDescent="0.25">
      <c r="A507" t="s">
        <v>1010</v>
      </c>
      <c r="B507" t="str">
        <f t="shared" si="7"/>
        <v>GA2J00000325</v>
      </c>
      <c r="C507" t="s">
        <v>227</v>
      </c>
      <c r="D507" t="s">
        <v>85</v>
      </c>
      <c r="E507" t="s">
        <v>499</v>
      </c>
      <c r="F507">
        <v>20000</v>
      </c>
      <c r="G507" s="13">
        <v>45168</v>
      </c>
      <c r="H507" s="13">
        <v>45170</v>
      </c>
      <c r="J507">
        <v>0</v>
      </c>
      <c r="N507">
        <v>0</v>
      </c>
      <c r="T507" t="s">
        <v>946</v>
      </c>
      <c r="W507" t="s">
        <v>497</v>
      </c>
    </row>
    <row r="508" spans="1:23" x14ac:dyDescent="0.25">
      <c r="A508" t="s">
        <v>1011</v>
      </c>
      <c r="B508" t="str">
        <f t="shared" si="7"/>
        <v>TD2J00000389</v>
      </c>
      <c r="C508" t="s">
        <v>237</v>
      </c>
      <c r="D508" t="s">
        <v>85</v>
      </c>
      <c r="E508" t="s">
        <v>499</v>
      </c>
      <c r="F508">
        <v>10000</v>
      </c>
      <c r="G508" s="13">
        <v>45168</v>
      </c>
      <c r="H508" s="13">
        <v>45170</v>
      </c>
      <c r="J508">
        <v>0</v>
      </c>
      <c r="N508">
        <v>0</v>
      </c>
      <c r="T508" t="s">
        <v>946</v>
      </c>
      <c r="W508" t="s">
        <v>497</v>
      </c>
    </row>
    <row r="509" spans="1:23" x14ac:dyDescent="0.25">
      <c r="A509" t="s">
        <v>1012</v>
      </c>
      <c r="B509" t="str">
        <f t="shared" si="7"/>
        <v>CG2K00000146</v>
      </c>
      <c r="C509" t="s">
        <v>229</v>
      </c>
      <c r="D509" t="s">
        <v>85</v>
      </c>
      <c r="E509" t="s">
        <v>516</v>
      </c>
      <c r="F509">
        <v>2500</v>
      </c>
      <c r="G509" s="13">
        <v>45174</v>
      </c>
      <c r="H509" s="13">
        <v>45176</v>
      </c>
      <c r="I509">
        <v>700</v>
      </c>
      <c r="K509">
        <v>700</v>
      </c>
      <c r="N509">
        <v>4.1666666666666661</v>
      </c>
      <c r="O509">
        <v>91.118600000000001</v>
      </c>
      <c r="P509">
        <v>28</v>
      </c>
      <c r="Q509">
        <v>91</v>
      </c>
      <c r="R509">
        <v>91</v>
      </c>
      <c r="S509">
        <v>91</v>
      </c>
      <c r="T509">
        <v>8.89</v>
      </c>
      <c r="U509">
        <v>6.2</v>
      </c>
      <c r="W509" t="s">
        <v>497</v>
      </c>
    </row>
    <row r="510" spans="1:23" x14ac:dyDescent="0.25">
      <c r="A510" t="s">
        <v>1013</v>
      </c>
      <c r="B510" t="str">
        <f t="shared" si="7"/>
        <v>CG2J00000420</v>
      </c>
      <c r="C510" t="s">
        <v>229</v>
      </c>
      <c r="D510" t="s">
        <v>85</v>
      </c>
      <c r="E510" t="s">
        <v>499</v>
      </c>
      <c r="F510">
        <v>15000</v>
      </c>
      <c r="G510" s="13">
        <v>45174</v>
      </c>
      <c r="H510" s="13">
        <v>45176</v>
      </c>
      <c r="I510">
        <v>3119.1</v>
      </c>
      <c r="J510">
        <v>9719</v>
      </c>
      <c r="K510">
        <v>12838.1</v>
      </c>
      <c r="N510">
        <v>37.5</v>
      </c>
      <c r="O510">
        <v>91.086399999999998</v>
      </c>
      <c r="P510">
        <v>85.587299999999999</v>
      </c>
      <c r="Q510">
        <v>88</v>
      </c>
      <c r="R510">
        <v>96</v>
      </c>
      <c r="S510">
        <v>88</v>
      </c>
      <c r="T510">
        <v>9.48</v>
      </c>
      <c r="U510">
        <v>6</v>
      </c>
      <c r="W510" t="s">
        <v>497</v>
      </c>
    </row>
    <row r="511" spans="1:23" x14ac:dyDescent="0.25">
      <c r="A511" t="s">
        <v>1014</v>
      </c>
      <c r="B511" t="str">
        <f t="shared" si="7"/>
        <v>TD2J00000397</v>
      </c>
      <c r="C511" t="s">
        <v>237</v>
      </c>
      <c r="D511" t="s">
        <v>85</v>
      </c>
      <c r="E511" t="s">
        <v>499</v>
      </c>
      <c r="F511">
        <v>10000</v>
      </c>
      <c r="G511" s="13">
        <v>45175</v>
      </c>
      <c r="H511" s="13">
        <v>45177</v>
      </c>
      <c r="I511">
        <v>6004</v>
      </c>
      <c r="J511">
        <v>3996</v>
      </c>
      <c r="K511">
        <v>10000</v>
      </c>
      <c r="N511">
        <v>50</v>
      </c>
      <c r="O511">
        <v>92.346100000000007</v>
      </c>
      <c r="P511">
        <v>158.59049999999999</v>
      </c>
      <c r="Q511">
        <v>91.5</v>
      </c>
      <c r="R511">
        <v>96</v>
      </c>
      <c r="S511">
        <v>90</v>
      </c>
      <c r="T511">
        <v>9.49</v>
      </c>
      <c r="U511">
        <v>6.5</v>
      </c>
      <c r="W511" t="s">
        <v>497</v>
      </c>
    </row>
    <row r="512" spans="1:23" x14ac:dyDescent="0.25">
      <c r="A512" t="s">
        <v>1010</v>
      </c>
      <c r="B512" t="str">
        <f t="shared" si="7"/>
        <v>GA2J00000325</v>
      </c>
      <c r="C512" t="s">
        <v>227</v>
      </c>
      <c r="D512" t="s">
        <v>85</v>
      </c>
      <c r="E512" t="s">
        <v>499</v>
      </c>
      <c r="F512">
        <v>20000</v>
      </c>
      <c r="G512" s="13">
        <v>45175</v>
      </c>
      <c r="H512" s="13">
        <v>45177</v>
      </c>
      <c r="J512">
        <v>0</v>
      </c>
      <c r="N512">
        <v>0</v>
      </c>
      <c r="T512" t="s">
        <v>946</v>
      </c>
      <c r="W512" t="s">
        <v>497</v>
      </c>
    </row>
    <row r="513" spans="1:23" x14ac:dyDescent="0.25">
      <c r="A513" t="s">
        <v>1015</v>
      </c>
      <c r="B513" t="str">
        <f t="shared" si="7"/>
        <v>CM2D00000051</v>
      </c>
      <c r="C513" t="s">
        <v>225</v>
      </c>
      <c r="D513" t="s">
        <v>85</v>
      </c>
      <c r="E513" t="s">
        <v>555</v>
      </c>
      <c r="F513">
        <v>20000</v>
      </c>
      <c r="G513" s="13">
        <v>45180</v>
      </c>
      <c r="H513" s="13">
        <v>45182</v>
      </c>
      <c r="I513">
        <v>20000</v>
      </c>
      <c r="J513">
        <v>0</v>
      </c>
      <c r="K513">
        <v>20000</v>
      </c>
      <c r="N513">
        <v>23.809523809523807</v>
      </c>
      <c r="O513">
        <v>100</v>
      </c>
      <c r="P513">
        <v>110</v>
      </c>
      <c r="Q513">
        <v>100</v>
      </c>
      <c r="R513">
        <v>100</v>
      </c>
      <c r="S513">
        <v>89</v>
      </c>
      <c r="T513">
        <v>7.2</v>
      </c>
      <c r="U513">
        <v>7.2</v>
      </c>
      <c r="W513" t="s">
        <v>497</v>
      </c>
    </row>
    <row r="514" spans="1:23" x14ac:dyDescent="0.25">
      <c r="A514" t="s">
        <v>1016</v>
      </c>
      <c r="B514" t="str">
        <f t="shared" si="7"/>
        <v>CG2A00000437</v>
      </c>
      <c r="C514" t="s">
        <v>229</v>
      </c>
      <c r="D514" t="s">
        <v>85</v>
      </c>
      <c r="E514" t="s">
        <v>496</v>
      </c>
      <c r="F514">
        <v>10000</v>
      </c>
      <c r="G514" s="13">
        <v>45181</v>
      </c>
      <c r="H514" s="13">
        <v>45183</v>
      </c>
      <c r="I514">
        <v>5000</v>
      </c>
      <c r="J514">
        <v>100</v>
      </c>
      <c r="K514">
        <v>5100</v>
      </c>
      <c r="N514">
        <v>25</v>
      </c>
      <c r="O514">
        <v>93.042500000000004</v>
      </c>
      <c r="P514">
        <v>63.866100000000003</v>
      </c>
      <c r="Q514">
        <v>93</v>
      </c>
      <c r="R514">
        <v>96.7</v>
      </c>
      <c r="S514">
        <v>90</v>
      </c>
      <c r="T514">
        <v>9.4</v>
      </c>
      <c r="U514">
        <v>5.5</v>
      </c>
      <c r="W514" t="s">
        <v>497</v>
      </c>
    </row>
    <row r="515" spans="1:23" x14ac:dyDescent="0.25">
      <c r="A515" t="s">
        <v>1017</v>
      </c>
      <c r="B515" t="str">
        <f t="shared" si="7"/>
        <v>TD2J00000405</v>
      </c>
      <c r="C515" t="s">
        <v>237</v>
      </c>
      <c r="D515" t="s">
        <v>85</v>
      </c>
      <c r="E515" t="s">
        <v>499</v>
      </c>
      <c r="F515">
        <v>10000</v>
      </c>
      <c r="G515" s="13">
        <v>45182</v>
      </c>
      <c r="H515" s="13">
        <v>45184</v>
      </c>
      <c r="I515">
        <v>3500</v>
      </c>
      <c r="K515">
        <v>3500</v>
      </c>
      <c r="N515">
        <v>16.666666666666664</v>
      </c>
      <c r="O515">
        <v>100</v>
      </c>
      <c r="P515">
        <v>35.1</v>
      </c>
      <c r="Q515">
        <v>100</v>
      </c>
      <c r="R515">
        <v>100</v>
      </c>
      <c r="S515">
        <v>88</v>
      </c>
      <c r="T515">
        <v>5</v>
      </c>
      <c r="U515">
        <v>5</v>
      </c>
      <c r="W515" t="s">
        <v>497</v>
      </c>
    </row>
    <row r="516" spans="1:23" x14ac:dyDescent="0.25">
      <c r="A516" t="s">
        <v>1018</v>
      </c>
      <c r="B516" t="str">
        <f t="shared" si="7"/>
        <v>TD2B00000106</v>
      </c>
      <c r="C516" t="s">
        <v>237</v>
      </c>
      <c r="D516" t="s">
        <v>85</v>
      </c>
      <c r="E516" t="s">
        <v>507</v>
      </c>
      <c r="F516">
        <v>10000</v>
      </c>
      <c r="G516" s="13">
        <v>45182</v>
      </c>
      <c r="H516" s="13">
        <v>45184</v>
      </c>
      <c r="J516">
        <v>0</v>
      </c>
      <c r="N516">
        <v>0</v>
      </c>
      <c r="T516" t="s">
        <v>946</v>
      </c>
      <c r="W516" t="s">
        <v>497</v>
      </c>
    </row>
    <row r="517" spans="1:23" x14ac:dyDescent="0.25">
      <c r="A517" t="s">
        <v>1019</v>
      </c>
      <c r="B517" t="str">
        <f t="shared" ref="B517:B580" si="8">MID(A517,1,12)</f>
        <v>CM2J00000089</v>
      </c>
      <c r="C517" t="s">
        <v>225</v>
      </c>
      <c r="D517" t="s">
        <v>85</v>
      </c>
      <c r="E517" t="s">
        <v>499</v>
      </c>
      <c r="F517">
        <v>25000</v>
      </c>
      <c r="G517" s="13">
        <v>45187</v>
      </c>
      <c r="H517" s="13">
        <v>45189</v>
      </c>
      <c r="I517">
        <v>15030</v>
      </c>
      <c r="K517">
        <v>15030</v>
      </c>
      <c r="N517">
        <v>23.809523809523807</v>
      </c>
      <c r="O517">
        <v>97.767099999999999</v>
      </c>
      <c r="P517">
        <v>72.52</v>
      </c>
      <c r="Q517">
        <v>97</v>
      </c>
      <c r="R517">
        <v>98</v>
      </c>
      <c r="S517">
        <v>95</v>
      </c>
      <c r="T517">
        <v>6.33</v>
      </c>
      <c r="U517">
        <v>5.5</v>
      </c>
      <c r="W517" t="s">
        <v>497</v>
      </c>
    </row>
    <row r="518" spans="1:23" x14ac:dyDescent="0.25">
      <c r="A518" t="s">
        <v>1020</v>
      </c>
      <c r="B518" t="str">
        <f t="shared" si="8"/>
        <v>CF2K00000031</v>
      </c>
      <c r="C518" t="s">
        <v>634</v>
      </c>
      <c r="D518" t="s">
        <v>85</v>
      </c>
      <c r="E518" t="s">
        <v>516</v>
      </c>
      <c r="F518">
        <v>7500</v>
      </c>
      <c r="G518" s="13">
        <v>45187</v>
      </c>
      <c r="H518" s="13">
        <v>45189</v>
      </c>
      <c r="I518">
        <v>3970.59</v>
      </c>
      <c r="J518">
        <v>3529.41</v>
      </c>
      <c r="K518">
        <v>7500</v>
      </c>
      <c r="N518">
        <v>22.222222222222221</v>
      </c>
      <c r="O518">
        <v>90.621600000000001</v>
      </c>
      <c r="P518">
        <v>113.33329999999999</v>
      </c>
      <c r="Q518">
        <v>90</v>
      </c>
      <c r="R518">
        <v>90</v>
      </c>
      <c r="S518">
        <v>90</v>
      </c>
      <c r="T518">
        <v>9.3699999999999992</v>
      </c>
      <c r="U518">
        <v>6.5</v>
      </c>
      <c r="W518" t="s">
        <v>497</v>
      </c>
    </row>
    <row r="519" spans="1:23" x14ac:dyDescent="0.25">
      <c r="A519" t="s">
        <v>1021</v>
      </c>
      <c r="B519" t="str">
        <f t="shared" si="8"/>
        <v>CF2B00000024</v>
      </c>
      <c r="C519" t="s">
        <v>634</v>
      </c>
      <c r="D519" t="s">
        <v>85</v>
      </c>
      <c r="E519" t="s">
        <v>507</v>
      </c>
      <c r="F519">
        <v>7500</v>
      </c>
      <c r="G519" s="13">
        <v>45187</v>
      </c>
      <c r="H519" s="13">
        <v>45189</v>
      </c>
      <c r="I519">
        <v>7270</v>
      </c>
      <c r="J519">
        <v>230</v>
      </c>
      <c r="K519">
        <v>7500</v>
      </c>
      <c r="N519">
        <v>22.222222222222221</v>
      </c>
      <c r="O519">
        <v>89.841399999999993</v>
      </c>
      <c r="P519">
        <v>182.52</v>
      </c>
      <c r="Q519">
        <v>89</v>
      </c>
      <c r="R519">
        <v>96</v>
      </c>
      <c r="S519">
        <v>89</v>
      </c>
      <c r="T519">
        <v>9.61</v>
      </c>
      <c r="U519">
        <v>7</v>
      </c>
      <c r="W519" t="s">
        <v>497</v>
      </c>
    </row>
    <row r="520" spans="1:23" x14ac:dyDescent="0.25">
      <c r="A520" t="s">
        <v>1022</v>
      </c>
      <c r="B520" t="str">
        <f t="shared" si="8"/>
        <v>GA2J00000325</v>
      </c>
      <c r="C520" t="s">
        <v>227</v>
      </c>
      <c r="D520" t="s">
        <v>85</v>
      </c>
      <c r="E520" t="s">
        <v>499</v>
      </c>
      <c r="F520">
        <v>20000</v>
      </c>
      <c r="G520" s="13">
        <v>45189</v>
      </c>
      <c r="H520" s="13">
        <v>45191</v>
      </c>
      <c r="I520">
        <v>6050</v>
      </c>
      <c r="J520">
        <v>2725</v>
      </c>
      <c r="K520">
        <v>8775</v>
      </c>
      <c r="N520">
        <v>28.571428571428569</v>
      </c>
      <c r="O520">
        <v>90.355500000000006</v>
      </c>
      <c r="P520">
        <v>43.924999999999997</v>
      </c>
      <c r="Q520">
        <v>90</v>
      </c>
      <c r="R520">
        <v>91</v>
      </c>
      <c r="S520">
        <v>87</v>
      </c>
      <c r="T520">
        <v>9.26</v>
      </c>
      <c r="U520">
        <v>5.5</v>
      </c>
      <c r="W520" t="s">
        <v>497</v>
      </c>
    </row>
    <row r="521" spans="1:23" x14ac:dyDescent="0.25">
      <c r="A521" t="s">
        <v>1023</v>
      </c>
      <c r="B521" t="str">
        <f t="shared" si="8"/>
        <v>TD2J00000413</v>
      </c>
      <c r="C521" t="s">
        <v>237</v>
      </c>
      <c r="D521" t="s">
        <v>85</v>
      </c>
      <c r="E521" t="s">
        <v>499</v>
      </c>
      <c r="F521">
        <v>15000</v>
      </c>
      <c r="G521" s="13">
        <v>45189</v>
      </c>
      <c r="H521" s="13">
        <v>45191</v>
      </c>
      <c r="J521">
        <v>0</v>
      </c>
      <c r="N521">
        <v>0</v>
      </c>
      <c r="T521" t="s">
        <v>946</v>
      </c>
      <c r="W521" t="s">
        <v>497</v>
      </c>
    </row>
    <row r="522" spans="1:23" x14ac:dyDescent="0.25">
      <c r="A522" t="s">
        <v>1024</v>
      </c>
      <c r="B522" t="str">
        <f t="shared" si="8"/>
        <v>CF2B00000024</v>
      </c>
      <c r="C522" t="s">
        <v>634</v>
      </c>
      <c r="D522" t="s">
        <v>85</v>
      </c>
      <c r="E522" t="s">
        <v>507</v>
      </c>
      <c r="F522">
        <v>10000</v>
      </c>
      <c r="G522" s="13">
        <v>45194</v>
      </c>
      <c r="H522" s="13">
        <v>45196</v>
      </c>
      <c r="I522">
        <v>9995.01</v>
      </c>
      <c r="J522">
        <v>4.9899999999997817</v>
      </c>
      <c r="K522">
        <v>10000</v>
      </c>
      <c r="N522">
        <v>22.222222222222221</v>
      </c>
      <c r="O522">
        <v>89.803299999999993</v>
      </c>
      <c r="P522">
        <v>100.05</v>
      </c>
      <c r="Q522">
        <v>89</v>
      </c>
      <c r="R522">
        <v>89</v>
      </c>
      <c r="S522">
        <v>89</v>
      </c>
      <c r="T522">
        <v>9.6199999999999992</v>
      </c>
      <c r="U522">
        <v>7</v>
      </c>
      <c r="W522" t="s">
        <v>497</v>
      </c>
    </row>
    <row r="523" spans="1:23" x14ac:dyDescent="0.25">
      <c r="A523" t="s">
        <v>1025</v>
      </c>
      <c r="B523" t="str">
        <f t="shared" si="8"/>
        <v>CG2A00000411</v>
      </c>
      <c r="C523" t="s">
        <v>229</v>
      </c>
      <c r="D523" t="s">
        <v>85</v>
      </c>
      <c r="E523" t="s">
        <v>496</v>
      </c>
      <c r="F523">
        <v>5000</v>
      </c>
      <c r="G523" s="13">
        <v>45195</v>
      </c>
      <c r="H523" s="13">
        <v>45197</v>
      </c>
      <c r="I523">
        <v>100</v>
      </c>
      <c r="J523">
        <v>84</v>
      </c>
      <c r="K523">
        <v>184</v>
      </c>
      <c r="N523">
        <v>25</v>
      </c>
      <c r="O523">
        <v>96.624899999999997</v>
      </c>
      <c r="P523">
        <v>17.946000000000002</v>
      </c>
      <c r="Q523">
        <v>95</v>
      </c>
      <c r="R523">
        <v>96</v>
      </c>
      <c r="S523">
        <v>89</v>
      </c>
      <c r="T523">
        <v>7.35</v>
      </c>
      <c r="U523">
        <v>5.5</v>
      </c>
      <c r="W523" t="s">
        <v>497</v>
      </c>
    </row>
    <row r="524" spans="1:23" x14ac:dyDescent="0.25">
      <c r="A524" t="s">
        <v>1026</v>
      </c>
      <c r="B524" t="str">
        <f t="shared" si="8"/>
        <v>GA2K00000058</v>
      </c>
      <c r="C524" t="s">
        <v>227</v>
      </c>
      <c r="D524" t="s">
        <v>85</v>
      </c>
      <c r="E524" t="s">
        <v>516</v>
      </c>
      <c r="F524">
        <v>20000</v>
      </c>
      <c r="G524" s="13">
        <v>45196</v>
      </c>
      <c r="H524" s="13">
        <v>45198</v>
      </c>
      <c r="J524">
        <v>0</v>
      </c>
      <c r="N524">
        <v>0</v>
      </c>
      <c r="T524" t="s">
        <v>946</v>
      </c>
      <c r="W524" t="s">
        <v>497</v>
      </c>
    </row>
    <row r="525" spans="1:23" x14ac:dyDescent="0.25">
      <c r="A525" t="s">
        <v>1027</v>
      </c>
      <c r="B525" t="str">
        <f t="shared" si="8"/>
        <v>CM2J00000097</v>
      </c>
      <c r="C525" t="s">
        <v>225</v>
      </c>
      <c r="D525" t="s">
        <v>85</v>
      </c>
      <c r="E525" t="s">
        <v>499</v>
      </c>
      <c r="F525">
        <v>10000</v>
      </c>
      <c r="G525" s="13">
        <v>45201</v>
      </c>
      <c r="H525" s="13">
        <v>45203</v>
      </c>
      <c r="I525">
        <v>10000</v>
      </c>
      <c r="J525">
        <v>0</v>
      </c>
      <c r="K525">
        <v>10000</v>
      </c>
      <c r="N525">
        <v>0</v>
      </c>
      <c r="O525">
        <v>100</v>
      </c>
      <c r="P525">
        <v>100</v>
      </c>
      <c r="U525">
        <v>5</v>
      </c>
      <c r="W525" t="s">
        <v>542</v>
      </c>
    </row>
    <row r="526" spans="1:23" x14ac:dyDescent="0.25">
      <c r="A526" t="s">
        <v>1028</v>
      </c>
      <c r="B526" t="str">
        <f t="shared" si="8"/>
        <v>CG2B00000147</v>
      </c>
      <c r="C526" t="s">
        <v>229</v>
      </c>
      <c r="D526" t="s">
        <v>85</v>
      </c>
      <c r="E526" t="s">
        <v>507</v>
      </c>
      <c r="F526">
        <v>5000</v>
      </c>
      <c r="G526" s="13">
        <v>45202</v>
      </c>
      <c r="H526" s="13">
        <v>45204</v>
      </c>
      <c r="J526">
        <v>3902.5</v>
      </c>
      <c r="K526">
        <v>3902.5</v>
      </c>
      <c r="N526">
        <v>8.3333333333333321</v>
      </c>
      <c r="O526">
        <v>92.742999999999995</v>
      </c>
      <c r="P526">
        <v>78.05</v>
      </c>
      <c r="Q526">
        <v>91</v>
      </c>
      <c r="R526">
        <v>95</v>
      </c>
      <c r="S526">
        <v>91</v>
      </c>
      <c r="T526">
        <v>8.3000000000000007</v>
      </c>
      <c r="U526">
        <v>6.5</v>
      </c>
      <c r="W526" t="s">
        <v>497</v>
      </c>
    </row>
    <row r="527" spans="1:23" x14ac:dyDescent="0.25">
      <c r="A527" t="s">
        <v>1029</v>
      </c>
      <c r="B527" t="str">
        <f t="shared" si="8"/>
        <v>CG2J00000438</v>
      </c>
      <c r="C527" t="s">
        <v>229</v>
      </c>
      <c r="D527" t="s">
        <v>85</v>
      </c>
      <c r="E527" t="s">
        <v>499</v>
      </c>
      <c r="F527">
        <v>15000</v>
      </c>
      <c r="G527" s="13">
        <v>45202</v>
      </c>
      <c r="H527" s="13">
        <v>45204</v>
      </c>
      <c r="I527">
        <v>11600</v>
      </c>
      <c r="J527">
        <v>1167.5</v>
      </c>
      <c r="K527">
        <v>12767.5</v>
      </c>
      <c r="N527">
        <v>25</v>
      </c>
      <c r="O527">
        <v>92.3155</v>
      </c>
      <c r="P527">
        <v>85.116699999999994</v>
      </c>
      <c r="Q527">
        <v>90</v>
      </c>
      <c r="R527">
        <v>95</v>
      </c>
      <c r="S527">
        <v>90</v>
      </c>
      <c r="T527">
        <v>8.7200000000000006</v>
      </c>
      <c r="U527">
        <v>5.75</v>
      </c>
      <c r="W527" t="s">
        <v>497</v>
      </c>
    </row>
    <row r="528" spans="1:23" x14ac:dyDescent="0.25">
      <c r="A528" t="s">
        <v>1030</v>
      </c>
      <c r="B528" t="str">
        <f t="shared" si="8"/>
        <v>TD2J00000421</v>
      </c>
      <c r="C528" t="s">
        <v>237</v>
      </c>
      <c r="D528" t="s">
        <v>85</v>
      </c>
      <c r="E528" t="s">
        <v>499</v>
      </c>
      <c r="F528">
        <v>13000</v>
      </c>
      <c r="G528" s="13">
        <v>45203</v>
      </c>
      <c r="H528" s="13">
        <v>45205</v>
      </c>
      <c r="T528" t="s">
        <v>977</v>
      </c>
      <c r="W528" t="s">
        <v>497</v>
      </c>
    </row>
    <row r="529" spans="1:23" x14ac:dyDescent="0.25">
      <c r="A529" t="s">
        <v>1031</v>
      </c>
      <c r="B529" t="str">
        <f t="shared" si="8"/>
        <v>CF2L00000022</v>
      </c>
      <c r="C529" t="s">
        <v>634</v>
      </c>
      <c r="D529" t="s">
        <v>85</v>
      </c>
      <c r="E529" t="s">
        <v>547</v>
      </c>
      <c r="F529">
        <v>10000</v>
      </c>
      <c r="G529" s="13">
        <v>45208</v>
      </c>
      <c r="H529" s="13">
        <v>45210</v>
      </c>
      <c r="I529">
        <v>10000</v>
      </c>
      <c r="J529">
        <v>0</v>
      </c>
      <c r="K529">
        <v>10000</v>
      </c>
      <c r="N529">
        <v>33.333333333333329</v>
      </c>
      <c r="O529">
        <v>88.007000000000005</v>
      </c>
      <c r="P529">
        <v>100.4</v>
      </c>
      <c r="Q529">
        <v>88</v>
      </c>
      <c r="R529">
        <v>90</v>
      </c>
      <c r="S529">
        <v>85</v>
      </c>
      <c r="T529">
        <v>10.220000000000001</v>
      </c>
      <c r="U529">
        <v>7.5</v>
      </c>
      <c r="W529" t="s">
        <v>497</v>
      </c>
    </row>
    <row r="530" spans="1:23" x14ac:dyDescent="0.25">
      <c r="A530" t="s">
        <v>1032</v>
      </c>
      <c r="B530" t="str">
        <f t="shared" si="8"/>
        <v>GA2A00000183</v>
      </c>
      <c r="C530" t="s">
        <v>227</v>
      </c>
      <c r="D530" t="s">
        <v>85</v>
      </c>
      <c r="E530" t="s">
        <v>496</v>
      </c>
      <c r="F530">
        <v>20000</v>
      </c>
      <c r="G530" s="13">
        <v>45210</v>
      </c>
      <c r="H530" s="13">
        <v>45212</v>
      </c>
      <c r="I530">
        <v>1000</v>
      </c>
      <c r="J530">
        <v>104.5</v>
      </c>
      <c r="K530">
        <v>1104.5</v>
      </c>
      <c r="N530">
        <v>14.285714285714285</v>
      </c>
      <c r="O530">
        <v>91.679000000000002</v>
      </c>
      <c r="P530">
        <v>5.5225</v>
      </c>
      <c r="Q530">
        <v>91</v>
      </c>
      <c r="R530">
        <v>98</v>
      </c>
      <c r="S530">
        <v>91</v>
      </c>
      <c r="T530">
        <v>9.68</v>
      </c>
      <c r="U530">
        <v>5</v>
      </c>
      <c r="W530" t="s">
        <v>497</v>
      </c>
    </row>
    <row r="531" spans="1:23" x14ac:dyDescent="0.25">
      <c r="A531" t="s">
        <v>1033</v>
      </c>
      <c r="B531" t="str">
        <f t="shared" si="8"/>
        <v>GA2K00000041</v>
      </c>
      <c r="C531" t="s">
        <v>227</v>
      </c>
      <c r="D531" t="s">
        <v>85</v>
      </c>
      <c r="E531" t="s">
        <v>516</v>
      </c>
      <c r="F531">
        <v>20000</v>
      </c>
      <c r="G531" s="13">
        <v>45210</v>
      </c>
      <c r="H531" s="13">
        <v>45212</v>
      </c>
      <c r="J531">
        <v>0</v>
      </c>
      <c r="N531">
        <v>0</v>
      </c>
      <c r="T531" t="s">
        <v>946</v>
      </c>
      <c r="W531" t="s">
        <v>497</v>
      </c>
    </row>
    <row r="532" spans="1:23" x14ac:dyDescent="0.25">
      <c r="A532" t="s">
        <v>1034</v>
      </c>
      <c r="B532" t="str">
        <f t="shared" si="8"/>
        <v>CG2J00000404</v>
      </c>
      <c r="C532" t="s">
        <v>229</v>
      </c>
      <c r="D532" t="s">
        <v>85</v>
      </c>
      <c r="E532" t="s">
        <v>499</v>
      </c>
      <c r="F532">
        <v>10000</v>
      </c>
      <c r="G532" s="13">
        <v>45216</v>
      </c>
      <c r="H532" s="13">
        <v>45218</v>
      </c>
      <c r="I532">
        <v>1196</v>
      </c>
      <c r="J532">
        <v>1818.8200000000002</v>
      </c>
      <c r="K532">
        <v>3014.82</v>
      </c>
      <c r="N532">
        <v>29.166666666666668</v>
      </c>
      <c r="O532">
        <v>93.077600000000004</v>
      </c>
      <c r="P532">
        <v>33.148200000000003</v>
      </c>
      <c r="Q532">
        <v>91</v>
      </c>
      <c r="R532">
        <v>95</v>
      </c>
      <c r="S532">
        <v>89</v>
      </c>
      <c r="T532">
        <v>8.67</v>
      </c>
      <c r="U532">
        <v>6</v>
      </c>
      <c r="W532" t="s">
        <v>497</v>
      </c>
    </row>
    <row r="533" spans="1:23" x14ac:dyDescent="0.25">
      <c r="A533" t="s">
        <v>1035</v>
      </c>
      <c r="B533" t="str">
        <f t="shared" si="8"/>
        <v>TD2J00000439</v>
      </c>
      <c r="C533" t="s">
        <v>237</v>
      </c>
      <c r="D533" t="s">
        <v>85</v>
      </c>
      <c r="E533" t="s">
        <v>499</v>
      </c>
      <c r="F533">
        <v>10000</v>
      </c>
      <c r="G533" s="13">
        <v>45217</v>
      </c>
      <c r="H533" s="13">
        <v>45219</v>
      </c>
      <c r="J533">
        <v>0</v>
      </c>
      <c r="N533">
        <v>0</v>
      </c>
      <c r="T533" t="s">
        <v>946</v>
      </c>
      <c r="W533" t="s">
        <v>497</v>
      </c>
    </row>
    <row r="534" spans="1:23" x14ac:dyDescent="0.25">
      <c r="A534" t="s">
        <v>1036</v>
      </c>
      <c r="B534" t="str">
        <f t="shared" si="8"/>
        <v>CG2A00000445</v>
      </c>
      <c r="C534" t="s">
        <v>229</v>
      </c>
      <c r="D534" t="s">
        <v>85</v>
      </c>
      <c r="E534" t="s">
        <v>496</v>
      </c>
      <c r="F534">
        <v>40000</v>
      </c>
      <c r="G534" s="13">
        <v>45223</v>
      </c>
      <c r="H534" s="13">
        <v>45225</v>
      </c>
      <c r="I534">
        <v>22600</v>
      </c>
      <c r="J534">
        <v>3996.1100000000006</v>
      </c>
      <c r="K534">
        <v>26596.11</v>
      </c>
      <c r="N534">
        <v>29.166666666666668</v>
      </c>
      <c r="O534">
        <v>93.003399999999999</v>
      </c>
      <c r="P534">
        <v>66.490300000000005</v>
      </c>
      <c r="Q534">
        <v>92.75</v>
      </c>
      <c r="R534">
        <v>97</v>
      </c>
      <c r="S534">
        <v>92.75</v>
      </c>
      <c r="T534">
        <v>9.32</v>
      </c>
      <c r="U534">
        <v>5.4</v>
      </c>
      <c r="W534" t="s">
        <v>497</v>
      </c>
    </row>
    <row r="535" spans="1:23" x14ac:dyDescent="0.25">
      <c r="A535" t="s">
        <v>1037</v>
      </c>
      <c r="B535" t="str">
        <f t="shared" si="8"/>
        <v>CG2J00000446</v>
      </c>
      <c r="C535" t="s">
        <v>229</v>
      </c>
      <c r="D535" t="s">
        <v>85</v>
      </c>
      <c r="E535" t="s">
        <v>499</v>
      </c>
      <c r="F535">
        <v>26000</v>
      </c>
      <c r="G535" s="13">
        <v>45223</v>
      </c>
      <c r="H535" s="13">
        <v>45225</v>
      </c>
      <c r="I535">
        <v>4620.25</v>
      </c>
      <c r="J535">
        <v>4271.92</v>
      </c>
      <c r="K535">
        <v>8892.17</v>
      </c>
      <c r="N535">
        <v>25</v>
      </c>
      <c r="O535">
        <v>92.002200000000002</v>
      </c>
      <c r="P535">
        <v>34.200699999999998</v>
      </c>
      <c r="Q535">
        <v>92</v>
      </c>
      <c r="R535">
        <v>94</v>
      </c>
      <c r="S535">
        <v>92</v>
      </c>
      <c r="T535">
        <v>9</v>
      </c>
      <c r="U535">
        <v>5.9</v>
      </c>
      <c r="W535" t="s">
        <v>497</v>
      </c>
    </row>
    <row r="536" spans="1:23" x14ac:dyDescent="0.25">
      <c r="A536" t="s">
        <v>1038</v>
      </c>
      <c r="B536" t="str">
        <f t="shared" si="8"/>
        <v>CG2K00000153</v>
      </c>
      <c r="C536" t="s">
        <v>229</v>
      </c>
      <c r="D536" t="s">
        <v>85</v>
      </c>
      <c r="E536" t="s">
        <v>516</v>
      </c>
      <c r="F536">
        <v>7000</v>
      </c>
      <c r="G536" s="13">
        <v>45223</v>
      </c>
      <c r="H536" s="13">
        <v>45225</v>
      </c>
      <c r="I536">
        <v>2100</v>
      </c>
      <c r="J536">
        <v>50</v>
      </c>
      <c r="K536">
        <v>2150</v>
      </c>
      <c r="N536">
        <v>8.3333333333333321</v>
      </c>
      <c r="O536">
        <v>91.069800000000001</v>
      </c>
      <c r="P536">
        <v>30.714300000000001</v>
      </c>
      <c r="Q536">
        <v>91</v>
      </c>
      <c r="R536">
        <v>94</v>
      </c>
      <c r="S536">
        <v>91</v>
      </c>
      <c r="T536">
        <v>8.85</v>
      </c>
      <c r="U536">
        <v>6.15</v>
      </c>
      <c r="W536" t="s">
        <v>497</v>
      </c>
    </row>
    <row r="537" spans="1:23" x14ac:dyDescent="0.25">
      <c r="A537" t="s">
        <v>1039</v>
      </c>
      <c r="B537" t="str">
        <f t="shared" si="8"/>
        <v>CG2J00000453</v>
      </c>
      <c r="C537" t="s">
        <v>229</v>
      </c>
      <c r="D537" t="s">
        <v>85</v>
      </c>
      <c r="E537" t="s">
        <v>499</v>
      </c>
      <c r="F537">
        <v>67295</v>
      </c>
      <c r="G537" s="13">
        <v>45223</v>
      </c>
      <c r="H537" s="13">
        <v>45225</v>
      </c>
      <c r="J537">
        <v>67295</v>
      </c>
      <c r="K537">
        <v>67295</v>
      </c>
      <c r="P537">
        <v>100</v>
      </c>
      <c r="Q537">
        <v>100</v>
      </c>
      <c r="R537">
        <v>100</v>
      </c>
      <c r="S537">
        <v>100</v>
      </c>
      <c r="T537">
        <v>6</v>
      </c>
      <c r="U537">
        <v>6</v>
      </c>
      <c r="W537" t="s">
        <v>542</v>
      </c>
    </row>
    <row r="538" spans="1:23" x14ac:dyDescent="0.25">
      <c r="A538" t="s">
        <v>1040</v>
      </c>
      <c r="B538" t="str">
        <f t="shared" si="8"/>
        <v>CG2K00000161</v>
      </c>
      <c r="C538" t="s">
        <v>229</v>
      </c>
      <c r="D538" t="s">
        <v>85</v>
      </c>
      <c r="E538" t="s">
        <v>516</v>
      </c>
      <c r="F538">
        <v>67295</v>
      </c>
      <c r="G538" s="13">
        <v>45223</v>
      </c>
      <c r="H538" s="13">
        <v>45225</v>
      </c>
      <c r="J538">
        <v>67295</v>
      </c>
      <c r="K538">
        <v>67295</v>
      </c>
      <c r="P538">
        <v>100</v>
      </c>
      <c r="Q538">
        <v>100</v>
      </c>
      <c r="R538">
        <v>100</v>
      </c>
      <c r="S538">
        <v>100</v>
      </c>
      <c r="T538">
        <v>6</v>
      </c>
      <c r="U538">
        <v>6</v>
      </c>
      <c r="W538" t="s">
        <v>542</v>
      </c>
    </row>
    <row r="539" spans="1:23" x14ac:dyDescent="0.25">
      <c r="A539" t="s">
        <v>1041</v>
      </c>
      <c r="B539" t="str">
        <f t="shared" si="8"/>
        <v>CG2B00000154</v>
      </c>
      <c r="C539" t="s">
        <v>229</v>
      </c>
      <c r="D539" t="s">
        <v>85</v>
      </c>
      <c r="E539" t="s">
        <v>507</v>
      </c>
      <c r="F539">
        <v>67295</v>
      </c>
      <c r="G539" s="13">
        <v>45223</v>
      </c>
      <c r="H539" s="13">
        <v>45225</v>
      </c>
      <c r="J539">
        <v>67295</v>
      </c>
      <c r="K539">
        <v>67295</v>
      </c>
      <c r="P539">
        <v>100</v>
      </c>
      <c r="Q539">
        <v>100</v>
      </c>
      <c r="R539">
        <v>100</v>
      </c>
      <c r="S539">
        <v>100</v>
      </c>
      <c r="T539">
        <v>6</v>
      </c>
      <c r="U539">
        <v>6</v>
      </c>
      <c r="W539" t="s">
        <v>542</v>
      </c>
    </row>
    <row r="540" spans="1:23" x14ac:dyDescent="0.25">
      <c r="A540" t="s">
        <v>1042</v>
      </c>
      <c r="B540" t="str">
        <f t="shared" si="8"/>
        <v>CG2L00000038</v>
      </c>
      <c r="C540" t="s">
        <v>229</v>
      </c>
      <c r="D540" t="s">
        <v>85</v>
      </c>
      <c r="E540" t="s">
        <v>547</v>
      </c>
      <c r="F540">
        <v>67295</v>
      </c>
      <c r="G540" s="13">
        <v>45223</v>
      </c>
      <c r="H540" s="13">
        <v>45225</v>
      </c>
      <c r="J540">
        <v>67295</v>
      </c>
      <c r="K540">
        <v>67295</v>
      </c>
      <c r="P540">
        <v>100</v>
      </c>
      <c r="Q540">
        <v>100</v>
      </c>
      <c r="R540">
        <v>100</v>
      </c>
      <c r="S540">
        <v>100</v>
      </c>
      <c r="T540">
        <v>6</v>
      </c>
      <c r="U540">
        <v>6</v>
      </c>
      <c r="W540" t="s">
        <v>542</v>
      </c>
    </row>
    <row r="541" spans="1:23" x14ac:dyDescent="0.25">
      <c r="A541" t="s">
        <v>1043</v>
      </c>
      <c r="B541" t="str">
        <f t="shared" si="8"/>
        <v>TD2J00000447</v>
      </c>
      <c r="C541" t="s">
        <v>237</v>
      </c>
      <c r="D541" t="s">
        <v>85</v>
      </c>
      <c r="E541" t="s">
        <v>499</v>
      </c>
      <c r="F541">
        <v>10000</v>
      </c>
      <c r="G541" s="13">
        <v>45224</v>
      </c>
      <c r="H541" s="13">
        <v>45226</v>
      </c>
      <c r="I541">
        <v>0</v>
      </c>
      <c r="J541">
        <v>10000</v>
      </c>
      <c r="K541">
        <v>10000</v>
      </c>
      <c r="N541">
        <v>41.666666666666671</v>
      </c>
      <c r="O541">
        <v>91.4285</v>
      </c>
      <c r="P541">
        <v>183.2038</v>
      </c>
      <c r="Q541">
        <v>90.5</v>
      </c>
      <c r="R541">
        <v>92.75</v>
      </c>
      <c r="S541">
        <v>90</v>
      </c>
      <c r="T541">
        <v>9.8699999999999992</v>
      </c>
      <c r="U541">
        <v>6.5</v>
      </c>
      <c r="W541" t="s">
        <v>497</v>
      </c>
    </row>
    <row r="542" spans="1:23" x14ac:dyDescent="0.25">
      <c r="A542" t="s">
        <v>1044</v>
      </c>
      <c r="B542" t="str">
        <f t="shared" si="8"/>
        <v>CG2J00000446</v>
      </c>
      <c r="C542" t="s">
        <v>229</v>
      </c>
      <c r="D542" t="s">
        <v>85</v>
      </c>
      <c r="E542" t="s">
        <v>499</v>
      </c>
      <c r="F542">
        <v>15000</v>
      </c>
      <c r="G542" s="13">
        <v>45230</v>
      </c>
      <c r="H542" s="13">
        <v>45232</v>
      </c>
      <c r="I542">
        <v>4150</v>
      </c>
      <c r="J542">
        <v>30</v>
      </c>
      <c r="K542">
        <v>4180</v>
      </c>
      <c r="N542">
        <v>12.5</v>
      </c>
      <c r="O542">
        <v>91.121799999999993</v>
      </c>
      <c r="P542">
        <v>27.949300000000001</v>
      </c>
      <c r="Q542">
        <v>91</v>
      </c>
      <c r="R542">
        <v>92</v>
      </c>
      <c r="S542">
        <v>90</v>
      </c>
      <c r="T542">
        <v>9.36</v>
      </c>
      <c r="U542">
        <v>5.9</v>
      </c>
      <c r="W542" t="s">
        <v>497</v>
      </c>
    </row>
    <row r="543" spans="1:23" x14ac:dyDescent="0.25">
      <c r="A543" t="s">
        <v>1045</v>
      </c>
      <c r="B543" t="str">
        <f t="shared" si="8"/>
        <v>CG2A00000452</v>
      </c>
      <c r="C543" t="s">
        <v>229</v>
      </c>
      <c r="D543" t="s">
        <v>85</v>
      </c>
      <c r="E543" t="s">
        <v>496</v>
      </c>
      <c r="F543">
        <v>25000</v>
      </c>
      <c r="G543" s="13">
        <v>45230</v>
      </c>
      <c r="H543" s="13">
        <v>45232</v>
      </c>
      <c r="I543">
        <v>23590</v>
      </c>
      <c r="J543">
        <v>1410</v>
      </c>
      <c r="K543">
        <v>25000</v>
      </c>
      <c r="N543">
        <v>16.666666666666664</v>
      </c>
      <c r="O543">
        <v>91.1036</v>
      </c>
      <c r="P543">
        <v>113.64</v>
      </c>
      <c r="Q543">
        <v>91.05</v>
      </c>
      <c r="R543">
        <v>92</v>
      </c>
      <c r="S543">
        <v>90</v>
      </c>
      <c r="T543">
        <v>10.66</v>
      </c>
      <c r="U543">
        <v>5.6</v>
      </c>
      <c r="W543" t="s">
        <v>497</v>
      </c>
    </row>
    <row r="544" spans="1:23" x14ac:dyDescent="0.25">
      <c r="A544" t="s">
        <v>1046</v>
      </c>
      <c r="B544" t="str">
        <f t="shared" si="8"/>
        <v>TD2J00000454</v>
      </c>
      <c r="C544" t="s">
        <v>237</v>
      </c>
      <c r="D544" t="s">
        <v>85</v>
      </c>
      <c r="E544" t="s">
        <v>499</v>
      </c>
      <c r="F544">
        <v>15000</v>
      </c>
      <c r="G544" s="13">
        <v>45231</v>
      </c>
      <c r="H544" s="13">
        <v>45233</v>
      </c>
      <c r="I544">
        <v>0</v>
      </c>
      <c r="J544">
        <v>6551.74</v>
      </c>
      <c r="K544">
        <v>6551.74</v>
      </c>
      <c r="N544">
        <v>41.666666666666671</v>
      </c>
      <c r="O544">
        <v>90.414699999999996</v>
      </c>
      <c r="P544">
        <v>43.6783</v>
      </c>
      <c r="Q544">
        <v>90</v>
      </c>
      <c r="R544">
        <v>95</v>
      </c>
      <c r="S544">
        <v>90</v>
      </c>
      <c r="T544">
        <v>10.3</v>
      </c>
      <c r="U544">
        <v>6.5</v>
      </c>
      <c r="W544" t="s">
        <v>497</v>
      </c>
    </row>
    <row r="545" spans="1:23" x14ac:dyDescent="0.25">
      <c r="A545" t="s">
        <v>1047</v>
      </c>
      <c r="B545" t="str">
        <f t="shared" si="8"/>
        <v>CG2A00000452</v>
      </c>
      <c r="C545" t="s">
        <v>229</v>
      </c>
      <c r="D545" t="s">
        <v>85</v>
      </c>
      <c r="E545" t="s">
        <v>496</v>
      </c>
      <c r="F545">
        <v>5000</v>
      </c>
      <c r="G545" s="13">
        <v>45238</v>
      </c>
      <c r="H545" s="13">
        <v>45240</v>
      </c>
      <c r="I545">
        <v>1410</v>
      </c>
      <c r="J545">
        <v>0</v>
      </c>
      <c r="K545">
        <v>1410</v>
      </c>
      <c r="N545">
        <v>12.5</v>
      </c>
      <c r="O545">
        <v>91.1571</v>
      </c>
      <c r="P545">
        <v>48.4</v>
      </c>
      <c r="Q545">
        <v>91.05</v>
      </c>
      <c r="R545">
        <v>91.05</v>
      </c>
      <c r="S545">
        <v>90</v>
      </c>
      <c r="T545">
        <v>10.62</v>
      </c>
      <c r="U545">
        <v>5.6</v>
      </c>
      <c r="W545" t="s">
        <v>497</v>
      </c>
    </row>
    <row r="546" spans="1:23" x14ac:dyDescent="0.25">
      <c r="A546" t="s">
        <v>1048</v>
      </c>
      <c r="B546" t="str">
        <f t="shared" si="8"/>
        <v>GA2K00000066</v>
      </c>
      <c r="C546" t="s">
        <v>227</v>
      </c>
      <c r="D546" t="s">
        <v>85</v>
      </c>
      <c r="E546" t="s">
        <v>516</v>
      </c>
      <c r="F546">
        <v>8000</v>
      </c>
      <c r="G546" s="13">
        <v>45238</v>
      </c>
      <c r="H546" s="13">
        <v>45240</v>
      </c>
      <c r="I546">
        <v>7887</v>
      </c>
      <c r="J546">
        <v>113</v>
      </c>
      <c r="K546">
        <v>8000</v>
      </c>
      <c r="N546">
        <v>19.047619047619047</v>
      </c>
      <c r="O546">
        <v>95.096999999999994</v>
      </c>
      <c r="P546">
        <v>114.4669</v>
      </c>
      <c r="Q546">
        <v>88</v>
      </c>
      <c r="R546">
        <v>93</v>
      </c>
      <c r="S546">
        <v>88</v>
      </c>
      <c r="T546">
        <v>7.61</v>
      </c>
      <c r="U546">
        <v>5.75</v>
      </c>
      <c r="W546" t="s">
        <v>497</v>
      </c>
    </row>
    <row r="547" spans="1:23" x14ac:dyDescent="0.25">
      <c r="A547" t="s">
        <v>1049</v>
      </c>
      <c r="B547" t="str">
        <f t="shared" si="8"/>
        <v>GA2K00000058</v>
      </c>
      <c r="C547" t="s">
        <v>227</v>
      </c>
      <c r="D547" t="s">
        <v>85</v>
      </c>
      <c r="E547" t="s">
        <v>516</v>
      </c>
      <c r="F547">
        <v>15000</v>
      </c>
      <c r="G547" s="13">
        <v>45238</v>
      </c>
      <c r="H547" s="13">
        <v>45240</v>
      </c>
      <c r="I547">
        <v>13000</v>
      </c>
      <c r="J547">
        <v>2000</v>
      </c>
      <c r="K547">
        <v>15000</v>
      </c>
      <c r="N547">
        <v>19.047619047619047</v>
      </c>
      <c r="O547">
        <v>95.6173</v>
      </c>
      <c r="P547">
        <v>106.83329999999999</v>
      </c>
      <c r="Q547">
        <v>89</v>
      </c>
      <c r="R547">
        <v>92.5</v>
      </c>
      <c r="S547">
        <v>89</v>
      </c>
      <c r="T547">
        <v>7.41</v>
      </c>
      <c r="U547">
        <v>5.75</v>
      </c>
      <c r="W547" t="s">
        <v>497</v>
      </c>
    </row>
    <row r="548" spans="1:23" x14ac:dyDescent="0.25">
      <c r="A548" t="s">
        <v>1050</v>
      </c>
      <c r="B548" t="str">
        <f t="shared" si="8"/>
        <v>TD2J00000462</v>
      </c>
      <c r="C548" t="s">
        <v>237</v>
      </c>
      <c r="D548" t="s">
        <v>85</v>
      </c>
      <c r="E548" t="s">
        <v>499</v>
      </c>
      <c r="F548">
        <v>15000</v>
      </c>
      <c r="G548" s="13">
        <v>45238</v>
      </c>
      <c r="H548" s="13">
        <v>45240</v>
      </c>
      <c r="I548">
        <v>0</v>
      </c>
      <c r="J548">
        <v>7016.25</v>
      </c>
      <c r="K548">
        <v>7016.25</v>
      </c>
      <c r="N548">
        <v>33.333333333333329</v>
      </c>
      <c r="O548">
        <v>90.073599999999999</v>
      </c>
      <c r="P548">
        <v>46.774999999999999</v>
      </c>
      <c r="Q548">
        <v>90</v>
      </c>
      <c r="R548">
        <v>92</v>
      </c>
      <c r="S548">
        <v>90</v>
      </c>
      <c r="T548">
        <v>10.44</v>
      </c>
      <c r="U548">
        <v>6.5</v>
      </c>
      <c r="W548" t="s">
        <v>497</v>
      </c>
    </row>
    <row r="549" spans="1:23" x14ac:dyDescent="0.25">
      <c r="A549" t="s">
        <v>1051</v>
      </c>
      <c r="B549" t="str">
        <f t="shared" si="8"/>
        <v>TD2J00000470</v>
      </c>
      <c r="C549" t="s">
        <v>237</v>
      </c>
      <c r="D549" t="s">
        <v>85</v>
      </c>
      <c r="E549" t="s">
        <v>499</v>
      </c>
      <c r="F549">
        <v>20000</v>
      </c>
      <c r="G549" s="13">
        <v>45245</v>
      </c>
      <c r="H549" s="13">
        <v>45247</v>
      </c>
      <c r="I549">
        <v>11414.08</v>
      </c>
      <c r="J549">
        <v>8585.92</v>
      </c>
      <c r="K549">
        <v>20000</v>
      </c>
      <c r="N549">
        <v>41.666666666666671</v>
      </c>
      <c r="O549">
        <v>90.018799999999999</v>
      </c>
      <c r="P549">
        <v>102.4423</v>
      </c>
      <c r="Q549">
        <v>90</v>
      </c>
      <c r="R549">
        <v>90.75</v>
      </c>
      <c r="S549">
        <v>90</v>
      </c>
      <c r="T549">
        <v>10.46</v>
      </c>
      <c r="U549">
        <v>6.5</v>
      </c>
      <c r="W549" t="s">
        <v>497</v>
      </c>
    </row>
    <row r="550" spans="1:23" x14ac:dyDescent="0.25">
      <c r="A550" t="s">
        <v>1052</v>
      </c>
      <c r="B550" t="str">
        <f t="shared" si="8"/>
        <v>CG2J00000461</v>
      </c>
      <c r="C550" t="s">
        <v>229</v>
      </c>
      <c r="D550" t="s">
        <v>85</v>
      </c>
      <c r="E550" t="s">
        <v>499</v>
      </c>
      <c r="F550">
        <v>15000</v>
      </c>
      <c r="G550" s="13">
        <v>45251</v>
      </c>
      <c r="H550" s="13">
        <v>45253</v>
      </c>
      <c r="J550">
        <v>0</v>
      </c>
      <c r="N550">
        <v>0</v>
      </c>
      <c r="T550" t="s">
        <v>946</v>
      </c>
      <c r="U550">
        <v>5.9</v>
      </c>
      <c r="W550" t="s">
        <v>497</v>
      </c>
    </row>
    <row r="551" spans="1:23" x14ac:dyDescent="0.25">
      <c r="A551" t="s">
        <v>1053</v>
      </c>
      <c r="B551" t="str">
        <f t="shared" si="8"/>
        <v>TD2A00000677</v>
      </c>
      <c r="C551" t="s">
        <v>237</v>
      </c>
      <c r="D551" t="s">
        <v>85</v>
      </c>
      <c r="E551" t="s">
        <v>496</v>
      </c>
      <c r="F551">
        <v>30000</v>
      </c>
      <c r="G551" s="13">
        <v>45252</v>
      </c>
      <c r="H551" s="13">
        <v>45254</v>
      </c>
      <c r="I551">
        <v>10100</v>
      </c>
      <c r="J551">
        <v>7438.1100000000006</v>
      </c>
      <c r="K551">
        <v>17538.11</v>
      </c>
      <c r="N551">
        <v>33.333333333333329</v>
      </c>
      <c r="O551">
        <v>91.885599999999997</v>
      </c>
      <c r="P551">
        <v>58.4604</v>
      </c>
      <c r="Q551">
        <v>90</v>
      </c>
      <c r="R551">
        <v>92.5</v>
      </c>
      <c r="S551">
        <v>90</v>
      </c>
      <c r="T551">
        <v>10.61</v>
      </c>
      <c r="U551">
        <v>6</v>
      </c>
      <c r="W551" t="s">
        <v>497</v>
      </c>
    </row>
    <row r="552" spans="1:23" x14ac:dyDescent="0.25">
      <c r="A552" t="s">
        <v>1054</v>
      </c>
      <c r="B552" t="str">
        <f t="shared" si="8"/>
        <v>CF2J00000091</v>
      </c>
      <c r="C552" t="s">
        <v>634</v>
      </c>
      <c r="D552" t="s">
        <v>85</v>
      </c>
      <c r="E552" t="s">
        <v>499</v>
      </c>
      <c r="F552">
        <v>15000</v>
      </c>
      <c r="G552" s="13">
        <v>45257</v>
      </c>
      <c r="H552" s="13">
        <v>45259</v>
      </c>
      <c r="I552">
        <v>14946</v>
      </c>
      <c r="J552">
        <v>54</v>
      </c>
      <c r="K552">
        <v>15000</v>
      </c>
      <c r="N552">
        <v>44.444444444444443</v>
      </c>
      <c r="O552">
        <v>91.646699999999996</v>
      </c>
      <c r="P552">
        <v>107.0367</v>
      </c>
      <c r="Q552">
        <v>90</v>
      </c>
      <c r="R552">
        <v>100</v>
      </c>
      <c r="S552">
        <v>85</v>
      </c>
      <c r="T552">
        <v>9.52</v>
      </c>
      <c r="U552">
        <v>6.25</v>
      </c>
      <c r="W552" t="s">
        <v>497</v>
      </c>
    </row>
    <row r="553" spans="1:23" x14ac:dyDescent="0.25">
      <c r="A553" t="s">
        <v>1055</v>
      </c>
      <c r="B553" t="str">
        <f t="shared" si="8"/>
        <v>CF2K00000049</v>
      </c>
      <c r="C553" t="s">
        <v>634</v>
      </c>
      <c r="D553" t="s">
        <v>85</v>
      </c>
      <c r="E553" t="s">
        <v>516</v>
      </c>
      <c r="F553">
        <v>7500</v>
      </c>
      <c r="G553" s="13">
        <v>45257</v>
      </c>
      <c r="H553" s="13">
        <v>45259</v>
      </c>
      <c r="I553">
        <v>5000</v>
      </c>
      <c r="J553">
        <v>0</v>
      </c>
      <c r="K553">
        <v>5000</v>
      </c>
      <c r="N553">
        <v>22.222222222222221</v>
      </c>
      <c r="O553">
        <v>90</v>
      </c>
      <c r="P553">
        <v>66.666700000000006</v>
      </c>
      <c r="Q553">
        <v>90</v>
      </c>
      <c r="R553">
        <v>90</v>
      </c>
      <c r="S553">
        <v>90</v>
      </c>
      <c r="T553">
        <v>9.57</v>
      </c>
      <c r="U553">
        <v>6.5</v>
      </c>
      <c r="W553" t="s">
        <v>497</v>
      </c>
    </row>
    <row r="554" spans="1:23" x14ac:dyDescent="0.25">
      <c r="A554" t="s">
        <v>1056</v>
      </c>
      <c r="B554" t="str">
        <f t="shared" si="8"/>
        <v>CG2A00000460</v>
      </c>
      <c r="C554" t="s">
        <v>229</v>
      </c>
      <c r="D554" t="s">
        <v>85</v>
      </c>
      <c r="E554" t="s">
        <v>496</v>
      </c>
      <c r="F554">
        <v>5000</v>
      </c>
      <c r="G554" s="13">
        <v>45258</v>
      </c>
      <c r="H554" s="13">
        <v>45260</v>
      </c>
      <c r="J554">
        <v>0</v>
      </c>
      <c r="N554">
        <v>0</v>
      </c>
      <c r="T554" t="s">
        <v>946</v>
      </c>
      <c r="W554" t="s">
        <v>497</v>
      </c>
    </row>
    <row r="555" spans="1:23" x14ac:dyDescent="0.25">
      <c r="A555" t="s">
        <v>1057</v>
      </c>
      <c r="B555" t="str">
        <f t="shared" si="8"/>
        <v>CG2B00000162</v>
      </c>
      <c r="C555" t="s">
        <v>229</v>
      </c>
      <c r="D555" t="s">
        <v>85</v>
      </c>
      <c r="E555" t="s">
        <v>507</v>
      </c>
      <c r="F555">
        <v>10000</v>
      </c>
      <c r="G555" s="13">
        <v>45258</v>
      </c>
      <c r="H555" s="13">
        <v>45260</v>
      </c>
      <c r="I555">
        <v>9961.2999999999993</v>
      </c>
      <c r="J555">
        <v>38.700000000000728</v>
      </c>
      <c r="K555">
        <v>10000</v>
      </c>
      <c r="N555">
        <v>16.666666666666664</v>
      </c>
      <c r="O555">
        <v>90.006699999999995</v>
      </c>
      <c r="P555">
        <v>100.387</v>
      </c>
      <c r="Q555">
        <v>90</v>
      </c>
      <c r="R555">
        <v>92</v>
      </c>
      <c r="S555">
        <v>90</v>
      </c>
      <c r="T555">
        <v>9.0299999999999994</v>
      </c>
      <c r="U555">
        <v>6.5</v>
      </c>
      <c r="W555" t="s">
        <v>497</v>
      </c>
    </row>
    <row r="556" spans="1:23" x14ac:dyDescent="0.25">
      <c r="A556" t="s">
        <v>1058</v>
      </c>
      <c r="B556" t="str">
        <f t="shared" si="8"/>
        <v>CG2J00000479</v>
      </c>
      <c r="C556" t="s">
        <v>229</v>
      </c>
      <c r="D556" t="s">
        <v>85</v>
      </c>
      <c r="E556" t="s">
        <v>499</v>
      </c>
      <c r="F556">
        <v>10000</v>
      </c>
      <c r="G556" s="13">
        <v>45258</v>
      </c>
      <c r="H556" s="13">
        <v>45260</v>
      </c>
      <c r="I556">
        <v>10000</v>
      </c>
      <c r="J556">
        <v>0</v>
      </c>
      <c r="K556">
        <v>10000</v>
      </c>
      <c r="N556">
        <v>12.5</v>
      </c>
      <c r="O556">
        <v>92</v>
      </c>
      <c r="P556">
        <v>102.065</v>
      </c>
      <c r="Q556">
        <v>92</v>
      </c>
      <c r="R556">
        <v>92</v>
      </c>
      <c r="S556">
        <v>88</v>
      </c>
      <c r="T556">
        <v>9.11</v>
      </c>
      <c r="U556">
        <v>6</v>
      </c>
      <c r="W556" t="s">
        <v>497</v>
      </c>
    </row>
    <row r="557" spans="1:23" x14ac:dyDescent="0.25">
      <c r="A557" t="s">
        <v>1059</v>
      </c>
      <c r="B557" t="str">
        <f t="shared" si="8"/>
        <v>TD2J00000488</v>
      </c>
      <c r="C557" t="s">
        <v>237</v>
      </c>
      <c r="D557" t="s">
        <v>85</v>
      </c>
      <c r="E557" t="s">
        <v>499</v>
      </c>
      <c r="F557">
        <v>20000</v>
      </c>
      <c r="G557" s="13">
        <v>45259</v>
      </c>
      <c r="H557" s="13">
        <v>45261</v>
      </c>
      <c r="J557">
        <v>6071.79</v>
      </c>
      <c r="K557">
        <v>6071.79</v>
      </c>
      <c r="N557">
        <v>16.666666666666664</v>
      </c>
      <c r="O557">
        <v>90.026200000000003</v>
      </c>
      <c r="P557">
        <v>30.358899999999998</v>
      </c>
      <c r="Q557">
        <v>90</v>
      </c>
      <c r="R557">
        <v>95</v>
      </c>
      <c r="S557">
        <v>90</v>
      </c>
      <c r="T557">
        <v>10.46</v>
      </c>
      <c r="U557">
        <v>6.5</v>
      </c>
      <c r="W557" t="s">
        <v>497</v>
      </c>
    </row>
    <row r="558" spans="1:23" x14ac:dyDescent="0.25">
      <c r="A558" t="s">
        <v>1060</v>
      </c>
      <c r="B558" t="str">
        <f t="shared" si="8"/>
        <v>GA2A00000191</v>
      </c>
      <c r="C558" t="s">
        <v>227</v>
      </c>
      <c r="D558" t="s">
        <v>85</v>
      </c>
      <c r="E558" t="s">
        <v>496</v>
      </c>
      <c r="F558">
        <v>70000</v>
      </c>
      <c r="G558" s="13">
        <v>45259</v>
      </c>
      <c r="H558" s="13">
        <v>45261</v>
      </c>
      <c r="I558">
        <v>47510</v>
      </c>
      <c r="J558">
        <v>12000</v>
      </c>
      <c r="K558">
        <v>59510</v>
      </c>
      <c r="N558">
        <v>14.285714285714285</v>
      </c>
      <c r="O558">
        <v>91.5</v>
      </c>
      <c r="P558">
        <v>85.014300000000006</v>
      </c>
      <c r="Q558">
        <v>91.5</v>
      </c>
      <c r="R558">
        <v>91.5</v>
      </c>
      <c r="S558">
        <v>91.5</v>
      </c>
      <c r="T558">
        <v>9.7799999999999994</v>
      </c>
      <c r="U558">
        <v>5</v>
      </c>
      <c r="W558" t="s">
        <v>875</v>
      </c>
    </row>
    <row r="559" spans="1:23" x14ac:dyDescent="0.25">
      <c r="A559" t="s">
        <v>1061</v>
      </c>
      <c r="B559" t="str">
        <f t="shared" si="8"/>
        <v>GA2J00000333</v>
      </c>
      <c r="C559" t="s">
        <v>227</v>
      </c>
      <c r="D559" t="s">
        <v>85</v>
      </c>
      <c r="E559" t="s">
        <v>499</v>
      </c>
      <c r="F559">
        <v>70000</v>
      </c>
      <c r="G559" s="13">
        <v>45259</v>
      </c>
      <c r="H559" s="13">
        <v>45261</v>
      </c>
      <c r="I559">
        <v>40055</v>
      </c>
      <c r="J559">
        <v>9000</v>
      </c>
      <c r="K559">
        <v>49055</v>
      </c>
      <c r="N559">
        <v>14.285714285714285</v>
      </c>
      <c r="O559">
        <v>90.5</v>
      </c>
      <c r="P559">
        <v>70.078599999999994</v>
      </c>
      <c r="Q559">
        <v>90.5</v>
      </c>
      <c r="R559">
        <v>90.5</v>
      </c>
      <c r="S559">
        <v>90.5</v>
      </c>
      <c r="T559">
        <v>9.1999999999999993</v>
      </c>
      <c r="U559">
        <v>5.5</v>
      </c>
      <c r="W559" t="s">
        <v>875</v>
      </c>
    </row>
    <row r="560" spans="1:23" x14ac:dyDescent="0.25">
      <c r="A560" t="s">
        <v>1062</v>
      </c>
      <c r="B560" t="str">
        <f t="shared" si="8"/>
        <v>GA2K00000090</v>
      </c>
      <c r="C560" t="s">
        <v>227</v>
      </c>
      <c r="D560" t="s">
        <v>85</v>
      </c>
      <c r="E560" t="s">
        <v>516</v>
      </c>
      <c r="F560">
        <v>14000</v>
      </c>
      <c r="G560" s="13">
        <v>45259</v>
      </c>
      <c r="H560" s="13">
        <v>45261</v>
      </c>
      <c r="I560">
        <v>6845.25</v>
      </c>
      <c r="J560">
        <v>0</v>
      </c>
      <c r="K560">
        <v>6845.25</v>
      </c>
      <c r="N560">
        <v>9.5238095238095237</v>
      </c>
      <c r="O560">
        <v>90</v>
      </c>
      <c r="P560">
        <v>48.894599999999997</v>
      </c>
      <c r="Q560">
        <v>90</v>
      </c>
      <c r="R560">
        <v>90</v>
      </c>
      <c r="S560">
        <v>90</v>
      </c>
      <c r="T560">
        <v>9.3000000000000007</v>
      </c>
      <c r="U560">
        <v>6.25</v>
      </c>
      <c r="W560" t="s">
        <v>875</v>
      </c>
    </row>
    <row r="561" spans="1:23" x14ac:dyDescent="0.25">
      <c r="A561" t="s">
        <v>1063</v>
      </c>
      <c r="B561" t="str">
        <f t="shared" si="8"/>
        <v>GA2B00000166</v>
      </c>
      <c r="C561" t="s">
        <v>227</v>
      </c>
      <c r="D561" t="s">
        <v>85</v>
      </c>
      <c r="E561" t="s">
        <v>507</v>
      </c>
      <c r="F561">
        <v>5000</v>
      </c>
      <c r="G561" s="13">
        <v>45259</v>
      </c>
      <c r="H561" s="13">
        <v>45261</v>
      </c>
      <c r="I561">
        <v>3920.87</v>
      </c>
      <c r="J561">
        <v>0</v>
      </c>
      <c r="K561">
        <v>3920.87</v>
      </c>
      <c r="N561">
        <v>4.7619047619047619</v>
      </c>
      <c r="O561">
        <v>90</v>
      </c>
      <c r="P561">
        <v>78.417400000000001</v>
      </c>
      <c r="Q561">
        <v>90</v>
      </c>
      <c r="R561">
        <v>90</v>
      </c>
      <c r="S561">
        <v>90</v>
      </c>
      <c r="T561">
        <v>9.3000000000000007</v>
      </c>
      <c r="U561">
        <v>6.75</v>
      </c>
      <c r="W561" t="s">
        <v>875</v>
      </c>
    </row>
    <row r="562" spans="1:23" x14ac:dyDescent="0.25">
      <c r="A562" t="s">
        <v>1064</v>
      </c>
      <c r="B562" t="str">
        <f t="shared" si="8"/>
        <v>GA2C00000058</v>
      </c>
      <c r="C562" t="s">
        <v>227</v>
      </c>
      <c r="D562" t="s">
        <v>85</v>
      </c>
      <c r="E562" t="s">
        <v>549</v>
      </c>
      <c r="F562">
        <v>5000</v>
      </c>
      <c r="G562" s="13">
        <v>45259</v>
      </c>
      <c r="H562" s="13">
        <v>45261</v>
      </c>
      <c r="I562">
        <v>800</v>
      </c>
      <c r="J562">
        <v>0</v>
      </c>
      <c r="K562">
        <v>800</v>
      </c>
      <c r="N562">
        <v>9.5238095238095237</v>
      </c>
      <c r="O562">
        <v>90</v>
      </c>
      <c r="P562">
        <v>16</v>
      </c>
      <c r="Q562">
        <v>90</v>
      </c>
      <c r="R562">
        <v>90</v>
      </c>
      <c r="S562">
        <v>90</v>
      </c>
      <c r="T562">
        <v>9.49</v>
      </c>
      <c r="U562">
        <v>7.5</v>
      </c>
      <c r="W562" t="s">
        <v>875</v>
      </c>
    </row>
    <row r="563" spans="1:23" x14ac:dyDescent="0.25">
      <c r="A563" t="s">
        <v>1065</v>
      </c>
      <c r="B563" t="str">
        <f t="shared" si="8"/>
        <v>CG2J00000479</v>
      </c>
      <c r="C563" t="s">
        <v>229</v>
      </c>
      <c r="D563" t="s">
        <v>85</v>
      </c>
      <c r="E563" t="s">
        <v>499</v>
      </c>
      <c r="F563">
        <v>10000</v>
      </c>
      <c r="G563" s="13">
        <v>45265</v>
      </c>
      <c r="H563" s="13">
        <v>45267</v>
      </c>
      <c r="I563">
        <v>1437.8</v>
      </c>
      <c r="J563">
        <v>1112.0000000000002</v>
      </c>
      <c r="K563">
        <v>2549.8000000000002</v>
      </c>
      <c r="N563">
        <v>16.666666666666664</v>
      </c>
      <c r="O563">
        <v>90</v>
      </c>
      <c r="P563">
        <v>25.498000000000001</v>
      </c>
      <c r="Q563">
        <v>90</v>
      </c>
      <c r="R563">
        <v>95</v>
      </c>
      <c r="S563">
        <v>90</v>
      </c>
      <c r="T563">
        <v>9.3800000000000008</v>
      </c>
      <c r="U563">
        <v>6</v>
      </c>
      <c r="W563" t="s">
        <v>497</v>
      </c>
    </row>
    <row r="564" spans="1:23" x14ac:dyDescent="0.25">
      <c r="A564" t="s">
        <v>1066</v>
      </c>
      <c r="B564" t="str">
        <f t="shared" si="8"/>
        <v>CG2J00000487</v>
      </c>
      <c r="C564" t="s">
        <v>229</v>
      </c>
      <c r="D564" t="s">
        <v>85</v>
      </c>
      <c r="E564" t="s">
        <v>499</v>
      </c>
      <c r="F564">
        <v>15000</v>
      </c>
      <c r="G564" s="13">
        <v>45272</v>
      </c>
      <c r="H564" s="13">
        <v>45274</v>
      </c>
      <c r="I564">
        <v>1299.3</v>
      </c>
      <c r="J564">
        <v>1800.0000000000002</v>
      </c>
      <c r="K564">
        <v>3099.3</v>
      </c>
      <c r="N564">
        <v>20.833333333333336</v>
      </c>
      <c r="O564">
        <v>92</v>
      </c>
      <c r="P564">
        <v>24.062000000000001</v>
      </c>
      <c r="Q564">
        <v>92</v>
      </c>
      <c r="R564">
        <v>92</v>
      </c>
      <c r="S564">
        <v>88</v>
      </c>
      <c r="T564">
        <v>9.11</v>
      </c>
      <c r="U564">
        <v>6</v>
      </c>
      <c r="W564" t="s">
        <v>497</v>
      </c>
    </row>
    <row r="565" spans="1:23" x14ac:dyDescent="0.25">
      <c r="A565" t="s">
        <v>1067</v>
      </c>
      <c r="B565" t="str">
        <f t="shared" si="8"/>
        <v>GA2B00000174</v>
      </c>
      <c r="C565" t="s">
        <v>227</v>
      </c>
      <c r="D565" t="s">
        <v>85</v>
      </c>
      <c r="E565" t="s">
        <v>507</v>
      </c>
      <c r="F565">
        <v>10000</v>
      </c>
      <c r="G565" s="13">
        <v>45273</v>
      </c>
      <c r="H565" s="13">
        <v>45275</v>
      </c>
      <c r="I565">
        <v>500</v>
      </c>
      <c r="J565">
        <v>8099</v>
      </c>
      <c r="K565">
        <v>8599</v>
      </c>
      <c r="N565">
        <v>19.047619047619047</v>
      </c>
      <c r="O565">
        <v>90.595100000000002</v>
      </c>
      <c r="P565">
        <v>85.99</v>
      </c>
      <c r="Q565">
        <v>90</v>
      </c>
      <c r="R565">
        <v>94</v>
      </c>
      <c r="S565">
        <v>90</v>
      </c>
      <c r="T565">
        <v>8.8699999999999992</v>
      </c>
      <c r="U565">
        <v>6.5</v>
      </c>
      <c r="W565" t="s">
        <v>497</v>
      </c>
    </row>
    <row r="566" spans="1:23" x14ac:dyDescent="0.25">
      <c r="A566" t="s">
        <v>1068</v>
      </c>
      <c r="B566" t="str">
        <f t="shared" si="8"/>
        <v>TD2A00000685</v>
      </c>
      <c r="C566" t="s">
        <v>237</v>
      </c>
      <c r="D566" t="s">
        <v>85</v>
      </c>
      <c r="E566" t="s">
        <v>496</v>
      </c>
      <c r="F566">
        <v>30000</v>
      </c>
      <c r="G566" s="13">
        <v>45273</v>
      </c>
      <c r="H566" s="13">
        <v>45275</v>
      </c>
      <c r="I566">
        <v>0</v>
      </c>
      <c r="J566">
        <v>9126.7900000000009</v>
      </c>
      <c r="K566">
        <v>9126.7900000000009</v>
      </c>
      <c r="N566">
        <v>33.333333333333329</v>
      </c>
      <c r="O566">
        <v>90.118499999999997</v>
      </c>
      <c r="P566">
        <v>30.422599999999999</v>
      </c>
      <c r="Q566">
        <v>90</v>
      </c>
      <c r="R566">
        <v>95</v>
      </c>
      <c r="S566">
        <v>90</v>
      </c>
      <c r="T566">
        <v>11.68</v>
      </c>
      <c r="U566">
        <v>6</v>
      </c>
      <c r="W566" t="s">
        <v>497</v>
      </c>
    </row>
    <row r="567" spans="1:23" x14ac:dyDescent="0.25">
      <c r="A567" t="s">
        <v>1069</v>
      </c>
      <c r="B567" t="str">
        <f t="shared" si="8"/>
        <v>CM2A00000104</v>
      </c>
      <c r="C567" t="s">
        <v>225</v>
      </c>
      <c r="D567" t="s">
        <v>85</v>
      </c>
      <c r="E567" t="s">
        <v>496</v>
      </c>
      <c r="F567">
        <v>30000</v>
      </c>
      <c r="G567" s="13">
        <v>45278</v>
      </c>
      <c r="H567" s="13">
        <v>45280</v>
      </c>
      <c r="I567">
        <v>19520</v>
      </c>
      <c r="J567">
        <v>0</v>
      </c>
      <c r="K567">
        <v>19520</v>
      </c>
      <c r="N567">
        <v>18.181818181818183</v>
      </c>
      <c r="O567">
        <v>96.744900000000001</v>
      </c>
      <c r="P567">
        <v>65.099999999999994</v>
      </c>
      <c r="Q567">
        <v>96.5</v>
      </c>
      <c r="R567">
        <v>98</v>
      </c>
      <c r="S567">
        <v>90</v>
      </c>
      <c r="T567">
        <v>7.79</v>
      </c>
      <c r="U567">
        <v>6</v>
      </c>
      <c r="W567" t="s">
        <v>497</v>
      </c>
    </row>
    <row r="568" spans="1:23" x14ac:dyDescent="0.25">
      <c r="A568" t="s">
        <v>1070</v>
      </c>
      <c r="B568" t="str">
        <f t="shared" si="8"/>
        <v>CG2J00000487</v>
      </c>
      <c r="C568" t="s">
        <v>229</v>
      </c>
      <c r="D568" t="s">
        <v>85</v>
      </c>
      <c r="E568" t="s">
        <v>499</v>
      </c>
      <c r="F568">
        <v>5000</v>
      </c>
      <c r="G568" s="13">
        <v>45279</v>
      </c>
      <c r="H568" s="13">
        <v>45281</v>
      </c>
      <c r="I568">
        <v>2000</v>
      </c>
      <c r="J568">
        <v>1818</v>
      </c>
      <c r="K568">
        <v>3818</v>
      </c>
      <c r="N568">
        <v>16.666666666666664</v>
      </c>
      <c r="O568">
        <v>91.742800000000003</v>
      </c>
      <c r="P568">
        <v>76.36</v>
      </c>
      <c r="Q568">
        <v>91</v>
      </c>
      <c r="R568">
        <v>94</v>
      </c>
      <c r="S568">
        <v>91</v>
      </c>
      <c r="T568">
        <v>9.2100000000000009</v>
      </c>
      <c r="U568">
        <v>6</v>
      </c>
      <c r="W568" t="s">
        <v>497</v>
      </c>
    </row>
    <row r="569" spans="1:23" x14ac:dyDescent="0.25">
      <c r="A569" t="s">
        <v>1071</v>
      </c>
      <c r="B569" t="str">
        <f t="shared" si="8"/>
        <v>GA2K00000090</v>
      </c>
      <c r="C569" t="s">
        <v>227</v>
      </c>
      <c r="D569" t="s">
        <v>85</v>
      </c>
      <c r="E569" t="s">
        <v>516</v>
      </c>
      <c r="F569">
        <v>10000</v>
      </c>
      <c r="G569" s="13">
        <v>45280</v>
      </c>
      <c r="H569" s="13">
        <v>45282</v>
      </c>
      <c r="I569">
        <v>590</v>
      </c>
      <c r="J569">
        <v>5056.12</v>
      </c>
      <c r="K569">
        <v>5646.12</v>
      </c>
      <c r="N569">
        <v>19.047619047619047</v>
      </c>
      <c r="O569">
        <v>90.372100000000003</v>
      </c>
      <c r="P569">
        <v>56.461199999999998</v>
      </c>
      <c r="Q569">
        <v>90</v>
      </c>
      <c r="R569">
        <v>92</v>
      </c>
      <c r="S569">
        <v>90</v>
      </c>
      <c r="T569">
        <v>9.18</v>
      </c>
      <c r="U569">
        <v>6.25</v>
      </c>
      <c r="W569" t="s">
        <v>497</v>
      </c>
    </row>
    <row r="570" spans="1:23" x14ac:dyDescent="0.25">
      <c r="A570" t="s">
        <v>1072</v>
      </c>
      <c r="B570" t="str">
        <f t="shared" si="8"/>
        <v>TD2A00000693</v>
      </c>
      <c r="C570" t="s">
        <v>237</v>
      </c>
      <c r="D570" t="s">
        <v>85</v>
      </c>
      <c r="E570" t="s">
        <v>496</v>
      </c>
      <c r="F570">
        <v>30000</v>
      </c>
      <c r="G570" s="13">
        <v>45280</v>
      </c>
      <c r="H570" s="13">
        <v>45282</v>
      </c>
      <c r="J570">
        <v>0</v>
      </c>
      <c r="N570">
        <v>0</v>
      </c>
      <c r="T570" t="s">
        <v>946</v>
      </c>
      <c r="W570" t="s">
        <v>497</v>
      </c>
    </row>
    <row r="571" spans="1:23" x14ac:dyDescent="0.25">
      <c r="A571" t="s">
        <v>1073</v>
      </c>
      <c r="B571" t="str">
        <f t="shared" si="8"/>
        <v>CG2J00000487</v>
      </c>
      <c r="C571" t="s">
        <v>229</v>
      </c>
      <c r="D571" t="s">
        <v>85</v>
      </c>
      <c r="E571" t="s">
        <v>499</v>
      </c>
      <c r="F571">
        <v>15000</v>
      </c>
      <c r="G571" s="13">
        <v>45286</v>
      </c>
      <c r="H571" s="13">
        <v>45288</v>
      </c>
      <c r="I571">
        <v>5000</v>
      </c>
      <c r="J571">
        <v>1626</v>
      </c>
      <c r="K571">
        <v>6626</v>
      </c>
      <c r="N571">
        <v>16.666666666666664</v>
      </c>
      <c r="O571">
        <v>91.003100000000003</v>
      </c>
      <c r="P571">
        <v>44.173299999999998</v>
      </c>
      <c r="Q571">
        <v>90</v>
      </c>
      <c r="R571">
        <v>91</v>
      </c>
      <c r="S571">
        <v>90</v>
      </c>
      <c r="T571">
        <v>9.52</v>
      </c>
      <c r="U571">
        <v>6</v>
      </c>
      <c r="W571" t="s">
        <v>497</v>
      </c>
    </row>
    <row r="572" spans="1:23" x14ac:dyDescent="0.25">
      <c r="A572" t="s">
        <v>1074</v>
      </c>
      <c r="B572" t="str">
        <f t="shared" si="8"/>
        <v>TD2A00000701</v>
      </c>
      <c r="C572" t="s">
        <v>237</v>
      </c>
      <c r="D572" t="s">
        <v>85</v>
      </c>
      <c r="E572" t="s">
        <v>496</v>
      </c>
      <c r="F572">
        <v>30000</v>
      </c>
      <c r="G572" s="13">
        <v>45287</v>
      </c>
      <c r="H572" s="13">
        <v>45289</v>
      </c>
      <c r="J572">
        <v>0</v>
      </c>
      <c r="N572">
        <v>0</v>
      </c>
      <c r="T572" t="s">
        <v>946</v>
      </c>
      <c r="U572">
        <v>6</v>
      </c>
      <c r="W572" t="s">
        <v>497</v>
      </c>
    </row>
    <row r="573" spans="1:23" x14ac:dyDescent="0.25">
      <c r="A573" t="s">
        <v>1075</v>
      </c>
      <c r="B573" t="str">
        <f t="shared" si="8"/>
        <v>GA2K00000082</v>
      </c>
      <c r="C573" t="s">
        <v>227</v>
      </c>
      <c r="D573" t="s">
        <v>85</v>
      </c>
      <c r="E573" t="s">
        <v>516</v>
      </c>
      <c r="F573">
        <v>20000</v>
      </c>
      <c r="G573" s="13">
        <v>45294</v>
      </c>
      <c r="H573" s="13">
        <v>45296</v>
      </c>
      <c r="J573">
        <v>0</v>
      </c>
      <c r="N573">
        <v>0</v>
      </c>
      <c r="T573" t="s">
        <v>946</v>
      </c>
      <c r="W573" t="s">
        <v>497</v>
      </c>
    </row>
    <row r="574" spans="1:23" x14ac:dyDescent="0.25">
      <c r="A574" t="s">
        <v>1076</v>
      </c>
      <c r="B574" t="str">
        <f t="shared" si="8"/>
        <v>CG2J00000495</v>
      </c>
      <c r="C574" t="s">
        <v>229</v>
      </c>
      <c r="D574" t="s">
        <v>85</v>
      </c>
      <c r="E574" t="s">
        <v>499</v>
      </c>
      <c r="F574">
        <v>5000</v>
      </c>
      <c r="G574" s="13">
        <v>45300</v>
      </c>
      <c r="H574" s="13">
        <v>45302</v>
      </c>
      <c r="I574">
        <v>200</v>
      </c>
      <c r="J574">
        <v>2283.1</v>
      </c>
      <c r="K574">
        <v>2483.1</v>
      </c>
      <c r="N574">
        <v>33.333333333333329</v>
      </c>
      <c r="O574">
        <v>92.194500000000005</v>
      </c>
      <c r="P574">
        <v>95.662000000000006</v>
      </c>
      <c r="Q574">
        <v>92</v>
      </c>
      <c r="R574">
        <v>100</v>
      </c>
      <c r="S574">
        <v>90</v>
      </c>
      <c r="T574">
        <v>9.0299999999999994</v>
      </c>
      <c r="U574">
        <v>6</v>
      </c>
      <c r="W574" t="s">
        <v>497</v>
      </c>
    </row>
    <row r="575" spans="1:23" x14ac:dyDescent="0.25">
      <c r="A575" t="s">
        <v>1077</v>
      </c>
      <c r="B575" t="str">
        <f t="shared" si="8"/>
        <v>CG2K00000179</v>
      </c>
      <c r="C575" t="s">
        <v>229</v>
      </c>
      <c r="D575" t="s">
        <v>85</v>
      </c>
      <c r="E575" t="s">
        <v>516</v>
      </c>
      <c r="F575">
        <v>5000</v>
      </c>
      <c r="G575" s="13">
        <v>45300</v>
      </c>
      <c r="H575" s="13">
        <v>45302</v>
      </c>
      <c r="I575">
        <v>250</v>
      </c>
      <c r="J575">
        <v>562</v>
      </c>
      <c r="K575">
        <v>812</v>
      </c>
      <c r="N575">
        <v>20.833333333333336</v>
      </c>
      <c r="O575">
        <v>91.570899999999995</v>
      </c>
      <c r="P575">
        <v>24.24</v>
      </c>
      <c r="Q575">
        <v>91</v>
      </c>
      <c r="R575">
        <v>100</v>
      </c>
      <c r="S575">
        <v>90</v>
      </c>
      <c r="T575">
        <v>8.74</v>
      </c>
      <c r="U575">
        <v>6.2</v>
      </c>
      <c r="W575" t="s">
        <v>497</v>
      </c>
    </row>
    <row r="576" spans="1:23" x14ac:dyDescent="0.25">
      <c r="A576" t="s">
        <v>1078</v>
      </c>
      <c r="B576" t="str">
        <f t="shared" si="8"/>
        <v>CG2J00000495</v>
      </c>
      <c r="C576" t="s">
        <v>229</v>
      </c>
      <c r="D576" t="s">
        <v>85</v>
      </c>
      <c r="E576" t="s">
        <v>499</v>
      </c>
      <c r="F576">
        <v>5000</v>
      </c>
      <c r="G576" s="13">
        <v>45307</v>
      </c>
      <c r="H576" s="13">
        <v>45309</v>
      </c>
      <c r="I576">
        <v>2000</v>
      </c>
      <c r="J576">
        <v>338.5</v>
      </c>
      <c r="K576">
        <v>2338.5</v>
      </c>
      <c r="N576">
        <v>12.5</v>
      </c>
      <c r="O576">
        <v>90.387799999999999</v>
      </c>
      <c r="P576">
        <v>46.77</v>
      </c>
      <c r="Q576">
        <v>90</v>
      </c>
      <c r="R576">
        <v>92</v>
      </c>
      <c r="S576">
        <v>90</v>
      </c>
      <c r="T576">
        <v>9.77</v>
      </c>
      <c r="U576">
        <v>6</v>
      </c>
      <c r="W576" t="s">
        <v>497</v>
      </c>
    </row>
    <row r="577" spans="1:23" x14ac:dyDescent="0.25">
      <c r="A577" t="s">
        <v>1079</v>
      </c>
      <c r="B577" t="str">
        <f t="shared" si="8"/>
        <v>GA2K00000090</v>
      </c>
      <c r="C577" t="s">
        <v>227</v>
      </c>
      <c r="D577" t="s">
        <v>85</v>
      </c>
      <c r="E577" t="s">
        <v>516</v>
      </c>
      <c r="F577">
        <v>10000</v>
      </c>
      <c r="G577" s="13">
        <v>45308</v>
      </c>
      <c r="H577" s="13">
        <v>45310</v>
      </c>
      <c r="I577">
        <v>0</v>
      </c>
      <c r="J577">
        <v>10000</v>
      </c>
      <c r="K577">
        <v>10000</v>
      </c>
      <c r="N577">
        <v>33.333333333333329</v>
      </c>
      <c r="O577">
        <v>91.288700000000006</v>
      </c>
      <c r="P577">
        <v>110.69750000000001</v>
      </c>
      <c r="Q577">
        <v>90</v>
      </c>
      <c r="R577">
        <v>92.1</v>
      </c>
      <c r="S577">
        <v>90</v>
      </c>
      <c r="T577">
        <v>8.89</v>
      </c>
      <c r="U577">
        <v>6.25</v>
      </c>
      <c r="W577" t="s">
        <v>497</v>
      </c>
    </row>
    <row r="578" spans="1:23" x14ac:dyDescent="0.25">
      <c r="A578" t="s">
        <v>1080</v>
      </c>
      <c r="B578" t="str">
        <f t="shared" si="8"/>
        <v>TD2A00000719</v>
      </c>
      <c r="C578" t="s">
        <v>237</v>
      </c>
      <c r="D578" t="s">
        <v>85</v>
      </c>
      <c r="E578" t="s">
        <v>496</v>
      </c>
      <c r="F578">
        <v>30000</v>
      </c>
      <c r="G578" s="13">
        <v>45308</v>
      </c>
      <c r="H578" s="13">
        <v>45310</v>
      </c>
      <c r="I578">
        <v>0</v>
      </c>
      <c r="J578">
        <v>10862</v>
      </c>
      <c r="K578">
        <v>10862</v>
      </c>
      <c r="N578">
        <v>33.333333333333329</v>
      </c>
      <c r="O578">
        <v>90.232900000000001</v>
      </c>
      <c r="P578">
        <v>36.208300000000001</v>
      </c>
      <c r="Q578">
        <v>90</v>
      </c>
      <c r="R578">
        <v>92</v>
      </c>
      <c r="S578">
        <v>90</v>
      </c>
      <c r="T578">
        <v>11.61</v>
      </c>
      <c r="U578">
        <v>6</v>
      </c>
      <c r="W578" t="s">
        <v>497</v>
      </c>
    </row>
    <row r="579" spans="1:23" x14ac:dyDescent="0.25">
      <c r="A579" t="s">
        <v>1081</v>
      </c>
      <c r="B579" t="str">
        <f t="shared" si="8"/>
        <v>CF2A00000033</v>
      </c>
      <c r="C579" t="s">
        <v>634</v>
      </c>
      <c r="D579" t="s">
        <v>85</v>
      </c>
      <c r="E579" t="s">
        <v>496</v>
      </c>
      <c r="F579">
        <v>5000</v>
      </c>
      <c r="G579" s="13">
        <v>45313</v>
      </c>
      <c r="H579" s="13">
        <v>45315</v>
      </c>
      <c r="I579">
        <v>500</v>
      </c>
      <c r="J579">
        <v>1298</v>
      </c>
      <c r="K579">
        <v>1798</v>
      </c>
      <c r="N579">
        <v>44.444444444444443</v>
      </c>
      <c r="O579">
        <v>90.082899999999995</v>
      </c>
      <c r="P579">
        <v>36.159999999999997</v>
      </c>
      <c r="Q579">
        <v>90</v>
      </c>
      <c r="R579">
        <v>90.5</v>
      </c>
      <c r="S579">
        <v>88</v>
      </c>
      <c r="T579">
        <v>11.17</v>
      </c>
      <c r="U579">
        <v>5.5</v>
      </c>
      <c r="W579" t="s">
        <v>497</v>
      </c>
    </row>
    <row r="580" spans="1:23" x14ac:dyDescent="0.25">
      <c r="A580" t="s">
        <v>1082</v>
      </c>
      <c r="B580" t="str">
        <f t="shared" si="8"/>
        <v>TD2A00000727</v>
      </c>
      <c r="C580" t="s">
        <v>237</v>
      </c>
      <c r="D580" t="s">
        <v>85</v>
      </c>
      <c r="E580" t="s">
        <v>496</v>
      </c>
      <c r="F580">
        <v>30000</v>
      </c>
      <c r="G580" s="13">
        <v>45315</v>
      </c>
      <c r="H580" s="13">
        <v>45317</v>
      </c>
      <c r="I580">
        <v>5684.13</v>
      </c>
      <c r="J580">
        <v>10994.5</v>
      </c>
      <c r="K580">
        <v>16678.63</v>
      </c>
      <c r="N580">
        <v>41.666666666666671</v>
      </c>
      <c r="O580">
        <v>90.027000000000001</v>
      </c>
      <c r="P580">
        <v>55.595399999999998</v>
      </c>
      <c r="Q580">
        <v>90</v>
      </c>
      <c r="R580">
        <v>93</v>
      </c>
      <c r="S580">
        <v>90</v>
      </c>
      <c r="T580">
        <v>11.74</v>
      </c>
      <c r="U580">
        <v>6</v>
      </c>
      <c r="W580" t="s">
        <v>497</v>
      </c>
    </row>
    <row r="581" spans="1:23" x14ac:dyDescent="0.25">
      <c r="A581" t="s">
        <v>1083</v>
      </c>
      <c r="B581" t="str">
        <f t="shared" ref="B581:B644" si="9">MID(A581,1,12)</f>
        <v>CG2J00000503</v>
      </c>
      <c r="C581" t="s">
        <v>229</v>
      </c>
      <c r="D581" t="s">
        <v>85</v>
      </c>
      <c r="E581" t="s">
        <v>499</v>
      </c>
      <c r="F581">
        <v>30000</v>
      </c>
      <c r="G581" s="13">
        <v>45321</v>
      </c>
      <c r="H581" s="13">
        <v>45323</v>
      </c>
      <c r="I581">
        <v>0</v>
      </c>
      <c r="J581">
        <v>2912</v>
      </c>
      <c r="K581">
        <v>2912</v>
      </c>
      <c r="N581">
        <v>29.166666666666668</v>
      </c>
      <c r="O581">
        <v>92.095500000000001</v>
      </c>
      <c r="P581">
        <v>21.0426</v>
      </c>
      <c r="Q581">
        <v>92</v>
      </c>
      <c r="R581">
        <v>96</v>
      </c>
      <c r="S581">
        <v>90</v>
      </c>
      <c r="T581">
        <v>8.9600000000000009</v>
      </c>
      <c r="U581">
        <v>5.9</v>
      </c>
      <c r="W581" t="s">
        <v>497</v>
      </c>
    </row>
    <row r="582" spans="1:23" x14ac:dyDescent="0.25">
      <c r="A582" t="s">
        <v>1084</v>
      </c>
      <c r="B582" t="str">
        <f t="shared" si="9"/>
        <v>CG2K00000187</v>
      </c>
      <c r="C582" t="s">
        <v>229</v>
      </c>
      <c r="D582" t="s">
        <v>85</v>
      </c>
      <c r="E582" t="s">
        <v>516</v>
      </c>
      <c r="F582">
        <v>25000</v>
      </c>
      <c r="G582" s="13">
        <v>45321</v>
      </c>
      <c r="H582" s="13">
        <v>45323</v>
      </c>
      <c r="I582">
        <v>0</v>
      </c>
      <c r="J582">
        <v>4100</v>
      </c>
      <c r="K582">
        <v>4100</v>
      </c>
      <c r="N582">
        <v>12.5</v>
      </c>
      <c r="O582">
        <v>91.0244</v>
      </c>
      <c r="P582">
        <v>16.399999999999999</v>
      </c>
      <c r="Q582">
        <v>91</v>
      </c>
      <c r="R582">
        <v>92</v>
      </c>
      <c r="S582">
        <v>91</v>
      </c>
      <c r="T582">
        <v>8.92</v>
      </c>
      <c r="U582">
        <v>6.2</v>
      </c>
      <c r="W582" t="s">
        <v>497</v>
      </c>
    </row>
    <row r="583" spans="1:23" x14ac:dyDescent="0.25">
      <c r="A583" t="s">
        <v>1085</v>
      </c>
      <c r="B583" t="str">
        <f t="shared" si="9"/>
        <v>GA2J00000341</v>
      </c>
      <c r="C583" t="s">
        <v>227</v>
      </c>
      <c r="D583" t="s">
        <v>85</v>
      </c>
      <c r="E583" t="s">
        <v>499</v>
      </c>
      <c r="F583">
        <v>30000</v>
      </c>
      <c r="G583" s="13">
        <v>45329</v>
      </c>
      <c r="H583" s="13">
        <v>45331</v>
      </c>
      <c r="I583">
        <v>19400</v>
      </c>
      <c r="J583">
        <v>7300</v>
      </c>
      <c r="K583">
        <v>26700</v>
      </c>
      <c r="N583">
        <v>19.047619047619047</v>
      </c>
      <c r="O583">
        <v>91</v>
      </c>
      <c r="P583">
        <v>92.333299999999994</v>
      </c>
      <c r="Q583">
        <v>91</v>
      </c>
      <c r="R583">
        <v>91</v>
      </c>
      <c r="S583">
        <v>90</v>
      </c>
      <c r="T583">
        <v>8.99</v>
      </c>
      <c r="U583">
        <v>5.5</v>
      </c>
      <c r="W583" t="s">
        <v>497</v>
      </c>
    </row>
    <row r="584" spans="1:23" x14ac:dyDescent="0.25">
      <c r="A584" t="s">
        <v>1086</v>
      </c>
      <c r="B584" t="str">
        <f t="shared" si="9"/>
        <v>GA2A00000183</v>
      </c>
      <c r="C584" t="s">
        <v>227</v>
      </c>
      <c r="D584" t="s">
        <v>85</v>
      </c>
      <c r="E584" t="s">
        <v>496</v>
      </c>
      <c r="F584">
        <v>30000</v>
      </c>
      <c r="G584" s="13">
        <v>45329</v>
      </c>
      <c r="H584" s="13">
        <v>45331</v>
      </c>
      <c r="I584">
        <v>22700</v>
      </c>
      <c r="J584">
        <v>7300</v>
      </c>
      <c r="K584">
        <v>30000</v>
      </c>
      <c r="N584">
        <v>28.571428571428569</v>
      </c>
      <c r="O584">
        <v>94.125699999999995</v>
      </c>
      <c r="P584">
        <v>100.6452</v>
      </c>
      <c r="Q584">
        <v>92.5</v>
      </c>
      <c r="R584">
        <v>92.5</v>
      </c>
      <c r="S584">
        <v>88</v>
      </c>
      <c r="T584">
        <v>8.25</v>
      </c>
      <c r="U584">
        <v>5</v>
      </c>
      <c r="W584" t="s">
        <v>497</v>
      </c>
    </row>
    <row r="585" spans="1:23" x14ac:dyDescent="0.25">
      <c r="A585" t="s">
        <v>1087</v>
      </c>
      <c r="B585" t="str">
        <f t="shared" si="9"/>
        <v>GA2J00000325</v>
      </c>
      <c r="C585" t="s">
        <v>227</v>
      </c>
      <c r="D585" t="s">
        <v>85</v>
      </c>
      <c r="E585" t="s">
        <v>499</v>
      </c>
      <c r="F585">
        <v>25000</v>
      </c>
      <c r="G585" s="13">
        <v>45329</v>
      </c>
      <c r="H585" s="13">
        <v>45331</v>
      </c>
      <c r="I585">
        <v>17120</v>
      </c>
      <c r="J585">
        <v>7300</v>
      </c>
      <c r="K585">
        <v>24420</v>
      </c>
      <c r="N585">
        <v>19.047619047619047</v>
      </c>
      <c r="O585">
        <v>93.419399999999996</v>
      </c>
      <c r="P585">
        <v>97.76</v>
      </c>
      <c r="Q585">
        <v>91</v>
      </c>
      <c r="R585">
        <v>91</v>
      </c>
      <c r="S585">
        <v>88</v>
      </c>
      <c r="T585">
        <v>8.01</v>
      </c>
      <c r="U585">
        <v>5.5</v>
      </c>
      <c r="W585" t="s">
        <v>497</v>
      </c>
    </row>
    <row r="586" spans="1:23" x14ac:dyDescent="0.25">
      <c r="A586" t="s">
        <v>1088</v>
      </c>
      <c r="B586" t="str">
        <f t="shared" si="9"/>
        <v>GA2K00000041</v>
      </c>
      <c r="C586" t="s">
        <v>227</v>
      </c>
      <c r="D586" t="s">
        <v>85</v>
      </c>
      <c r="E586" t="s">
        <v>516</v>
      </c>
      <c r="F586">
        <v>20000</v>
      </c>
      <c r="G586" s="13">
        <v>45329</v>
      </c>
      <c r="H586" s="13">
        <v>45331</v>
      </c>
      <c r="I586">
        <v>6348.55</v>
      </c>
      <c r="J586">
        <v>13651.45</v>
      </c>
      <c r="K586">
        <v>20000</v>
      </c>
      <c r="N586">
        <v>28.571428571428569</v>
      </c>
      <c r="O586">
        <v>93.793700000000001</v>
      </c>
      <c r="P586">
        <v>120.55</v>
      </c>
      <c r="Q586">
        <v>91.5</v>
      </c>
      <c r="R586">
        <v>91.5</v>
      </c>
      <c r="S586">
        <v>88</v>
      </c>
      <c r="T586">
        <v>8.1199999999999992</v>
      </c>
      <c r="U586">
        <v>5.75</v>
      </c>
      <c r="W586" t="s">
        <v>497</v>
      </c>
    </row>
    <row r="587" spans="1:23" x14ac:dyDescent="0.25">
      <c r="A587" t="s">
        <v>1089</v>
      </c>
      <c r="B587" t="str">
        <f t="shared" si="9"/>
        <v>GA2K00000090</v>
      </c>
      <c r="C587" t="s">
        <v>227</v>
      </c>
      <c r="D587" t="s">
        <v>85</v>
      </c>
      <c r="E587" t="s">
        <v>516</v>
      </c>
      <c r="F587">
        <v>20000</v>
      </c>
      <c r="G587" s="13">
        <v>45329</v>
      </c>
      <c r="H587" s="13">
        <v>45331</v>
      </c>
      <c r="I587">
        <v>10099.44</v>
      </c>
      <c r="J587">
        <v>9900.56</v>
      </c>
      <c r="K587">
        <v>20000</v>
      </c>
      <c r="N587">
        <v>33.333333333333329</v>
      </c>
      <c r="O587">
        <v>91.696399999999997</v>
      </c>
      <c r="P587">
        <v>100.5056</v>
      </c>
      <c r="Q587">
        <v>90.5</v>
      </c>
      <c r="R587">
        <v>91</v>
      </c>
      <c r="S587">
        <v>90</v>
      </c>
      <c r="T587">
        <v>8.76</v>
      </c>
      <c r="U587">
        <v>6.25</v>
      </c>
      <c r="W587" t="s">
        <v>497</v>
      </c>
    </row>
    <row r="588" spans="1:23" x14ac:dyDescent="0.25">
      <c r="A588" t="s">
        <v>1090</v>
      </c>
      <c r="B588" t="str">
        <f t="shared" si="9"/>
        <v>GA2B00000141</v>
      </c>
      <c r="C588" t="s">
        <v>227</v>
      </c>
      <c r="D588" t="s">
        <v>85</v>
      </c>
      <c r="E588" t="s">
        <v>507</v>
      </c>
      <c r="F588">
        <v>20000</v>
      </c>
      <c r="G588" s="13">
        <v>45329</v>
      </c>
      <c r="H588" s="13">
        <v>45331</v>
      </c>
      <c r="I588">
        <v>16180.24</v>
      </c>
      <c r="J588">
        <v>3819.76</v>
      </c>
      <c r="K588">
        <v>20000</v>
      </c>
      <c r="N588">
        <v>23.809523809523807</v>
      </c>
      <c r="O588">
        <v>96.684700000000007</v>
      </c>
      <c r="P588">
        <v>100.172</v>
      </c>
      <c r="Q588">
        <v>91</v>
      </c>
      <c r="R588">
        <v>95</v>
      </c>
      <c r="S588">
        <v>88</v>
      </c>
      <c r="T588">
        <v>7.73</v>
      </c>
      <c r="U588">
        <v>6.75</v>
      </c>
      <c r="W588" t="s">
        <v>497</v>
      </c>
    </row>
    <row r="589" spans="1:23" x14ac:dyDescent="0.25">
      <c r="A589" t="s">
        <v>1091</v>
      </c>
      <c r="B589" t="str">
        <f t="shared" si="9"/>
        <v>GA2C00000025</v>
      </c>
      <c r="C589" t="s">
        <v>227</v>
      </c>
      <c r="D589" t="s">
        <v>85</v>
      </c>
      <c r="E589" t="s">
        <v>549</v>
      </c>
      <c r="F589">
        <v>20000</v>
      </c>
      <c r="G589" s="13">
        <v>45329</v>
      </c>
      <c r="H589" s="13">
        <v>45331</v>
      </c>
      <c r="I589">
        <v>17190.669999999998</v>
      </c>
      <c r="J589">
        <v>107.92000000000189</v>
      </c>
      <c r="K589">
        <v>17298.59</v>
      </c>
      <c r="N589">
        <v>23.809523809523807</v>
      </c>
      <c r="O589">
        <v>95.264700000000005</v>
      </c>
      <c r="P589">
        <v>89.938000000000002</v>
      </c>
      <c r="Q589">
        <v>91</v>
      </c>
      <c r="R589">
        <v>92</v>
      </c>
      <c r="S589">
        <v>88</v>
      </c>
      <c r="T589">
        <v>8.68</v>
      </c>
      <c r="U589">
        <v>7.25</v>
      </c>
      <c r="W589" t="s">
        <v>497</v>
      </c>
    </row>
    <row r="590" spans="1:23" x14ac:dyDescent="0.25">
      <c r="A590" t="s">
        <v>666</v>
      </c>
      <c r="B590" t="str">
        <f t="shared" si="9"/>
        <v>GA2J00000168</v>
      </c>
      <c r="C590" t="s">
        <v>227</v>
      </c>
      <c r="D590" t="s">
        <v>85</v>
      </c>
      <c r="E590" t="s">
        <v>499</v>
      </c>
      <c r="F590">
        <v>15000</v>
      </c>
      <c r="G590" s="13">
        <v>45329</v>
      </c>
      <c r="H590" s="13">
        <v>45331</v>
      </c>
      <c r="I590">
        <v>10711.71</v>
      </c>
      <c r="J590">
        <v>1405.4900000000016</v>
      </c>
      <c r="K590">
        <v>12117.2</v>
      </c>
      <c r="N590">
        <v>9.5238095238095237</v>
      </c>
      <c r="Q590">
        <v>100</v>
      </c>
      <c r="R590">
        <v>100</v>
      </c>
      <c r="S590">
        <v>100</v>
      </c>
      <c r="U590">
        <v>5.5</v>
      </c>
      <c r="W590" t="s">
        <v>681</v>
      </c>
    </row>
    <row r="591" spans="1:23" x14ac:dyDescent="0.25">
      <c r="A591" t="s">
        <v>1092</v>
      </c>
      <c r="B591" t="str">
        <f t="shared" si="9"/>
        <v>GA2J00000176</v>
      </c>
      <c r="C591" t="s">
        <v>227</v>
      </c>
      <c r="D591" t="s">
        <v>85</v>
      </c>
      <c r="E591" t="s">
        <v>499</v>
      </c>
      <c r="F591">
        <v>20000</v>
      </c>
      <c r="G591" s="13">
        <v>45329</v>
      </c>
      <c r="H591" s="13">
        <v>45331</v>
      </c>
      <c r="I591">
        <v>10432.469999999999</v>
      </c>
      <c r="J591">
        <v>9567.5300000000007</v>
      </c>
      <c r="K591">
        <v>20000</v>
      </c>
      <c r="N591">
        <v>14.285714285714285</v>
      </c>
      <c r="Q591">
        <v>100</v>
      </c>
      <c r="R591">
        <v>100</v>
      </c>
      <c r="S591">
        <v>100</v>
      </c>
      <c r="U591">
        <v>6.5</v>
      </c>
      <c r="W591" t="s">
        <v>681</v>
      </c>
    </row>
    <row r="592" spans="1:23" x14ac:dyDescent="0.25">
      <c r="A592" t="s">
        <v>1093</v>
      </c>
      <c r="B592" t="str">
        <f t="shared" si="9"/>
        <v>GA2J00000184</v>
      </c>
      <c r="C592" t="s">
        <v>227</v>
      </c>
      <c r="D592" t="s">
        <v>85</v>
      </c>
      <c r="E592" t="s">
        <v>499</v>
      </c>
      <c r="F592">
        <v>25000</v>
      </c>
      <c r="G592" s="13">
        <v>45329</v>
      </c>
      <c r="H592" s="13">
        <v>45331</v>
      </c>
      <c r="I592">
        <v>16256.37</v>
      </c>
      <c r="J592">
        <v>5731.1299999999992</v>
      </c>
      <c r="K592">
        <v>21987.5</v>
      </c>
      <c r="N592">
        <v>14.285714285714285</v>
      </c>
      <c r="Q592">
        <v>100</v>
      </c>
      <c r="R592">
        <v>100</v>
      </c>
      <c r="S592">
        <v>100</v>
      </c>
      <c r="U592">
        <v>5.25</v>
      </c>
      <c r="W592" t="s">
        <v>681</v>
      </c>
    </row>
    <row r="593" spans="1:23" x14ac:dyDescent="0.25">
      <c r="A593" t="s">
        <v>1094</v>
      </c>
      <c r="B593" t="str">
        <f t="shared" si="9"/>
        <v>GA2J00000192</v>
      </c>
      <c r="C593" t="s">
        <v>227</v>
      </c>
      <c r="D593" t="s">
        <v>85</v>
      </c>
      <c r="E593" t="s">
        <v>499</v>
      </c>
      <c r="F593">
        <v>20000</v>
      </c>
      <c r="G593" s="13">
        <v>45329</v>
      </c>
      <c r="H593" s="13">
        <v>45331</v>
      </c>
      <c r="I593">
        <v>8167.13</v>
      </c>
      <c r="J593">
        <v>2458.9700000000003</v>
      </c>
      <c r="K593">
        <v>10626.1</v>
      </c>
      <c r="N593">
        <v>14.285714285714285</v>
      </c>
      <c r="Q593">
        <v>100</v>
      </c>
      <c r="R593">
        <v>100</v>
      </c>
      <c r="S593">
        <v>100</v>
      </c>
      <c r="U593">
        <v>5.5</v>
      </c>
      <c r="W593" t="s">
        <v>681</v>
      </c>
    </row>
    <row r="594" spans="1:23" x14ac:dyDescent="0.25">
      <c r="A594" t="s">
        <v>1095</v>
      </c>
      <c r="B594" t="str">
        <f t="shared" si="9"/>
        <v>GA2J00000200</v>
      </c>
      <c r="C594" t="s">
        <v>227</v>
      </c>
      <c r="D594" t="s">
        <v>85</v>
      </c>
      <c r="E594" t="s">
        <v>499</v>
      </c>
      <c r="F594">
        <v>20000</v>
      </c>
      <c r="G594" s="13">
        <v>45329</v>
      </c>
      <c r="H594" s="13">
        <v>45331</v>
      </c>
      <c r="I594">
        <v>16818.18</v>
      </c>
      <c r="J594">
        <v>2130.8199999999997</v>
      </c>
      <c r="K594">
        <v>18949</v>
      </c>
      <c r="N594">
        <v>14.285714285714285</v>
      </c>
      <c r="O594">
        <v>102.1803</v>
      </c>
      <c r="P594">
        <v>94.745000000000005</v>
      </c>
      <c r="Q594">
        <v>100</v>
      </c>
      <c r="R594">
        <v>100</v>
      </c>
      <c r="S594">
        <v>100</v>
      </c>
      <c r="T594">
        <v>3.02</v>
      </c>
      <c r="U594">
        <v>5.25</v>
      </c>
      <c r="W594" t="s">
        <v>681</v>
      </c>
    </row>
    <row r="595" spans="1:23" x14ac:dyDescent="0.25">
      <c r="A595" t="s">
        <v>1096</v>
      </c>
      <c r="B595" t="str">
        <f t="shared" si="9"/>
        <v>GA2J00000218</v>
      </c>
      <c r="C595" t="s">
        <v>227</v>
      </c>
      <c r="D595" t="s">
        <v>85</v>
      </c>
      <c r="E595" t="s">
        <v>499</v>
      </c>
      <c r="F595">
        <v>15000</v>
      </c>
      <c r="G595" s="13">
        <v>45329</v>
      </c>
      <c r="H595" s="13">
        <v>45331</v>
      </c>
      <c r="I595">
        <v>7714.62</v>
      </c>
      <c r="J595">
        <v>6742.1799999999994</v>
      </c>
      <c r="K595">
        <v>14456.8</v>
      </c>
      <c r="N595">
        <v>14.285714285714285</v>
      </c>
      <c r="O595">
        <v>101.87909999999999</v>
      </c>
      <c r="P595">
        <v>96.378699999999995</v>
      </c>
      <c r="Q595">
        <v>100</v>
      </c>
      <c r="R595">
        <v>100</v>
      </c>
      <c r="S595">
        <v>100</v>
      </c>
      <c r="T595">
        <v>3.32</v>
      </c>
      <c r="U595">
        <v>5.25</v>
      </c>
      <c r="W595" t="s">
        <v>681</v>
      </c>
    </row>
    <row r="596" spans="1:23" x14ac:dyDescent="0.25">
      <c r="A596" t="s">
        <v>1097</v>
      </c>
      <c r="B596" t="str">
        <f t="shared" si="9"/>
        <v>GA2J00000234</v>
      </c>
      <c r="C596" t="s">
        <v>227</v>
      </c>
      <c r="D596" t="s">
        <v>85</v>
      </c>
      <c r="E596" t="s">
        <v>499</v>
      </c>
      <c r="F596">
        <v>15000</v>
      </c>
      <c r="G596" s="13">
        <v>45329</v>
      </c>
      <c r="H596" s="13">
        <v>45331</v>
      </c>
      <c r="I596">
        <v>8735</v>
      </c>
      <c r="J596">
        <v>0</v>
      </c>
      <c r="K596">
        <v>8735</v>
      </c>
      <c r="N596">
        <v>14.285714285714285</v>
      </c>
      <c r="O596">
        <v>100.875</v>
      </c>
      <c r="P596">
        <v>58.2333</v>
      </c>
      <c r="Q596">
        <v>100</v>
      </c>
      <c r="R596">
        <v>100</v>
      </c>
      <c r="S596">
        <v>10</v>
      </c>
      <c r="T596">
        <v>4.3499999999999996</v>
      </c>
      <c r="U596">
        <v>5.25</v>
      </c>
      <c r="W596" t="s">
        <v>681</v>
      </c>
    </row>
    <row r="597" spans="1:23" x14ac:dyDescent="0.25">
      <c r="A597" t="s">
        <v>1098</v>
      </c>
      <c r="B597" t="str">
        <f t="shared" si="9"/>
        <v>GA2K00000017</v>
      </c>
      <c r="C597" t="s">
        <v>227</v>
      </c>
      <c r="D597" t="s">
        <v>85</v>
      </c>
      <c r="E597" t="s">
        <v>516</v>
      </c>
      <c r="F597">
        <v>20000</v>
      </c>
      <c r="G597" s="13">
        <v>45329</v>
      </c>
      <c r="H597" s="13">
        <v>45331</v>
      </c>
      <c r="I597">
        <v>15500</v>
      </c>
      <c r="J597">
        <v>3000</v>
      </c>
      <c r="K597">
        <v>18500</v>
      </c>
      <c r="N597">
        <v>14.285714285714285</v>
      </c>
      <c r="Q597">
        <v>100</v>
      </c>
      <c r="R597">
        <v>100</v>
      </c>
      <c r="S597">
        <v>100</v>
      </c>
      <c r="U597">
        <v>5.25</v>
      </c>
      <c r="W597" t="s">
        <v>681</v>
      </c>
    </row>
    <row r="598" spans="1:23" x14ac:dyDescent="0.25">
      <c r="A598" t="s">
        <v>1099</v>
      </c>
      <c r="B598" t="str">
        <f t="shared" si="9"/>
        <v>CF2K00000056</v>
      </c>
      <c r="C598" t="s">
        <v>634</v>
      </c>
      <c r="D598" t="s">
        <v>85</v>
      </c>
      <c r="E598" t="s">
        <v>516</v>
      </c>
      <c r="F598">
        <v>7500</v>
      </c>
      <c r="G598" s="13">
        <v>45334</v>
      </c>
      <c r="H598" s="13">
        <v>45336</v>
      </c>
      <c r="I598">
        <v>2000</v>
      </c>
      <c r="J598">
        <v>0</v>
      </c>
      <c r="K598">
        <v>2000</v>
      </c>
      <c r="N598">
        <v>11.111111111111111</v>
      </c>
      <c r="O598">
        <v>89</v>
      </c>
      <c r="P598">
        <v>26.666699999999999</v>
      </c>
      <c r="Q598">
        <v>89</v>
      </c>
      <c r="R598">
        <v>89</v>
      </c>
      <c r="S598">
        <v>89</v>
      </c>
      <c r="T598">
        <v>9.9</v>
      </c>
      <c r="U598">
        <v>6.5</v>
      </c>
      <c r="W598" t="s">
        <v>497</v>
      </c>
    </row>
    <row r="599" spans="1:23" x14ac:dyDescent="0.25">
      <c r="A599" t="s">
        <v>1100</v>
      </c>
      <c r="B599" t="str">
        <f t="shared" si="9"/>
        <v>CG2J00000503</v>
      </c>
      <c r="C599" t="s">
        <v>229</v>
      </c>
      <c r="D599" t="s">
        <v>85</v>
      </c>
      <c r="E599" t="s">
        <v>499</v>
      </c>
      <c r="F599">
        <v>10000</v>
      </c>
      <c r="G599" s="13">
        <v>45335</v>
      </c>
      <c r="H599" s="13">
        <v>45337</v>
      </c>
      <c r="I599">
        <v>4000</v>
      </c>
      <c r="J599">
        <v>2015</v>
      </c>
      <c r="K599">
        <v>6015</v>
      </c>
      <c r="N599">
        <v>12.5</v>
      </c>
      <c r="O599">
        <v>91.228200000000001</v>
      </c>
      <c r="P599">
        <v>60.15</v>
      </c>
      <c r="Q599">
        <v>91</v>
      </c>
      <c r="R599">
        <v>92</v>
      </c>
      <c r="S599">
        <v>91</v>
      </c>
      <c r="T599">
        <v>9.32</v>
      </c>
      <c r="U599">
        <v>5.9</v>
      </c>
      <c r="W599" t="s">
        <v>497</v>
      </c>
    </row>
    <row r="600" spans="1:23" x14ac:dyDescent="0.25">
      <c r="A600" t="s">
        <v>1101</v>
      </c>
      <c r="B600" t="str">
        <f t="shared" si="9"/>
        <v>CF2A00000041</v>
      </c>
      <c r="C600" t="s">
        <v>634</v>
      </c>
      <c r="D600" t="s">
        <v>85</v>
      </c>
      <c r="E600" t="s">
        <v>496</v>
      </c>
      <c r="F600">
        <v>10000</v>
      </c>
      <c r="G600" s="13">
        <v>45341</v>
      </c>
      <c r="H600" s="13">
        <v>45343</v>
      </c>
      <c r="I600">
        <v>5917</v>
      </c>
      <c r="J600">
        <v>817</v>
      </c>
      <c r="K600">
        <v>6734</v>
      </c>
      <c r="N600">
        <v>33.333333333333329</v>
      </c>
      <c r="O600">
        <v>90.006500000000003</v>
      </c>
      <c r="P600">
        <v>67.3416</v>
      </c>
      <c r="Q600">
        <v>90</v>
      </c>
      <c r="R600">
        <v>91</v>
      </c>
      <c r="S600">
        <v>90</v>
      </c>
      <c r="T600">
        <v>11.75</v>
      </c>
      <c r="U600">
        <v>6</v>
      </c>
      <c r="W600" t="s">
        <v>497</v>
      </c>
    </row>
    <row r="601" spans="1:23" x14ac:dyDescent="0.25">
      <c r="A601" t="s">
        <v>1102</v>
      </c>
      <c r="B601" t="str">
        <f t="shared" si="9"/>
        <v>TD2B00000114</v>
      </c>
      <c r="C601" t="s">
        <v>237</v>
      </c>
      <c r="D601" t="s">
        <v>85</v>
      </c>
      <c r="E601" t="s">
        <v>507</v>
      </c>
      <c r="F601">
        <v>26000</v>
      </c>
      <c r="G601" s="13">
        <v>45343</v>
      </c>
      <c r="H601" s="13">
        <v>45345</v>
      </c>
      <c r="I601">
        <v>26000</v>
      </c>
      <c r="J601">
        <v>0</v>
      </c>
      <c r="K601">
        <v>26000</v>
      </c>
      <c r="N601">
        <v>8.3333333333333321</v>
      </c>
      <c r="O601">
        <v>96.853499999999997</v>
      </c>
      <c r="P601">
        <v>100</v>
      </c>
      <c r="Q601">
        <v>95</v>
      </c>
      <c r="R601">
        <v>100</v>
      </c>
      <c r="S601">
        <v>95</v>
      </c>
      <c r="T601">
        <v>7.26</v>
      </c>
      <c r="U601">
        <v>6.5</v>
      </c>
      <c r="W601" t="s">
        <v>497</v>
      </c>
    </row>
    <row r="602" spans="1:23" x14ac:dyDescent="0.25">
      <c r="A602" t="s">
        <v>1103</v>
      </c>
      <c r="B602" t="str">
        <f t="shared" si="9"/>
        <v>CM2A00000112</v>
      </c>
      <c r="C602" t="s">
        <v>225</v>
      </c>
      <c r="D602" t="s">
        <v>85</v>
      </c>
      <c r="E602" t="s">
        <v>496</v>
      </c>
      <c r="F602">
        <v>30000</v>
      </c>
      <c r="G602" s="13">
        <v>45348</v>
      </c>
      <c r="H602" s="13">
        <v>45350</v>
      </c>
      <c r="I602">
        <v>13902.5</v>
      </c>
      <c r="J602">
        <v>0</v>
      </c>
      <c r="K602">
        <v>13902.5</v>
      </c>
      <c r="N602">
        <v>27.27272727272727</v>
      </c>
      <c r="O602">
        <v>96.266300000000001</v>
      </c>
      <c r="P602">
        <v>54.084699999999998</v>
      </c>
      <c r="Q602">
        <v>96</v>
      </c>
      <c r="R602">
        <v>97.05</v>
      </c>
      <c r="S602">
        <v>93</v>
      </c>
      <c r="T602">
        <v>8.06</v>
      </c>
      <c r="U602">
        <v>6</v>
      </c>
      <c r="W602" t="s">
        <v>497</v>
      </c>
    </row>
    <row r="603" spans="1:23" x14ac:dyDescent="0.25">
      <c r="A603" t="s">
        <v>1104</v>
      </c>
      <c r="B603" t="str">
        <f t="shared" si="9"/>
        <v>CM2B00000137</v>
      </c>
      <c r="C603" t="s">
        <v>225</v>
      </c>
      <c r="D603" t="s">
        <v>85</v>
      </c>
      <c r="E603" t="s">
        <v>507</v>
      </c>
      <c r="F603">
        <v>30000</v>
      </c>
      <c r="G603" s="13">
        <v>45348</v>
      </c>
      <c r="H603" s="13">
        <v>45350</v>
      </c>
      <c r="J603">
        <v>0</v>
      </c>
      <c r="N603">
        <v>0</v>
      </c>
      <c r="T603" t="s">
        <v>946</v>
      </c>
      <c r="W603" t="s">
        <v>497</v>
      </c>
    </row>
    <row r="604" spans="1:23" x14ac:dyDescent="0.25">
      <c r="A604" t="s">
        <v>1105</v>
      </c>
      <c r="B604" t="str">
        <f t="shared" si="9"/>
        <v>CG2A00000478</v>
      </c>
      <c r="C604" t="s">
        <v>229</v>
      </c>
      <c r="D604" t="s">
        <v>85</v>
      </c>
      <c r="E604" t="s">
        <v>496</v>
      </c>
      <c r="F604">
        <v>30000</v>
      </c>
      <c r="G604" s="13">
        <v>45349</v>
      </c>
      <c r="H604" s="13">
        <v>45351</v>
      </c>
      <c r="I604">
        <v>4209.1000000000004</v>
      </c>
      <c r="J604">
        <v>18173</v>
      </c>
      <c r="K604">
        <v>22382.1</v>
      </c>
      <c r="N604">
        <v>29.166666666666668</v>
      </c>
      <c r="O604">
        <v>92.193799999999996</v>
      </c>
      <c r="P604">
        <v>74.606999999999999</v>
      </c>
      <c r="Q604">
        <v>92</v>
      </c>
      <c r="R604">
        <v>96</v>
      </c>
      <c r="S604">
        <v>92</v>
      </c>
      <c r="T604">
        <v>9.7899999999999991</v>
      </c>
      <c r="U604">
        <v>5.4</v>
      </c>
      <c r="W604" t="s">
        <v>497</v>
      </c>
    </row>
    <row r="605" spans="1:23" x14ac:dyDescent="0.25">
      <c r="A605" t="s">
        <v>1106</v>
      </c>
      <c r="B605" t="str">
        <f t="shared" si="9"/>
        <v>CG2J00000503</v>
      </c>
      <c r="C605" t="s">
        <v>229</v>
      </c>
      <c r="D605" t="s">
        <v>85</v>
      </c>
      <c r="E605" t="s">
        <v>499</v>
      </c>
      <c r="F605">
        <v>10000</v>
      </c>
      <c r="G605" s="13">
        <v>45349</v>
      </c>
      <c r="H605" s="13">
        <v>45351</v>
      </c>
      <c r="I605">
        <v>2000</v>
      </c>
      <c r="J605">
        <v>1100</v>
      </c>
      <c r="K605">
        <v>3100</v>
      </c>
      <c r="N605">
        <v>16.666666666666664</v>
      </c>
      <c r="O605">
        <v>92.128799999999998</v>
      </c>
      <c r="P605">
        <v>31.1</v>
      </c>
      <c r="Q605">
        <v>91</v>
      </c>
      <c r="R605">
        <v>92</v>
      </c>
      <c r="S605">
        <v>90</v>
      </c>
      <c r="T605">
        <v>8.9499999999999993</v>
      </c>
      <c r="U605">
        <v>5.9</v>
      </c>
      <c r="W605" t="s">
        <v>497</v>
      </c>
    </row>
    <row r="606" spans="1:23" x14ac:dyDescent="0.25">
      <c r="A606" t="s">
        <v>1107</v>
      </c>
      <c r="B606" t="str">
        <f t="shared" si="9"/>
        <v>TD2A00000735</v>
      </c>
      <c r="C606" t="s">
        <v>237</v>
      </c>
      <c r="D606" t="s">
        <v>85</v>
      </c>
      <c r="E606" t="s">
        <v>496</v>
      </c>
      <c r="F606">
        <v>10000</v>
      </c>
      <c r="G606" s="13">
        <v>45350</v>
      </c>
      <c r="H606" s="13">
        <v>45352</v>
      </c>
      <c r="I606">
        <v>8300</v>
      </c>
      <c r="J606">
        <v>1700</v>
      </c>
      <c r="K606">
        <v>10000</v>
      </c>
      <c r="N606">
        <v>66.666666666666657</v>
      </c>
      <c r="O606">
        <v>92.7821</v>
      </c>
      <c r="P606">
        <v>218.5959</v>
      </c>
      <c r="Q606">
        <v>91</v>
      </c>
      <c r="R606">
        <v>93</v>
      </c>
      <c r="S606">
        <v>90</v>
      </c>
      <c r="T606">
        <v>10.6</v>
      </c>
      <c r="U606">
        <v>6.5</v>
      </c>
      <c r="W606" t="s">
        <v>497</v>
      </c>
    </row>
    <row r="607" spans="1:23" x14ac:dyDescent="0.25">
      <c r="A607" t="s">
        <v>1108</v>
      </c>
      <c r="B607" t="str">
        <f t="shared" si="9"/>
        <v>TD2A00000743</v>
      </c>
      <c r="C607" t="s">
        <v>237</v>
      </c>
      <c r="D607" t="s">
        <v>85</v>
      </c>
      <c r="E607" t="s">
        <v>496</v>
      </c>
      <c r="F607">
        <v>20000</v>
      </c>
      <c r="G607" s="13">
        <v>45357</v>
      </c>
      <c r="H607" s="13">
        <v>45359</v>
      </c>
      <c r="I607">
        <v>0</v>
      </c>
      <c r="J607">
        <v>20000</v>
      </c>
      <c r="K607">
        <v>20000</v>
      </c>
      <c r="N607">
        <v>50</v>
      </c>
      <c r="O607">
        <v>91.2363</v>
      </c>
      <c r="P607">
        <v>139.45230000000001</v>
      </c>
      <c r="Q607">
        <v>90.5</v>
      </c>
      <c r="R607">
        <v>96.7</v>
      </c>
      <c r="S607">
        <v>90</v>
      </c>
      <c r="T607">
        <v>11.53</v>
      </c>
      <c r="U607">
        <v>6.5</v>
      </c>
      <c r="W607" t="s">
        <v>497</v>
      </c>
    </row>
    <row r="608" spans="1:23" x14ac:dyDescent="0.25">
      <c r="A608" t="s">
        <v>1109</v>
      </c>
      <c r="B608" t="str">
        <f t="shared" si="9"/>
        <v>CG2J00000503</v>
      </c>
      <c r="C608" t="s">
        <v>229</v>
      </c>
      <c r="D608" t="s">
        <v>85</v>
      </c>
      <c r="E608" t="s">
        <v>499</v>
      </c>
      <c r="F608">
        <v>10000</v>
      </c>
      <c r="G608" s="13">
        <v>45363</v>
      </c>
      <c r="H608" s="13">
        <v>45365</v>
      </c>
      <c r="J608">
        <v>570</v>
      </c>
      <c r="K608">
        <v>570</v>
      </c>
      <c r="N608">
        <v>8.3333333333333321</v>
      </c>
      <c r="O608">
        <v>93.554199999999994</v>
      </c>
      <c r="P608">
        <v>5.7</v>
      </c>
      <c r="Q608">
        <v>92</v>
      </c>
      <c r="R608">
        <v>93</v>
      </c>
      <c r="S608">
        <v>92</v>
      </c>
      <c r="T608">
        <v>8.3699999999999992</v>
      </c>
      <c r="U608">
        <v>5.9</v>
      </c>
      <c r="W608" t="s">
        <v>497</v>
      </c>
    </row>
    <row r="609" spans="1:23" x14ac:dyDescent="0.25">
      <c r="A609" t="s">
        <v>1110</v>
      </c>
      <c r="B609" t="str">
        <f t="shared" si="9"/>
        <v>TD2A00000750</v>
      </c>
      <c r="C609" t="s">
        <v>237</v>
      </c>
      <c r="D609" t="s">
        <v>85</v>
      </c>
      <c r="E609" t="s">
        <v>496</v>
      </c>
      <c r="F609">
        <v>20000</v>
      </c>
      <c r="G609" s="13">
        <v>45364</v>
      </c>
      <c r="H609" s="13">
        <v>45366</v>
      </c>
      <c r="I609">
        <v>0</v>
      </c>
      <c r="J609">
        <v>15940.79</v>
      </c>
      <c r="K609">
        <v>15940.79</v>
      </c>
      <c r="N609">
        <v>50</v>
      </c>
      <c r="O609">
        <v>90.764399999999995</v>
      </c>
      <c r="P609">
        <v>79.703999999999994</v>
      </c>
      <c r="Q609">
        <v>90</v>
      </c>
      <c r="R609">
        <v>96.1</v>
      </c>
      <c r="S609">
        <v>90</v>
      </c>
      <c r="T609">
        <v>11.82</v>
      </c>
      <c r="U609">
        <v>6.5</v>
      </c>
      <c r="W609" t="s">
        <v>497</v>
      </c>
    </row>
    <row r="610" spans="1:23" x14ac:dyDescent="0.25">
      <c r="A610" t="s">
        <v>1111</v>
      </c>
      <c r="B610" t="str">
        <f t="shared" si="9"/>
        <v>TD2J00000496</v>
      </c>
      <c r="C610" t="s">
        <v>237</v>
      </c>
      <c r="D610" t="s">
        <v>85</v>
      </c>
      <c r="E610" t="s">
        <v>499</v>
      </c>
      <c r="F610">
        <v>2000</v>
      </c>
      <c r="G610" s="13">
        <v>45364</v>
      </c>
      <c r="H610" s="13">
        <v>45366</v>
      </c>
      <c r="I610">
        <v>2000</v>
      </c>
      <c r="J610">
        <v>0</v>
      </c>
      <c r="K610">
        <v>2000</v>
      </c>
      <c r="N610">
        <v>8.3333333333333321</v>
      </c>
      <c r="O610">
        <v>100</v>
      </c>
      <c r="P610">
        <v>100</v>
      </c>
      <c r="Q610">
        <v>100</v>
      </c>
      <c r="R610">
        <v>100</v>
      </c>
      <c r="S610">
        <v>100</v>
      </c>
      <c r="T610">
        <v>5</v>
      </c>
      <c r="U610">
        <v>5</v>
      </c>
      <c r="W610" t="s">
        <v>497</v>
      </c>
    </row>
    <row r="611" spans="1:23" x14ac:dyDescent="0.25">
      <c r="A611" t="s">
        <v>1112</v>
      </c>
      <c r="B611" t="str">
        <f t="shared" si="9"/>
        <v>CF2J00000109</v>
      </c>
      <c r="C611" t="s">
        <v>634</v>
      </c>
      <c r="D611" t="s">
        <v>85</v>
      </c>
      <c r="E611" t="s">
        <v>499</v>
      </c>
      <c r="F611">
        <v>5000</v>
      </c>
      <c r="G611" s="13">
        <v>45369</v>
      </c>
      <c r="H611" s="13">
        <v>45371</v>
      </c>
      <c r="I611">
        <v>1000</v>
      </c>
      <c r="J611">
        <v>150</v>
      </c>
      <c r="K611">
        <v>1150</v>
      </c>
      <c r="N611">
        <v>22.222222222222221</v>
      </c>
      <c r="O611">
        <v>89.521699999999996</v>
      </c>
      <c r="P611">
        <v>23</v>
      </c>
      <c r="Q611">
        <v>89</v>
      </c>
      <c r="R611">
        <v>93</v>
      </c>
      <c r="S611">
        <v>89</v>
      </c>
      <c r="T611">
        <v>10.41</v>
      </c>
      <c r="U611">
        <v>6.25</v>
      </c>
      <c r="W611" t="s">
        <v>497</v>
      </c>
    </row>
    <row r="612" spans="1:23" x14ac:dyDescent="0.25">
      <c r="A612" t="s">
        <v>1113</v>
      </c>
      <c r="B612" t="str">
        <f t="shared" si="9"/>
        <v>CG2J00000503</v>
      </c>
      <c r="C612" t="s">
        <v>229</v>
      </c>
      <c r="D612" t="s">
        <v>85</v>
      </c>
      <c r="E612" t="s">
        <v>499</v>
      </c>
      <c r="F612">
        <v>15000</v>
      </c>
      <c r="G612" s="13">
        <v>45370</v>
      </c>
      <c r="H612" s="13">
        <v>45372</v>
      </c>
      <c r="I612">
        <v>1000</v>
      </c>
      <c r="J612">
        <v>4850</v>
      </c>
      <c r="K612">
        <v>5850</v>
      </c>
      <c r="N612">
        <v>12.5</v>
      </c>
      <c r="O612">
        <v>91.234300000000005</v>
      </c>
      <c r="P612">
        <v>39</v>
      </c>
      <c r="Q612">
        <v>90</v>
      </c>
      <c r="R612">
        <v>92.5</v>
      </c>
      <c r="S612">
        <v>90</v>
      </c>
      <c r="T612">
        <v>9.32</v>
      </c>
      <c r="U612">
        <v>5.9</v>
      </c>
      <c r="W612" t="s">
        <v>497</v>
      </c>
    </row>
    <row r="613" spans="1:23" x14ac:dyDescent="0.25">
      <c r="A613" t="s">
        <v>1114</v>
      </c>
      <c r="B613" t="str">
        <f t="shared" si="9"/>
        <v>TD2A00000768</v>
      </c>
      <c r="C613" t="s">
        <v>237</v>
      </c>
      <c r="D613" t="s">
        <v>85</v>
      </c>
      <c r="E613" t="s">
        <v>496</v>
      </c>
      <c r="F613">
        <v>30000</v>
      </c>
      <c r="G613" s="13">
        <v>45371</v>
      </c>
      <c r="H613" s="13">
        <v>45373</v>
      </c>
      <c r="J613">
        <v>5871</v>
      </c>
      <c r="K613">
        <v>5871</v>
      </c>
      <c r="N613">
        <v>50</v>
      </c>
      <c r="O613">
        <v>90.337299999999999</v>
      </c>
      <c r="P613">
        <v>19.57</v>
      </c>
      <c r="Q613">
        <v>90</v>
      </c>
      <c r="R613">
        <v>96.8</v>
      </c>
      <c r="S613">
        <v>90</v>
      </c>
      <c r="T613">
        <v>11.55</v>
      </c>
      <c r="U613">
        <v>6</v>
      </c>
      <c r="W613" t="s">
        <v>497</v>
      </c>
    </row>
    <row r="614" spans="1:23" x14ac:dyDescent="0.25">
      <c r="A614" t="s">
        <v>1115</v>
      </c>
      <c r="B614" t="str">
        <f t="shared" si="9"/>
        <v>CM2L00000077</v>
      </c>
      <c r="C614" t="s">
        <v>225</v>
      </c>
      <c r="D614" t="s">
        <v>85</v>
      </c>
      <c r="E614" t="s">
        <v>547</v>
      </c>
      <c r="F614">
        <v>40000</v>
      </c>
      <c r="G614" s="13">
        <v>45376</v>
      </c>
      <c r="H614" s="13">
        <v>45378</v>
      </c>
      <c r="I614">
        <v>8161</v>
      </c>
      <c r="J614">
        <v>0</v>
      </c>
      <c r="K614">
        <v>8161</v>
      </c>
      <c r="N614">
        <v>31.818181818181817</v>
      </c>
      <c r="O614">
        <v>96.054500000000004</v>
      </c>
      <c r="P614">
        <v>26.24</v>
      </c>
      <c r="Q614">
        <v>96</v>
      </c>
      <c r="R614">
        <v>97</v>
      </c>
      <c r="S614">
        <v>90</v>
      </c>
      <c r="T614">
        <v>7.58</v>
      </c>
      <c r="U614">
        <v>6.75</v>
      </c>
      <c r="W614" t="s">
        <v>497</v>
      </c>
    </row>
    <row r="615" spans="1:23" x14ac:dyDescent="0.25">
      <c r="A615" t="s">
        <v>1116</v>
      </c>
      <c r="B615" t="str">
        <f t="shared" si="9"/>
        <v>CG2A00000486</v>
      </c>
      <c r="C615" t="s">
        <v>229</v>
      </c>
      <c r="D615" t="s">
        <v>85</v>
      </c>
      <c r="E615" t="s">
        <v>496</v>
      </c>
      <c r="F615">
        <v>20000</v>
      </c>
      <c r="G615" s="13">
        <v>45377</v>
      </c>
      <c r="H615" s="13">
        <v>45379</v>
      </c>
      <c r="I615">
        <v>8450</v>
      </c>
      <c r="J615">
        <v>3866.25</v>
      </c>
      <c r="K615">
        <v>12316.25</v>
      </c>
      <c r="N615">
        <v>20.833333333333336</v>
      </c>
      <c r="O615">
        <v>92.738399999999999</v>
      </c>
      <c r="P615">
        <v>61.581299999999999</v>
      </c>
      <c r="Q615">
        <v>92</v>
      </c>
      <c r="R615">
        <v>93</v>
      </c>
      <c r="S615">
        <v>92</v>
      </c>
      <c r="T615">
        <v>9.58</v>
      </c>
      <c r="U615">
        <v>5.5</v>
      </c>
      <c r="W615" t="s">
        <v>497</v>
      </c>
    </row>
    <row r="616" spans="1:23" x14ac:dyDescent="0.25">
      <c r="A616" t="s">
        <v>1117</v>
      </c>
      <c r="B616" t="str">
        <f t="shared" si="9"/>
        <v>CG2K00000195</v>
      </c>
      <c r="C616" t="s">
        <v>229</v>
      </c>
      <c r="D616" t="s">
        <v>85</v>
      </c>
      <c r="E616" t="s">
        <v>516</v>
      </c>
      <c r="F616">
        <v>25000</v>
      </c>
      <c r="G616" s="13">
        <v>45377</v>
      </c>
      <c r="H616" s="13">
        <v>45379</v>
      </c>
      <c r="I616">
        <v>3000</v>
      </c>
      <c r="J616">
        <v>7015</v>
      </c>
      <c r="K616">
        <v>10015</v>
      </c>
      <c r="N616">
        <v>8.3333333333333321</v>
      </c>
      <c r="O616">
        <v>91</v>
      </c>
      <c r="P616">
        <v>40.06</v>
      </c>
      <c r="Q616">
        <v>91</v>
      </c>
      <c r="R616">
        <v>91</v>
      </c>
      <c r="S616">
        <v>91</v>
      </c>
      <c r="T616">
        <v>8.7100000000000009</v>
      </c>
      <c r="U616">
        <v>6</v>
      </c>
      <c r="W616" t="s">
        <v>497</v>
      </c>
    </row>
    <row r="617" spans="1:23" x14ac:dyDescent="0.25">
      <c r="A617" t="s">
        <v>1118</v>
      </c>
      <c r="B617" t="str">
        <f t="shared" si="9"/>
        <v>CG2A00000403</v>
      </c>
      <c r="C617" t="s">
        <v>229</v>
      </c>
      <c r="D617" t="s">
        <v>85</v>
      </c>
      <c r="E617" t="s">
        <v>496</v>
      </c>
      <c r="F617">
        <v>21975</v>
      </c>
      <c r="G617" s="13">
        <v>45384</v>
      </c>
      <c r="H617" s="13">
        <v>45386</v>
      </c>
      <c r="I617">
        <v>16000</v>
      </c>
      <c r="J617">
        <v>5975</v>
      </c>
      <c r="K617">
        <v>21975</v>
      </c>
      <c r="N617">
        <v>20.833333333333336</v>
      </c>
      <c r="O617">
        <v>97.680800000000005</v>
      </c>
      <c r="P617">
        <v>100</v>
      </c>
      <c r="Q617">
        <v>97.5</v>
      </c>
      <c r="R617">
        <v>97.5</v>
      </c>
      <c r="S617">
        <v>97.5</v>
      </c>
      <c r="T617">
        <v>7.96</v>
      </c>
      <c r="U617">
        <v>5.5</v>
      </c>
      <c r="W617" t="s">
        <v>875</v>
      </c>
    </row>
    <row r="618" spans="1:23" x14ac:dyDescent="0.25">
      <c r="A618" t="s">
        <v>1119</v>
      </c>
      <c r="B618" t="str">
        <f t="shared" si="9"/>
        <v>CG2A00000437</v>
      </c>
      <c r="C618" t="s">
        <v>229</v>
      </c>
      <c r="D618" t="s">
        <v>85</v>
      </c>
      <c r="E618" t="s">
        <v>496</v>
      </c>
      <c r="F618">
        <v>24894</v>
      </c>
      <c r="G618" s="13">
        <v>45384</v>
      </c>
      <c r="H618" s="13">
        <v>45386</v>
      </c>
      <c r="I618">
        <v>20904</v>
      </c>
      <c r="J618">
        <v>3790.2999999999993</v>
      </c>
      <c r="K618">
        <v>24694.3</v>
      </c>
      <c r="N618">
        <v>12.5</v>
      </c>
      <c r="O618">
        <v>98.8005</v>
      </c>
      <c r="P618">
        <v>99.197800000000001</v>
      </c>
      <c r="Q618">
        <v>95.75</v>
      </c>
      <c r="R618">
        <v>95.75</v>
      </c>
      <c r="S618">
        <v>95.75</v>
      </c>
      <c r="T618">
        <v>6.75</v>
      </c>
      <c r="U618">
        <v>5.5</v>
      </c>
      <c r="W618" t="s">
        <v>875</v>
      </c>
    </row>
    <row r="619" spans="1:23" x14ac:dyDescent="0.25">
      <c r="A619" t="s">
        <v>1120</v>
      </c>
      <c r="B619" t="str">
        <f t="shared" si="9"/>
        <v>CG2A00000445</v>
      </c>
      <c r="C619" t="s">
        <v>229</v>
      </c>
      <c r="D619" t="s">
        <v>85</v>
      </c>
      <c r="E619" t="s">
        <v>496</v>
      </c>
      <c r="F619">
        <v>2660</v>
      </c>
      <c r="G619" s="13">
        <v>45384</v>
      </c>
      <c r="H619" s="13">
        <v>45386</v>
      </c>
      <c r="I619">
        <v>2659</v>
      </c>
      <c r="J619">
        <v>0</v>
      </c>
      <c r="K619">
        <v>2659</v>
      </c>
      <c r="N619">
        <v>4.1666666666666661</v>
      </c>
      <c r="O619">
        <v>97.375399999999999</v>
      </c>
      <c r="P619">
        <v>99.962400000000002</v>
      </c>
      <c r="Q619">
        <v>95</v>
      </c>
      <c r="R619">
        <v>95</v>
      </c>
      <c r="S619">
        <v>95</v>
      </c>
      <c r="T619">
        <v>6.83</v>
      </c>
      <c r="U619">
        <v>5.4</v>
      </c>
      <c r="W619" t="s">
        <v>875</v>
      </c>
    </row>
    <row r="620" spans="1:23" x14ac:dyDescent="0.25">
      <c r="A620" t="s">
        <v>1121</v>
      </c>
      <c r="B620" t="str">
        <f t="shared" si="9"/>
        <v>CG2A00000452</v>
      </c>
      <c r="C620" t="s">
        <v>229</v>
      </c>
      <c r="D620" t="s">
        <v>85</v>
      </c>
      <c r="E620" t="s">
        <v>496</v>
      </c>
      <c r="F620">
        <v>2641</v>
      </c>
      <c r="G620" s="13">
        <v>45384</v>
      </c>
      <c r="H620" s="13">
        <v>45386</v>
      </c>
      <c r="I620">
        <v>0</v>
      </c>
      <c r="J620">
        <v>2641</v>
      </c>
      <c r="K620">
        <v>2641</v>
      </c>
      <c r="N620">
        <v>4.1666666666666661</v>
      </c>
      <c r="O620">
        <v>97.556299999999993</v>
      </c>
      <c r="P620">
        <v>100</v>
      </c>
      <c r="Q620">
        <v>95.2</v>
      </c>
      <c r="R620">
        <v>95.2</v>
      </c>
      <c r="S620">
        <v>95.2</v>
      </c>
      <c r="T620">
        <v>6.93</v>
      </c>
      <c r="U620">
        <v>5.6</v>
      </c>
      <c r="W620" t="s">
        <v>875</v>
      </c>
    </row>
    <row r="621" spans="1:23" x14ac:dyDescent="0.25">
      <c r="A621" t="s">
        <v>1122</v>
      </c>
      <c r="B621" t="str">
        <f t="shared" si="9"/>
        <v>CG2J00000313</v>
      </c>
      <c r="C621" t="s">
        <v>229</v>
      </c>
      <c r="D621" t="s">
        <v>85</v>
      </c>
      <c r="E621" t="s">
        <v>499</v>
      </c>
      <c r="F621">
        <v>2427</v>
      </c>
      <c r="G621" s="13">
        <v>45384</v>
      </c>
      <c r="H621" s="13">
        <v>45386</v>
      </c>
      <c r="I621">
        <v>0</v>
      </c>
      <c r="J621">
        <v>2427</v>
      </c>
      <c r="K621">
        <v>2427</v>
      </c>
      <c r="N621">
        <v>4.1666666666666661</v>
      </c>
      <c r="O621">
        <v>97.104900000000001</v>
      </c>
      <c r="P621">
        <v>100</v>
      </c>
      <c r="Q621">
        <v>95.4</v>
      </c>
      <c r="R621">
        <v>95.4</v>
      </c>
      <c r="S621">
        <v>95.4</v>
      </c>
      <c r="T621">
        <v>7.59</v>
      </c>
      <c r="U621">
        <v>6</v>
      </c>
      <c r="W621" t="s">
        <v>875</v>
      </c>
    </row>
    <row r="622" spans="1:23" x14ac:dyDescent="0.25">
      <c r="A622" t="s">
        <v>1123</v>
      </c>
      <c r="B622" t="str">
        <f t="shared" si="9"/>
        <v>CG2J00000339</v>
      </c>
      <c r="C622" t="s">
        <v>229</v>
      </c>
      <c r="D622" t="s">
        <v>85</v>
      </c>
      <c r="E622" t="s">
        <v>499</v>
      </c>
      <c r="F622">
        <v>1432</v>
      </c>
      <c r="G622" s="13">
        <v>45384</v>
      </c>
      <c r="H622" s="13">
        <v>45386</v>
      </c>
      <c r="I622">
        <v>0</v>
      </c>
      <c r="J622">
        <v>1432</v>
      </c>
      <c r="K622">
        <v>1432</v>
      </c>
      <c r="N622">
        <v>4.1666666666666661</v>
      </c>
      <c r="O622">
        <v>95.354100000000003</v>
      </c>
      <c r="P622">
        <v>100</v>
      </c>
      <c r="Q622">
        <v>94.6</v>
      </c>
      <c r="R622">
        <v>94.6</v>
      </c>
      <c r="S622">
        <v>94.6</v>
      </c>
      <c r="T622">
        <v>8.32</v>
      </c>
      <c r="U622">
        <v>5.75</v>
      </c>
      <c r="W622" t="s">
        <v>875</v>
      </c>
    </row>
    <row r="623" spans="1:23" x14ac:dyDescent="0.25">
      <c r="A623" t="s">
        <v>1124</v>
      </c>
      <c r="B623" t="str">
        <f t="shared" si="9"/>
        <v>CG2J00000370</v>
      </c>
      <c r="C623" t="s">
        <v>229</v>
      </c>
      <c r="D623" t="s">
        <v>85</v>
      </c>
      <c r="E623" t="s">
        <v>499</v>
      </c>
      <c r="F623">
        <v>32000</v>
      </c>
      <c r="G623" s="13">
        <v>45384</v>
      </c>
      <c r="H623" s="13">
        <v>45386</v>
      </c>
      <c r="I623">
        <v>26902.28</v>
      </c>
      <c r="J623">
        <v>5097.7200000000012</v>
      </c>
      <c r="K623">
        <v>32000</v>
      </c>
      <c r="N623">
        <v>20.833333333333336</v>
      </c>
      <c r="O623">
        <v>98.819699999999997</v>
      </c>
      <c r="P623">
        <v>118.0822</v>
      </c>
      <c r="Q623">
        <v>94</v>
      </c>
      <c r="R623">
        <v>94</v>
      </c>
      <c r="S623">
        <v>94</v>
      </c>
      <c r="T623">
        <v>6.64</v>
      </c>
      <c r="U623">
        <v>6</v>
      </c>
      <c r="W623" t="s">
        <v>875</v>
      </c>
    </row>
    <row r="624" spans="1:23" x14ac:dyDescent="0.25">
      <c r="A624" t="s">
        <v>1125</v>
      </c>
      <c r="B624" t="str">
        <f t="shared" si="9"/>
        <v>CG2J00000529</v>
      </c>
      <c r="C624" t="s">
        <v>229</v>
      </c>
      <c r="D624" t="s">
        <v>85</v>
      </c>
      <c r="E624" t="s">
        <v>499</v>
      </c>
      <c r="F624">
        <v>43054</v>
      </c>
      <c r="G624" s="13">
        <v>45384</v>
      </c>
      <c r="H624" s="13">
        <v>45386</v>
      </c>
      <c r="I624">
        <v>33771.58</v>
      </c>
      <c r="J624">
        <v>9282.4199999999983</v>
      </c>
      <c r="K624">
        <v>43054</v>
      </c>
      <c r="N624">
        <v>12.5</v>
      </c>
      <c r="O624">
        <v>93</v>
      </c>
      <c r="P624">
        <v>101.80540000000001</v>
      </c>
      <c r="Q624">
        <v>93</v>
      </c>
      <c r="R624">
        <v>93</v>
      </c>
      <c r="S624">
        <v>93</v>
      </c>
      <c r="T624">
        <v>9.2200000000000006</v>
      </c>
      <c r="U624">
        <v>6.5</v>
      </c>
      <c r="W624" t="s">
        <v>875</v>
      </c>
    </row>
    <row r="625" spans="1:23" x14ac:dyDescent="0.25">
      <c r="A625" t="s">
        <v>1126</v>
      </c>
      <c r="B625" t="str">
        <f t="shared" si="9"/>
        <v>CG2K00000203</v>
      </c>
      <c r="C625" t="s">
        <v>229</v>
      </c>
      <c r="D625" t="s">
        <v>85</v>
      </c>
      <c r="E625" t="s">
        <v>516</v>
      </c>
      <c r="F625">
        <v>31300</v>
      </c>
      <c r="G625" s="13">
        <v>45384</v>
      </c>
      <c r="H625" s="13">
        <v>45386</v>
      </c>
      <c r="I625">
        <v>19890</v>
      </c>
      <c r="J625">
        <v>10772.759999999998</v>
      </c>
      <c r="K625">
        <v>30662.76</v>
      </c>
      <c r="N625">
        <v>12.5</v>
      </c>
      <c r="O625">
        <v>91</v>
      </c>
      <c r="P625">
        <v>97.964100000000002</v>
      </c>
      <c r="Q625">
        <v>91</v>
      </c>
      <c r="R625">
        <v>91</v>
      </c>
      <c r="S625">
        <v>91</v>
      </c>
      <c r="T625">
        <v>9.2200000000000006</v>
      </c>
      <c r="U625">
        <v>6.5</v>
      </c>
      <c r="W625" t="s">
        <v>875</v>
      </c>
    </row>
    <row r="626" spans="1:23" x14ac:dyDescent="0.25">
      <c r="A626" t="s">
        <v>1127</v>
      </c>
      <c r="B626" t="str">
        <f t="shared" si="9"/>
        <v>CG2B00000048</v>
      </c>
      <c r="C626" t="s">
        <v>229</v>
      </c>
      <c r="D626" t="s">
        <v>85</v>
      </c>
      <c r="E626" t="s">
        <v>507</v>
      </c>
      <c r="F626">
        <v>1957</v>
      </c>
      <c r="G626" s="13">
        <v>45384</v>
      </c>
      <c r="H626" s="13">
        <v>45386</v>
      </c>
      <c r="I626">
        <v>0</v>
      </c>
      <c r="J626">
        <v>1956</v>
      </c>
      <c r="K626">
        <v>1956</v>
      </c>
      <c r="N626">
        <v>4.1666666666666661</v>
      </c>
      <c r="O626">
        <v>93.710400000000007</v>
      </c>
      <c r="P626">
        <v>99.948899999999995</v>
      </c>
      <c r="Q626">
        <v>93</v>
      </c>
      <c r="R626">
        <v>93</v>
      </c>
      <c r="S626">
        <v>93</v>
      </c>
      <c r="T626">
        <v>8.94</v>
      </c>
      <c r="U626">
        <v>6.5</v>
      </c>
      <c r="W626" t="s">
        <v>875</v>
      </c>
    </row>
    <row r="627" spans="1:23" x14ac:dyDescent="0.25">
      <c r="A627" t="s">
        <v>1128</v>
      </c>
      <c r="B627" t="str">
        <f t="shared" si="9"/>
        <v>CG2B00000147</v>
      </c>
      <c r="C627" t="s">
        <v>229</v>
      </c>
      <c r="D627" t="s">
        <v>85</v>
      </c>
      <c r="E627" t="s">
        <v>507</v>
      </c>
      <c r="F627">
        <v>1135</v>
      </c>
      <c r="G627" s="13">
        <v>45384</v>
      </c>
      <c r="H627" s="13">
        <v>45386</v>
      </c>
      <c r="I627">
        <v>0</v>
      </c>
      <c r="J627">
        <v>1135</v>
      </c>
      <c r="K627">
        <v>1135</v>
      </c>
      <c r="N627">
        <v>4.1666666666666661</v>
      </c>
      <c r="O627">
        <v>94.972700000000003</v>
      </c>
      <c r="P627">
        <v>100</v>
      </c>
      <c r="Q627">
        <v>90</v>
      </c>
      <c r="R627">
        <v>90</v>
      </c>
      <c r="S627">
        <v>90</v>
      </c>
      <c r="T627">
        <v>7.99</v>
      </c>
      <c r="U627">
        <v>6.5</v>
      </c>
      <c r="W627" t="s">
        <v>875</v>
      </c>
    </row>
    <row r="628" spans="1:23" x14ac:dyDescent="0.25">
      <c r="A628" t="s">
        <v>1129</v>
      </c>
      <c r="B628" t="str">
        <f t="shared" si="9"/>
        <v>CG2L00000046</v>
      </c>
      <c r="C628" t="s">
        <v>229</v>
      </c>
      <c r="D628" t="s">
        <v>85</v>
      </c>
      <c r="E628" t="s">
        <v>547</v>
      </c>
      <c r="F628">
        <v>3350</v>
      </c>
      <c r="G628" s="13">
        <v>45384</v>
      </c>
      <c r="H628" s="13">
        <v>45386</v>
      </c>
      <c r="I628">
        <v>1050</v>
      </c>
      <c r="J628">
        <v>2000</v>
      </c>
      <c r="K628">
        <v>3050</v>
      </c>
      <c r="N628">
        <v>8.3333333333333321</v>
      </c>
      <c r="O628">
        <v>89</v>
      </c>
      <c r="P628">
        <v>91.044799999999995</v>
      </c>
      <c r="Q628">
        <v>89</v>
      </c>
      <c r="R628">
        <v>89</v>
      </c>
      <c r="S628">
        <v>89</v>
      </c>
      <c r="T628">
        <v>9.7100000000000009</v>
      </c>
      <c r="U628">
        <v>7.25</v>
      </c>
      <c r="W628" t="s">
        <v>875</v>
      </c>
    </row>
    <row r="629" spans="1:23" x14ac:dyDescent="0.25">
      <c r="A629" t="s">
        <v>1130</v>
      </c>
      <c r="B629" t="str">
        <f t="shared" si="9"/>
        <v>CG2A00000403</v>
      </c>
      <c r="C629" t="s">
        <v>229</v>
      </c>
      <c r="D629" t="s">
        <v>85</v>
      </c>
      <c r="E629" t="s">
        <v>496</v>
      </c>
      <c r="F629">
        <v>4000</v>
      </c>
      <c r="G629" s="13">
        <v>45384</v>
      </c>
      <c r="H629" s="13">
        <v>45386</v>
      </c>
      <c r="I629">
        <v>4000</v>
      </c>
      <c r="J629">
        <v>0</v>
      </c>
      <c r="K629">
        <v>4000</v>
      </c>
      <c r="N629">
        <v>4.1666666666666661</v>
      </c>
      <c r="O629">
        <v>100.1808</v>
      </c>
      <c r="P629">
        <v>100</v>
      </c>
      <c r="Q629">
        <v>100</v>
      </c>
      <c r="R629">
        <v>100</v>
      </c>
      <c r="S629">
        <v>100</v>
      </c>
      <c r="T629">
        <v>5.31</v>
      </c>
      <c r="U629">
        <v>5.5</v>
      </c>
      <c r="W629" t="s">
        <v>681</v>
      </c>
    </row>
    <row r="630" spans="1:23" x14ac:dyDescent="0.25">
      <c r="A630" t="s">
        <v>1131</v>
      </c>
      <c r="B630" t="str">
        <f t="shared" si="9"/>
        <v>CG2J00000248</v>
      </c>
      <c r="C630" t="s">
        <v>229</v>
      </c>
      <c r="D630" t="s">
        <v>85</v>
      </c>
      <c r="E630" t="s">
        <v>499</v>
      </c>
      <c r="F630">
        <v>29779</v>
      </c>
      <c r="G630" s="13">
        <v>45384</v>
      </c>
      <c r="H630" s="13">
        <v>45386</v>
      </c>
      <c r="J630">
        <v>29779</v>
      </c>
      <c r="K630">
        <v>29779</v>
      </c>
      <c r="O630">
        <v>100</v>
      </c>
      <c r="P630">
        <v>100.57</v>
      </c>
      <c r="Q630">
        <v>100</v>
      </c>
      <c r="R630">
        <v>100</v>
      </c>
      <c r="S630">
        <v>100</v>
      </c>
      <c r="U630">
        <v>6</v>
      </c>
      <c r="W630" t="s">
        <v>681</v>
      </c>
    </row>
    <row r="631" spans="1:23" x14ac:dyDescent="0.25">
      <c r="A631" t="s">
        <v>1132</v>
      </c>
      <c r="B631" t="str">
        <f t="shared" si="9"/>
        <v>CG2J00000123</v>
      </c>
      <c r="C631" t="s">
        <v>229</v>
      </c>
      <c r="D631" t="s">
        <v>85</v>
      </c>
      <c r="E631" t="s">
        <v>499</v>
      </c>
      <c r="F631">
        <v>6865</v>
      </c>
      <c r="G631" s="13">
        <v>45384</v>
      </c>
      <c r="H631" s="13">
        <v>45386</v>
      </c>
      <c r="J631">
        <v>6865</v>
      </c>
      <c r="K631">
        <v>6865</v>
      </c>
      <c r="O631">
        <v>100</v>
      </c>
      <c r="P631">
        <v>100</v>
      </c>
      <c r="Q631">
        <v>100</v>
      </c>
      <c r="R631">
        <v>100</v>
      </c>
      <c r="S631">
        <v>100</v>
      </c>
      <c r="U631">
        <v>6</v>
      </c>
      <c r="W631" t="s">
        <v>681</v>
      </c>
    </row>
    <row r="632" spans="1:23" x14ac:dyDescent="0.25">
      <c r="A632" t="s">
        <v>1133</v>
      </c>
      <c r="B632" t="str">
        <f t="shared" si="9"/>
        <v>CG2J00000131</v>
      </c>
      <c r="C632" t="s">
        <v>229</v>
      </c>
      <c r="D632" t="s">
        <v>85</v>
      </c>
      <c r="E632" t="s">
        <v>499</v>
      </c>
      <c r="F632">
        <v>8000</v>
      </c>
      <c r="G632" s="13">
        <v>45384</v>
      </c>
      <c r="H632" s="13">
        <v>45386</v>
      </c>
      <c r="J632">
        <v>8000</v>
      </c>
      <c r="K632">
        <v>8000</v>
      </c>
      <c r="N632">
        <v>0</v>
      </c>
      <c r="O632">
        <v>100</v>
      </c>
      <c r="P632">
        <v>100</v>
      </c>
      <c r="Q632">
        <v>100</v>
      </c>
      <c r="R632">
        <v>100</v>
      </c>
      <c r="S632">
        <v>100</v>
      </c>
      <c r="U632">
        <v>6</v>
      </c>
      <c r="W632" t="s">
        <v>681</v>
      </c>
    </row>
    <row r="633" spans="1:23" x14ac:dyDescent="0.25">
      <c r="A633" t="s">
        <v>1134</v>
      </c>
      <c r="B633" t="str">
        <f t="shared" si="9"/>
        <v>CG2A00000288</v>
      </c>
      <c r="C633" t="s">
        <v>229</v>
      </c>
      <c r="D633" t="s">
        <v>85</v>
      </c>
      <c r="E633" t="s">
        <v>496</v>
      </c>
      <c r="F633">
        <v>9875</v>
      </c>
      <c r="G633" s="13">
        <v>45384</v>
      </c>
      <c r="H633" s="13">
        <v>45386</v>
      </c>
      <c r="J633">
        <v>9875</v>
      </c>
      <c r="K633">
        <v>9875</v>
      </c>
      <c r="N633">
        <v>0</v>
      </c>
      <c r="O633">
        <v>100</v>
      </c>
      <c r="P633">
        <v>100</v>
      </c>
      <c r="Q633">
        <v>100</v>
      </c>
      <c r="R633">
        <v>100</v>
      </c>
      <c r="S633">
        <v>100</v>
      </c>
      <c r="U633">
        <v>5.25</v>
      </c>
      <c r="W633" t="s">
        <v>681</v>
      </c>
    </row>
    <row r="634" spans="1:23" x14ac:dyDescent="0.25">
      <c r="A634" t="s">
        <v>1135</v>
      </c>
      <c r="B634" t="str">
        <f t="shared" si="9"/>
        <v>CG2J00000149</v>
      </c>
      <c r="C634" t="s">
        <v>229</v>
      </c>
      <c r="D634" t="s">
        <v>85</v>
      </c>
      <c r="E634" t="s">
        <v>499</v>
      </c>
      <c r="F634">
        <v>5000</v>
      </c>
      <c r="G634" s="13">
        <v>45384</v>
      </c>
      <c r="H634" s="13">
        <v>45386</v>
      </c>
      <c r="J634">
        <v>5000</v>
      </c>
      <c r="K634">
        <v>5000</v>
      </c>
      <c r="N634">
        <v>0</v>
      </c>
      <c r="O634">
        <v>100</v>
      </c>
      <c r="P634">
        <v>100</v>
      </c>
      <c r="Q634">
        <v>100</v>
      </c>
      <c r="R634">
        <v>100</v>
      </c>
      <c r="S634">
        <v>100</v>
      </c>
      <c r="U634">
        <v>6</v>
      </c>
      <c r="W634" t="s">
        <v>681</v>
      </c>
    </row>
    <row r="635" spans="1:23" x14ac:dyDescent="0.25">
      <c r="A635" t="s">
        <v>1136</v>
      </c>
      <c r="B635" t="str">
        <f t="shared" si="9"/>
        <v>CG2J00000164</v>
      </c>
      <c r="C635" t="s">
        <v>229</v>
      </c>
      <c r="D635" t="s">
        <v>85</v>
      </c>
      <c r="E635" t="s">
        <v>499</v>
      </c>
      <c r="F635">
        <v>4190</v>
      </c>
      <c r="G635" s="13">
        <v>45384</v>
      </c>
      <c r="H635" s="13">
        <v>45386</v>
      </c>
      <c r="J635">
        <v>4190</v>
      </c>
      <c r="K635">
        <v>4190</v>
      </c>
      <c r="N635">
        <v>0</v>
      </c>
      <c r="O635">
        <v>100</v>
      </c>
      <c r="P635">
        <v>100</v>
      </c>
      <c r="Q635">
        <v>100</v>
      </c>
      <c r="R635">
        <v>100</v>
      </c>
      <c r="S635">
        <v>100</v>
      </c>
      <c r="U635">
        <v>6</v>
      </c>
      <c r="W635" t="s">
        <v>681</v>
      </c>
    </row>
    <row r="636" spans="1:23" x14ac:dyDescent="0.25">
      <c r="A636" t="s">
        <v>1137</v>
      </c>
      <c r="B636" t="str">
        <f t="shared" si="9"/>
        <v>CG2A00000296</v>
      </c>
      <c r="C636" t="s">
        <v>229</v>
      </c>
      <c r="D636" t="s">
        <v>85</v>
      </c>
      <c r="E636" t="s">
        <v>496</v>
      </c>
      <c r="F636">
        <v>4782</v>
      </c>
      <c r="G636" s="13">
        <v>45384</v>
      </c>
      <c r="H636" s="13">
        <v>45386</v>
      </c>
      <c r="J636">
        <v>4782</v>
      </c>
      <c r="K636">
        <v>4782</v>
      </c>
      <c r="N636">
        <v>0</v>
      </c>
      <c r="O636">
        <v>100</v>
      </c>
      <c r="P636">
        <v>100.01</v>
      </c>
      <c r="Q636">
        <v>100</v>
      </c>
      <c r="R636">
        <v>100</v>
      </c>
      <c r="S636">
        <v>100</v>
      </c>
      <c r="U636">
        <v>5.25</v>
      </c>
      <c r="W636" t="s">
        <v>681</v>
      </c>
    </row>
    <row r="637" spans="1:23" x14ac:dyDescent="0.25">
      <c r="A637" t="s">
        <v>1138</v>
      </c>
      <c r="B637" t="str">
        <f t="shared" si="9"/>
        <v>CG2A00000304</v>
      </c>
      <c r="C637" t="s">
        <v>229</v>
      </c>
      <c r="D637" t="s">
        <v>85</v>
      </c>
      <c r="E637" t="s">
        <v>496</v>
      </c>
      <c r="F637">
        <v>4500</v>
      </c>
      <c r="G637" s="13">
        <v>45384</v>
      </c>
      <c r="H637" s="13">
        <v>45386</v>
      </c>
      <c r="J637">
        <v>4500</v>
      </c>
      <c r="K637">
        <v>4500</v>
      </c>
      <c r="N637">
        <v>0</v>
      </c>
      <c r="O637">
        <v>100</v>
      </c>
      <c r="P637">
        <v>100</v>
      </c>
      <c r="Q637">
        <v>100</v>
      </c>
      <c r="R637">
        <v>100</v>
      </c>
      <c r="S637">
        <v>100</v>
      </c>
      <c r="U637">
        <v>5.25</v>
      </c>
      <c r="W637" t="s">
        <v>681</v>
      </c>
    </row>
    <row r="638" spans="1:23" x14ac:dyDescent="0.25">
      <c r="A638" t="s">
        <v>1139</v>
      </c>
      <c r="B638" t="str">
        <f t="shared" si="9"/>
        <v>CG2A00000312</v>
      </c>
      <c r="C638" t="s">
        <v>229</v>
      </c>
      <c r="D638" t="s">
        <v>85</v>
      </c>
      <c r="E638" t="s">
        <v>496</v>
      </c>
      <c r="F638">
        <v>3388</v>
      </c>
      <c r="G638" s="13">
        <v>45384</v>
      </c>
      <c r="H638" s="13">
        <v>45386</v>
      </c>
      <c r="J638">
        <v>2398</v>
      </c>
      <c r="K638">
        <v>2398</v>
      </c>
      <c r="N638">
        <v>0</v>
      </c>
      <c r="O638">
        <v>100</v>
      </c>
      <c r="P638">
        <v>70.78</v>
      </c>
      <c r="Q638">
        <v>100</v>
      </c>
      <c r="R638">
        <v>100</v>
      </c>
      <c r="S638">
        <v>100</v>
      </c>
      <c r="U638">
        <v>5.25</v>
      </c>
      <c r="W638" t="s">
        <v>681</v>
      </c>
    </row>
    <row r="639" spans="1:23" x14ac:dyDescent="0.25">
      <c r="A639" t="s">
        <v>1140</v>
      </c>
      <c r="B639" t="str">
        <f t="shared" si="9"/>
        <v>CG2A00000320</v>
      </c>
      <c r="C639" t="s">
        <v>229</v>
      </c>
      <c r="D639" t="s">
        <v>85</v>
      </c>
      <c r="E639" t="s">
        <v>496</v>
      </c>
      <c r="F639">
        <v>7860</v>
      </c>
      <c r="G639" s="13">
        <v>45384</v>
      </c>
      <c r="H639" s="13">
        <v>45386</v>
      </c>
      <c r="J639">
        <v>7860</v>
      </c>
      <c r="K639">
        <v>7860</v>
      </c>
      <c r="N639">
        <v>0</v>
      </c>
      <c r="O639">
        <v>100</v>
      </c>
      <c r="P639">
        <v>100</v>
      </c>
      <c r="Q639">
        <v>100</v>
      </c>
      <c r="R639">
        <v>100</v>
      </c>
      <c r="S639">
        <v>100</v>
      </c>
      <c r="U639">
        <v>5.25</v>
      </c>
      <c r="W639" t="s">
        <v>681</v>
      </c>
    </row>
    <row r="640" spans="1:23" x14ac:dyDescent="0.25">
      <c r="A640" t="s">
        <v>1141</v>
      </c>
      <c r="B640" t="str">
        <f t="shared" si="9"/>
        <v>CG2A00000338</v>
      </c>
      <c r="C640" t="s">
        <v>229</v>
      </c>
      <c r="D640" t="s">
        <v>85</v>
      </c>
      <c r="E640" t="s">
        <v>496</v>
      </c>
      <c r="F640">
        <v>17900</v>
      </c>
      <c r="G640" s="13">
        <v>45384</v>
      </c>
      <c r="H640" s="13">
        <v>45386</v>
      </c>
      <c r="J640">
        <v>17900</v>
      </c>
      <c r="K640">
        <v>17900</v>
      </c>
      <c r="N640">
        <v>0</v>
      </c>
      <c r="O640">
        <v>100</v>
      </c>
      <c r="P640">
        <v>100</v>
      </c>
      <c r="Q640">
        <v>100</v>
      </c>
      <c r="R640">
        <v>100</v>
      </c>
      <c r="S640">
        <v>100</v>
      </c>
      <c r="U640">
        <v>5.5</v>
      </c>
      <c r="W640" t="s">
        <v>681</v>
      </c>
    </row>
    <row r="641" spans="1:23" x14ac:dyDescent="0.25">
      <c r="A641" t="s">
        <v>1142</v>
      </c>
      <c r="B641" t="str">
        <f t="shared" si="9"/>
        <v>CG2A00000353</v>
      </c>
      <c r="C641" t="s">
        <v>229</v>
      </c>
      <c r="D641" t="s">
        <v>85</v>
      </c>
      <c r="E641" t="s">
        <v>496</v>
      </c>
      <c r="F641">
        <v>4500</v>
      </c>
      <c r="G641" s="13">
        <v>45384</v>
      </c>
      <c r="H641" s="13">
        <v>45386</v>
      </c>
      <c r="J641">
        <v>4500</v>
      </c>
      <c r="K641">
        <v>4500</v>
      </c>
      <c r="N641">
        <v>0</v>
      </c>
      <c r="O641">
        <v>100</v>
      </c>
      <c r="P641">
        <v>100</v>
      </c>
      <c r="Q641">
        <v>100</v>
      </c>
      <c r="R641">
        <v>100</v>
      </c>
      <c r="S641">
        <v>100</v>
      </c>
      <c r="U641">
        <v>5.5</v>
      </c>
      <c r="W641" t="s">
        <v>681</v>
      </c>
    </row>
    <row r="642" spans="1:23" x14ac:dyDescent="0.25">
      <c r="A642" t="s">
        <v>1143</v>
      </c>
      <c r="B642" t="str">
        <f t="shared" si="9"/>
        <v>CG2A00000361</v>
      </c>
      <c r="C642" t="s">
        <v>229</v>
      </c>
      <c r="D642" t="s">
        <v>85</v>
      </c>
      <c r="E642" t="s">
        <v>496</v>
      </c>
      <c r="F642">
        <v>17789.5</v>
      </c>
      <c r="G642" s="13">
        <v>45384</v>
      </c>
      <c r="H642" s="13">
        <v>45386</v>
      </c>
      <c r="J642">
        <v>17789.5</v>
      </c>
      <c r="K642">
        <v>17789.5</v>
      </c>
      <c r="N642">
        <v>0</v>
      </c>
      <c r="O642">
        <v>100</v>
      </c>
      <c r="P642">
        <v>100</v>
      </c>
      <c r="Q642">
        <v>100</v>
      </c>
      <c r="R642">
        <v>100</v>
      </c>
      <c r="S642">
        <v>100</v>
      </c>
      <c r="U642">
        <v>5.5</v>
      </c>
      <c r="W642" t="s">
        <v>681</v>
      </c>
    </row>
    <row r="643" spans="1:23" x14ac:dyDescent="0.25">
      <c r="A643" t="s">
        <v>1144</v>
      </c>
      <c r="B643" t="str">
        <f t="shared" si="9"/>
        <v>CG2A00000403</v>
      </c>
      <c r="C643" t="s">
        <v>229</v>
      </c>
      <c r="D643" t="s">
        <v>85</v>
      </c>
      <c r="E643" t="s">
        <v>496</v>
      </c>
      <c r="F643">
        <v>4000</v>
      </c>
      <c r="G643" s="13">
        <v>45384</v>
      </c>
      <c r="H643" s="13">
        <v>45386</v>
      </c>
      <c r="J643">
        <v>4000</v>
      </c>
      <c r="K643">
        <v>4000</v>
      </c>
      <c r="N643">
        <v>0</v>
      </c>
      <c r="O643">
        <v>100</v>
      </c>
      <c r="P643">
        <v>100</v>
      </c>
      <c r="Q643">
        <v>100</v>
      </c>
      <c r="R643">
        <v>100</v>
      </c>
      <c r="S643">
        <v>100</v>
      </c>
      <c r="U643">
        <v>5.5</v>
      </c>
      <c r="W643" t="s">
        <v>681</v>
      </c>
    </row>
    <row r="644" spans="1:23" x14ac:dyDescent="0.25">
      <c r="A644" t="s">
        <v>1145</v>
      </c>
      <c r="B644" t="str">
        <f t="shared" si="9"/>
        <v>CG2A00000395</v>
      </c>
      <c r="C644" t="s">
        <v>229</v>
      </c>
      <c r="D644" t="s">
        <v>85</v>
      </c>
      <c r="E644" t="s">
        <v>496</v>
      </c>
      <c r="F644">
        <v>5257</v>
      </c>
      <c r="G644" s="13">
        <v>45384</v>
      </c>
      <c r="H644" s="13">
        <v>45386</v>
      </c>
      <c r="J644">
        <v>5256.5</v>
      </c>
      <c r="K644">
        <v>5256.5</v>
      </c>
      <c r="N644">
        <v>0</v>
      </c>
      <c r="O644">
        <v>100</v>
      </c>
      <c r="P644">
        <v>99.99</v>
      </c>
      <c r="Q644">
        <v>100</v>
      </c>
      <c r="R644">
        <v>100</v>
      </c>
      <c r="S644">
        <v>100</v>
      </c>
      <c r="U644">
        <v>6.5</v>
      </c>
      <c r="W644" t="s">
        <v>681</v>
      </c>
    </row>
    <row r="645" spans="1:23" x14ac:dyDescent="0.25">
      <c r="A645" t="s">
        <v>1146</v>
      </c>
      <c r="B645" t="str">
        <f t="shared" ref="B645:B708" si="10">MID(A645,1,12)</f>
        <v>CG2J00000214</v>
      </c>
      <c r="C645" t="s">
        <v>229</v>
      </c>
      <c r="D645" t="s">
        <v>85</v>
      </c>
      <c r="E645" t="s">
        <v>499</v>
      </c>
      <c r="F645">
        <v>2500</v>
      </c>
      <c r="G645" s="13">
        <v>45384</v>
      </c>
      <c r="H645" s="13">
        <v>45386</v>
      </c>
      <c r="J645">
        <v>2500</v>
      </c>
      <c r="K645">
        <v>2500</v>
      </c>
      <c r="N645">
        <v>0</v>
      </c>
      <c r="O645">
        <v>100</v>
      </c>
      <c r="P645">
        <v>100</v>
      </c>
      <c r="Q645">
        <v>100</v>
      </c>
      <c r="R645">
        <v>100</v>
      </c>
      <c r="S645">
        <v>100</v>
      </c>
      <c r="U645">
        <v>6</v>
      </c>
      <c r="W645" t="s">
        <v>681</v>
      </c>
    </row>
    <row r="646" spans="1:23" x14ac:dyDescent="0.25">
      <c r="A646" t="s">
        <v>1147</v>
      </c>
      <c r="B646" t="str">
        <f t="shared" si="10"/>
        <v>CG2J00000198</v>
      </c>
      <c r="C646" t="s">
        <v>229</v>
      </c>
      <c r="D646" t="s">
        <v>85</v>
      </c>
      <c r="E646" t="s">
        <v>499</v>
      </c>
      <c r="F646">
        <v>7000</v>
      </c>
      <c r="G646" s="13">
        <v>45384</v>
      </c>
      <c r="H646" s="13">
        <v>45386</v>
      </c>
      <c r="J646">
        <v>2000</v>
      </c>
      <c r="K646">
        <v>2000</v>
      </c>
      <c r="N646">
        <v>0</v>
      </c>
      <c r="O646">
        <v>100</v>
      </c>
      <c r="P646">
        <v>28.57</v>
      </c>
      <c r="Q646">
        <v>100</v>
      </c>
      <c r="R646">
        <v>100</v>
      </c>
      <c r="S646">
        <v>100</v>
      </c>
      <c r="U646">
        <v>6</v>
      </c>
      <c r="W646" t="s">
        <v>681</v>
      </c>
    </row>
    <row r="647" spans="1:23" x14ac:dyDescent="0.25">
      <c r="A647" t="s">
        <v>1148</v>
      </c>
      <c r="B647" t="str">
        <f t="shared" si="10"/>
        <v>CG2J00000222</v>
      </c>
      <c r="C647" t="s">
        <v>229</v>
      </c>
      <c r="D647" t="s">
        <v>85</v>
      </c>
      <c r="E647" t="s">
        <v>499</v>
      </c>
      <c r="F647">
        <v>4500</v>
      </c>
      <c r="G647" s="13">
        <v>45384</v>
      </c>
      <c r="H647" s="13">
        <v>45386</v>
      </c>
      <c r="J647">
        <v>4500</v>
      </c>
      <c r="K647">
        <v>4500</v>
      </c>
      <c r="N647">
        <v>0</v>
      </c>
      <c r="O647">
        <v>100</v>
      </c>
      <c r="P647">
        <v>100</v>
      </c>
      <c r="Q647">
        <v>100</v>
      </c>
      <c r="R647">
        <v>100</v>
      </c>
      <c r="S647">
        <v>100</v>
      </c>
      <c r="U647">
        <v>6</v>
      </c>
      <c r="W647" t="s">
        <v>681</v>
      </c>
    </row>
    <row r="648" spans="1:23" x14ac:dyDescent="0.25">
      <c r="A648" t="s">
        <v>1149</v>
      </c>
      <c r="B648" t="str">
        <f t="shared" si="10"/>
        <v>CG2J00000156</v>
      </c>
      <c r="C648" t="s">
        <v>229</v>
      </c>
      <c r="D648" t="s">
        <v>85</v>
      </c>
      <c r="E648" t="s">
        <v>499</v>
      </c>
      <c r="F648">
        <v>4950</v>
      </c>
      <c r="G648" s="13">
        <v>45384</v>
      </c>
      <c r="H648" s="13">
        <v>45386</v>
      </c>
      <c r="J648">
        <v>4950</v>
      </c>
      <c r="K648">
        <v>4950</v>
      </c>
      <c r="N648">
        <v>0</v>
      </c>
      <c r="O648">
        <v>100</v>
      </c>
      <c r="P648">
        <v>100</v>
      </c>
      <c r="Q648">
        <v>100</v>
      </c>
      <c r="R648">
        <v>100</v>
      </c>
      <c r="S648">
        <v>100</v>
      </c>
      <c r="U648">
        <v>6</v>
      </c>
      <c r="W648" t="s">
        <v>681</v>
      </c>
    </row>
    <row r="649" spans="1:23" x14ac:dyDescent="0.25">
      <c r="A649" t="s">
        <v>1150</v>
      </c>
      <c r="B649" t="str">
        <f t="shared" si="10"/>
        <v>TD2A00000776</v>
      </c>
      <c r="C649" t="s">
        <v>237</v>
      </c>
      <c r="D649" t="s">
        <v>85</v>
      </c>
      <c r="E649" t="s">
        <v>496</v>
      </c>
      <c r="F649">
        <v>10000</v>
      </c>
      <c r="G649" s="13">
        <v>45392</v>
      </c>
      <c r="H649" s="13">
        <v>45394</v>
      </c>
      <c r="I649">
        <v>0</v>
      </c>
      <c r="J649">
        <v>6698.41</v>
      </c>
      <c r="K649">
        <v>6698.41</v>
      </c>
      <c r="N649">
        <v>25</v>
      </c>
      <c r="O649">
        <v>90.618899999999996</v>
      </c>
      <c r="P649">
        <v>66.984099999999998</v>
      </c>
      <c r="Q649">
        <v>90</v>
      </c>
      <c r="R649">
        <v>90</v>
      </c>
      <c r="S649">
        <v>93.7</v>
      </c>
      <c r="T649">
        <v>11.38</v>
      </c>
      <c r="U649">
        <v>6</v>
      </c>
      <c r="W649" t="s">
        <v>497</v>
      </c>
    </row>
    <row r="650" spans="1:23" x14ac:dyDescent="0.25">
      <c r="A650" t="s">
        <v>1151</v>
      </c>
      <c r="B650" t="str">
        <f t="shared" si="10"/>
        <v>CG2A00000494</v>
      </c>
      <c r="C650" t="s">
        <v>229</v>
      </c>
      <c r="D650" t="s">
        <v>85</v>
      </c>
      <c r="E650" t="s">
        <v>496</v>
      </c>
      <c r="F650">
        <v>15000</v>
      </c>
      <c r="G650" s="13">
        <v>45391</v>
      </c>
      <c r="H650" s="13">
        <v>45393</v>
      </c>
      <c r="I650">
        <v>796</v>
      </c>
      <c r="J650">
        <v>11753.5</v>
      </c>
      <c r="K650">
        <v>12549.5</v>
      </c>
      <c r="N650">
        <v>20.833333333333336</v>
      </c>
      <c r="O650">
        <v>92.120900000000006</v>
      </c>
      <c r="P650">
        <v>83.863299999999995</v>
      </c>
      <c r="Q650">
        <v>91</v>
      </c>
      <c r="R650">
        <v>90</v>
      </c>
      <c r="S650">
        <v>93</v>
      </c>
      <c r="T650">
        <v>9.84</v>
      </c>
      <c r="U650">
        <v>5.4</v>
      </c>
      <c r="W650" t="s">
        <v>497</v>
      </c>
    </row>
    <row r="651" spans="1:23" x14ac:dyDescent="0.25">
      <c r="A651" t="s">
        <v>1152</v>
      </c>
      <c r="B651" t="str">
        <f t="shared" si="10"/>
        <v>GA2K00000082</v>
      </c>
      <c r="C651" t="s">
        <v>227</v>
      </c>
      <c r="D651" t="s">
        <v>85</v>
      </c>
      <c r="E651" t="s">
        <v>516</v>
      </c>
      <c r="F651">
        <v>10000</v>
      </c>
      <c r="G651" s="13">
        <v>45392</v>
      </c>
      <c r="H651" s="13">
        <v>45394</v>
      </c>
      <c r="I651">
        <v>0</v>
      </c>
      <c r="J651">
        <v>4243</v>
      </c>
      <c r="K651">
        <v>4243</v>
      </c>
      <c r="N651">
        <v>9.5238095238095237</v>
      </c>
      <c r="O651">
        <v>95.404399999999995</v>
      </c>
      <c r="P651">
        <v>42.43</v>
      </c>
      <c r="Q651">
        <v>90</v>
      </c>
      <c r="R651">
        <v>90</v>
      </c>
      <c r="S651">
        <v>90.5</v>
      </c>
      <c r="T651">
        <v>7.49</v>
      </c>
      <c r="U651">
        <v>5.75</v>
      </c>
      <c r="W651" t="s">
        <v>497</v>
      </c>
    </row>
    <row r="652" spans="1:23" x14ac:dyDescent="0.25">
      <c r="A652" t="s">
        <v>1153</v>
      </c>
      <c r="B652" t="str">
        <f t="shared" si="10"/>
        <v>CG2J00000123</v>
      </c>
      <c r="C652" t="s">
        <v>229</v>
      </c>
      <c r="D652" t="s">
        <v>85</v>
      </c>
      <c r="E652" t="s">
        <v>499</v>
      </c>
      <c r="G652" s="13">
        <v>45398</v>
      </c>
      <c r="H652" s="13">
        <v>45400</v>
      </c>
      <c r="J652">
        <v>0</v>
      </c>
      <c r="T652" t="s">
        <v>946</v>
      </c>
      <c r="W652" t="s">
        <v>681</v>
      </c>
    </row>
    <row r="653" spans="1:23" x14ac:dyDescent="0.25">
      <c r="A653" t="s">
        <v>1154</v>
      </c>
      <c r="B653" t="str">
        <f t="shared" si="10"/>
        <v>CG2A00000288</v>
      </c>
      <c r="C653" t="s">
        <v>229</v>
      </c>
      <c r="D653" t="s">
        <v>85</v>
      </c>
      <c r="E653" t="s">
        <v>496</v>
      </c>
      <c r="G653" s="13">
        <v>45398</v>
      </c>
      <c r="H653" s="13">
        <v>45400</v>
      </c>
      <c r="J653">
        <v>0</v>
      </c>
      <c r="N653">
        <v>0</v>
      </c>
      <c r="T653" t="s">
        <v>946</v>
      </c>
      <c r="W653" t="s">
        <v>681</v>
      </c>
    </row>
    <row r="654" spans="1:23" x14ac:dyDescent="0.25">
      <c r="A654" t="s">
        <v>1155</v>
      </c>
      <c r="B654" t="str">
        <f t="shared" si="10"/>
        <v>CG2A00000312</v>
      </c>
      <c r="C654" t="s">
        <v>229</v>
      </c>
      <c r="D654" t="s">
        <v>85</v>
      </c>
      <c r="E654" t="s">
        <v>496</v>
      </c>
      <c r="G654" s="13">
        <v>45398</v>
      </c>
      <c r="H654" s="13">
        <v>45400</v>
      </c>
      <c r="J654">
        <v>0</v>
      </c>
      <c r="T654" t="s">
        <v>946</v>
      </c>
      <c r="W654" t="s">
        <v>681</v>
      </c>
    </row>
    <row r="655" spans="1:23" x14ac:dyDescent="0.25">
      <c r="A655" t="s">
        <v>1156</v>
      </c>
      <c r="B655" t="str">
        <f t="shared" si="10"/>
        <v>CG2A00000361</v>
      </c>
      <c r="C655" t="s">
        <v>229</v>
      </c>
      <c r="D655" t="s">
        <v>85</v>
      </c>
      <c r="E655" t="s">
        <v>496</v>
      </c>
      <c r="G655" s="13">
        <v>45398</v>
      </c>
      <c r="H655" s="13">
        <v>45400</v>
      </c>
      <c r="J655">
        <v>0</v>
      </c>
      <c r="T655" t="s">
        <v>946</v>
      </c>
      <c r="W655" t="s">
        <v>681</v>
      </c>
    </row>
    <row r="656" spans="1:23" x14ac:dyDescent="0.25">
      <c r="A656" t="s">
        <v>1157</v>
      </c>
      <c r="B656" t="str">
        <f t="shared" si="10"/>
        <v>CG2A00000395</v>
      </c>
      <c r="C656" t="s">
        <v>229</v>
      </c>
      <c r="D656" t="s">
        <v>85</v>
      </c>
      <c r="E656" t="s">
        <v>496</v>
      </c>
      <c r="G656" s="13">
        <v>45398</v>
      </c>
      <c r="H656" s="13">
        <v>45400</v>
      </c>
      <c r="J656">
        <v>0</v>
      </c>
      <c r="T656" t="s">
        <v>946</v>
      </c>
      <c r="W656" t="s">
        <v>681</v>
      </c>
    </row>
    <row r="657" spans="1:23" x14ac:dyDescent="0.25">
      <c r="A657" t="s">
        <v>1136</v>
      </c>
      <c r="B657" t="str">
        <f t="shared" si="10"/>
        <v>CG2J00000164</v>
      </c>
      <c r="C657" t="s">
        <v>229</v>
      </c>
      <c r="D657" t="s">
        <v>85</v>
      </c>
      <c r="E657" t="s">
        <v>499</v>
      </c>
      <c r="G657" s="13">
        <v>45398</v>
      </c>
      <c r="H657" s="13">
        <v>45400</v>
      </c>
      <c r="J657">
        <v>0</v>
      </c>
      <c r="T657" t="s">
        <v>946</v>
      </c>
      <c r="W657" t="s">
        <v>681</v>
      </c>
    </row>
    <row r="658" spans="1:23" x14ac:dyDescent="0.25">
      <c r="A658" t="s">
        <v>1158</v>
      </c>
      <c r="B658" t="str">
        <f t="shared" si="10"/>
        <v>CG2A00000494</v>
      </c>
      <c r="C658" t="s">
        <v>229</v>
      </c>
      <c r="D658" t="s">
        <v>85</v>
      </c>
      <c r="E658" t="s">
        <v>496</v>
      </c>
      <c r="G658" s="13">
        <v>45398</v>
      </c>
      <c r="H658" s="13">
        <v>45400</v>
      </c>
      <c r="J658">
        <v>0</v>
      </c>
      <c r="N658">
        <v>0</v>
      </c>
      <c r="T658" t="s">
        <v>946</v>
      </c>
      <c r="W658" t="s">
        <v>497</v>
      </c>
    </row>
    <row r="659" spans="1:23" x14ac:dyDescent="0.25">
      <c r="A659" t="s">
        <v>1159</v>
      </c>
      <c r="B659" t="str">
        <f t="shared" si="10"/>
        <v>CG2J00000503</v>
      </c>
      <c r="C659" t="s">
        <v>229</v>
      </c>
      <c r="D659" t="s">
        <v>85</v>
      </c>
      <c r="E659" t="s">
        <v>499</v>
      </c>
      <c r="F659">
        <v>5000</v>
      </c>
      <c r="G659" s="13">
        <v>45398</v>
      </c>
      <c r="H659" s="13">
        <v>45400</v>
      </c>
      <c r="I659">
        <v>3285.7</v>
      </c>
      <c r="J659">
        <v>0</v>
      </c>
      <c r="K659">
        <v>3285.7</v>
      </c>
      <c r="N659">
        <v>4.1666666666666661</v>
      </c>
      <c r="O659">
        <v>93.241299999999995</v>
      </c>
      <c r="P659">
        <v>65.713999999999999</v>
      </c>
      <c r="Q659">
        <v>92</v>
      </c>
      <c r="R659">
        <v>92</v>
      </c>
      <c r="S659">
        <v>92</v>
      </c>
      <c r="T659">
        <v>8.5</v>
      </c>
      <c r="U659">
        <v>5.9</v>
      </c>
      <c r="W659" t="s">
        <v>497</v>
      </c>
    </row>
    <row r="660" spans="1:23" x14ac:dyDescent="0.25">
      <c r="A660" t="s">
        <v>1160</v>
      </c>
      <c r="B660" t="str">
        <f t="shared" si="10"/>
        <v>TD2A00000784</v>
      </c>
      <c r="C660" t="s">
        <v>237</v>
      </c>
      <c r="D660" t="s">
        <v>85</v>
      </c>
      <c r="E660" t="s">
        <v>496</v>
      </c>
      <c r="F660">
        <v>20000</v>
      </c>
      <c r="G660" s="13">
        <v>45399</v>
      </c>
      <c r="H660" s="13">
        <v>45401</v>
      </c>
      <c r="I660">
        <v>2000</v>
      </c>
      <c r="J660">
        <v>5111.22</v>
      </c>
      <c r="K660">
        <v>7111.22</v>
      </c>
      <c r="N660">
        <v>41.666666666666671</v>
      </c>
      <c r="O660">
        <v>91.193700000000007</v>
      </c>
      <c r="P660">
        <v>35.556100000000001</v>
      </c>
      <c r="Q660">
        <v>90</v>
      </c>
      <c r="R660">
        <v>90</v>
      </c>
      <c r="S660">
        <v>94.85</v>
      </c>
      <c r="T660">
        <v>11.03</v>
      </c>
      <c r="U660">
        <v>6</v>
      </c>
      <c r="W660" t="s">
        <v>497</v>
      </c>
    </row>
    <row r="661" spans="1:23" x14ac:dyDescent="0.25">
      <c r="A661" t="s">
        <v>1161</v>
      </c>
      <c r="B661" t="str">
        <f t="shared" si="10"/>
        <v>CG2A00000502</v>
      </c>
      <c r="C661" t="s">
        <v>229</v>
      </c>
      <c r="D661" t="s">
        <v>85</v>
      </c>
      <c r="E661" t="s">
        <v>496</v>
      </c>
      <c r="F661">
        <v>18000</v>
      </c>
      <c r="G661" s="13">
        <v>45405</v>
      </c>
      <c r="H661" s="13">
        <v>45407</v>
      </c>
      <c r="I661">
        <v>4230</v>
      </c>
      <c r="J661">
        <v>20</v>
      </c>
      <c r="K661">
        <v>4250</v>
      </c>
      <c r="N661">
        <v>12.5</v>
      </c>
      <c r="O661">
        <v>92.974100000000007</v>
      </c>
      <c r="P661">
        <v>23.6111</v>
      </c>
      <c r="Q661">
        <v>92</v>
      </c>
      <c r="R661">
        <v>92</v>
      </c>
      <c r="S661">
        <v>99</v>
      </c>
      <c r="T661">
        <v>9.33</v>
      </c>
      <c r="U661">
        <v>5.4</v>
      </c>
      <c r="W661" t="s">
        <v>497</v>
      </c>
    </row>
    <row r="662" spans="1:23" x14ac:dyDescent="0.25">
      <c r="A662" t="s">
        <v>1162</v>
      </c>
      <c r="B662" t="str">
        <f t="shared" si="10"/>
        <v>CG2J00000537</v>
      </c>
      <c r="C662" t="s">
        <v>229</v>
      </c>
      <c r="D662" t="s">
        <v>85</v>
      </c>
      <c r="E662" t="s">
        <v>499</v>
      </c>
      <c r="G662" s="13">
        <v>45405</v>
      </c>
      <c r="H662" s="13">
        <v>45407</v>
      </c>
      <c r="J662">
        <v>0</v>
      </c>
      <c r="N662">
        <v>0</v>
      </c>
      <c r="T662" t="s">
        <v>946</v>
      </c>
      <c r="W662" t="s">
        <v>497</v>
      </c>
    </row>
    <row r="663" spans="1:23" x14ac:dyDescent="0.25">
      <c r="A663" t="s">
        <v>1163</v>
      </c>
      <c r="B663" t="str">
        <f t="shared" si="10"/>
        <v>CG2K00000211</v>
      </c>
      <c r="C663" t="s">
        <v>229</v>
      </c>
      <c r="D663" t="s">
        <v>85</v>
      </c>
      <c r="E663" t="s">
        <v>516</v>
      </c>
      <c r="F663">
        <v>5000</v>
      </c>
      <c r="G663" s="13">
        <v>45405</v>
      </c>
      <c r="H663" s="13">
        <v>45407</v>
      </c>
      <c r="I663">
        <v>100</v>
      </c>
      <c r="J663">
        <v>2900</v>
      </c>
      <c r="K663">
        <v>3000</v>
      </c>
      <c r="N663">
        <v>12.5</v>
      </c>
      <c r="O663">
        <v>91.034999999999997</v>
      </c>
      <c r="P663">
        <v>60.1</v>
      </c>
      <c r="Q663">
        <v>91</v>
      </c>
      <c r="R663">
        <v>90</v>
      </c>
      <c r="S663">
        <v>92.05</v>
      </c>
      <c r="T663">
        <v>8.91</v>
      </c>
      <c r="U663">
        <v>6.2</v>
      </c>
      <c r="W663" t="s">
        <v>497</v>
      </c>
    </row>
    <row r="664" spans="1:23" x14ac:dyDescent="0.25">
      <c r="A664" t="s">
        <v>1164</v>
      </c>
      <c r="B664" t="str">
        <f t="shared" si="10"/>
        <v>GA2B00000141</v>
      </c>
      <c r="C664" t="s">
        <v>227</v>
      </c>
      <c r="D664" t="s">
        <v>85</v>
      </c>
      <c r="E664" t="s">
        <v>507</v>
      </c>
      <c r="F664">
        <v>10000</v>
      </c>
      <c r="G664" s="13">
        <v>45406</v>
      </c>
      <c r="H664" s="13">
        <v>45408</v>
      </c>
      <c r="I664">
        <v>31</v>
      </c>
      <c r="J664">
        <v>5160</v>
      </c>
      <c r="K664">
        <v>5191</v>
      </c>
      <c r="N664">
        <v>23.809523809523807</v>
      </c>
      <c r="O664">
        <v>91.470799999999997</v>
      </c>
      <c r="P664">
        <v>51.946300000000001</v>
      </c>
      <c r="Q664">
        <v>90</v>
      </c>
      <c r="R664">
        <v>88</v>
      </c>
      <c r="S664">
        <v>93</v>
      </c>
      <c r="T664">
        <v>9.36</v>
      </c>
      <c r="U664">
        <v>6.75</v>
      </c>
      <c r="W664" t="s">
        <v>497</v>
      </c>
    </row>
    <row r="665" spans="1:23" x14ac:dyDescent="0.25">
      <c r="A665" t="s">
        <v>1165</v>
      </c>
      <c r="B665" t="str">
        <f t="shared" si="10"/>
        <v>TD2A00000792</v>
      </c>
      <c r="C665" t="s">
        <v>237</v>
      </c>
      <c r="D665" t="s">
        <v>85</v>
      </c>
      <c r="E665" t="s">
        <v>496</v>
      </c>
      <c r="F665">
        <v>10000</v>
      </c>
      <c r="G665" s="13">
        <v>45406</v>
      </c>
      <c r="H665" s="13">
        <v>45408</v>
      </c>
      <c r="I665">
        <v>0</v>
      </c>
      <c r="J665">
        <v>8225</v>
      </c>
      <c r="K665">
        <v>8225</v>
      </c>
      <c r="N665">
        <v>33.333333333333329</v>
      </c>
      <c r="O665">
        <v>90.091800000000006</v>
      </c>
      <c r="P665">
        <v>82.25</v>
      </c>
      <c r="Q665">
        <v>90</v>
      </c>
      <c r="R665">
        <v>90</v>
      </c>
      <c r="S665">
        <v>93</v>
      </c>
      <c r="T665">
        <v>11.7</v>
      </c>
      <c r="U665">
        <v>6</v>
      </c>
      <c r="W665" t="s">
        <v>497</v>
      </c>
    </row>
    <row r="666" spans="1:23" x14ac:dyDescent="0.25">
      <c r="A666" t="s">
        <v>1166</v>
      </c>
      <c r="B666" t="str">
        <f t="shared" si="10"/>
        <v>CF2J00000117</v>
      </c>
      <c r="C666" t="s">
        <v>634</v>
      </c>
      <c r="D666" t="s">
        <v>85</v>
      </c>
      <c r="E666" t="s">
        <v>499</v>
      </c>
      <c r="F666">
        <v>15000</v>
      </c>
      <c r="G666" s="13">
        <v>45411</v>
      </c>
      <c r="H666" s="13">
        <v>45413</v>
      </c>
      <c r="I666">
        <v>14940</v>
      </c>
      <c r="J666">
        <v>60</v>
      </c>
      <c r="K666">
        <v>15000</v>
      </c>
      <c r="N666">
        <v>22.222222222222221</v>
      </c>
      <c r="O666">
        <v>92</v>
      </c>
      <c r="P666">
        <v>100</v>
      </c>
      <c r="Q666">
        <v>92</v>
      </c>
      <c r="R666">
        <v>92</v>
      </c>
      <c r="S666">
        <v>92</v>
      </c>
      <c r="T666">
        <v>9.3699999999999992</v>
      </c>
      <c r="U666">
        <v>6.25</v>
      </c>
      <c r="W666" t="s">
        <v>875</v>
      </c>
    </row>
    <row r="667" spans="1:23" x14ac:dyDescent="0.25">
      <c r="A667" t="s">
        <v>1167</v>
      </c>
      <c r="B667" t="str">
        <f t="shared" si="10"/>
        <v>CF2K00000064</v>
      </c>
      <c r="C667" t="s">
        <v>634</v>
      </c>
      <c r="D667" t="s">
        <v>85</v>
      </c>
      <c r="E667" t="s">
        <v>516</v>
      </c>
      <c r="F667">
        <v>12500</v>
      </c>
      <c r="G667" s="13">
        <v>45411</v>
      </c>
      <c r="H667" s="13">
        <v>45413</v>
      </c>
      <c r="I667">
        <v>10317</v>
      </c>
      <c r="J667">
        <v>2183</v>
      </c>
      <c r="K667">
        <v>12500</v>
      </c>
      <c r="N667">
        <v>33.333333333333329</v>
      </c>
      <c r="O667">
        <v>91</v>
      </c>
      <c r="P667">
        <v>100</v>
      </c>
      <c r="Q667">
        <v>91</v>
      </c>
      <c r="R667">
        <v>91</v>
      </c>
      <c r="S667">
        <v>91</v>
      </c>
      <c r="T667">
        <v>9.51</v>
      </c>
      <c r="U667">
        <v>6.75</v>
      </c>
      <c r="W667" t="s">
        <v>875</v>
      </c>
    </row>
    <row r="668" spans="1:23" x14ac:dyDescent="0.25">
      <c r="A668" t="s">
        <v>1168</v>
      </c>
      <c r="B668" t="str">
        <f t="shared" si="10"/>
        <v>CF2B00000032</v>
      </c>
      <c r="C668" t="s">
        <v>634</v>
      </c>
      <c r="D668" t="s">
        <v>85</v>
      </c>
      <c r="E668" t="s">
        <v>507</v>
      </c>
      <c r="F668">
        <v>7500</v>
      </c>
      <c r="G668" s="13">
        <v>45411</v>
      </c>
      <c r="H668" s="13">
        <v>45413</v>
      </c>
      <c r="I668">
        <v>7500</v>
      </c>
      <c r="J668">
        <v>0</v>
      </c>
      <c r="K668">
        <v>7500</v>
      </c>
      <c r="N668">
        <v>11.111111111111111</v>
      </c>
      <c r="O668">
        <v>90</v>
      </c>
      <c r="P668">
        <v>100</v>
      </c>
      <c r="Q668">
        <v>90</v>
      </c>
      <c r="R668">
        <v>90</v>
      </c>
      <c r="S668">
        <v>90</v>
      </c>
      <c r="T668">
        <v>9.56</v>
      </c>
      <c r="U668">
        <v>7</v>
      </c>
      <c r="W668" t="s">
        <v>875</v>
      </c>
    </row>
    <row r="669" spans="1:23" x14ac:dyDescent="0.25">
      <c r="A669" t="s">
        <v>1169</v>
      </c>
      <c r="B669" t="str">
        <f t="shared" si="10"/>
        <v>CF2C00000015</v>
      </c>
      <c r="C669" t="s">
        <v>634</v>
      </c>
      <c r="D669" t="s">
        <v>85</v>
      </c>
      <c r="E669" t="s">
        <v>549</v>
      </c>
      <c r="F669">
        <v>7500</v>
      </c>
      <c r="G669" s="13">
        <v>45411</v>
      </c>
      <c r="H669" s="13">
        <v>45413</v>
      </c>
      <c r="I669">
        <v>7156.1</v>
      </c>
      <c r="J669">
        <v>343.89999999999964</v>
      </c>
      <c r="K669">
        <v>7500</v>
      </c>
      <c r="N669">
        <v>44.444444444444443</v>
      </c>
      <c r="O669">
        <v>88</v>
      </c>
      <c r="P669">
        <v>100</v>
      </c>
      <c r="Q669">
        <v>88</v>
      </c>
      <c r="R669">
        <v>88</v>
      </c>
      <c r="S669">
        <v>88</v>
      </c>
      <c r="T669">
        <v>9.92</v>
      </c>
      <c r="U669">
        <v>7.5</v>
      </c>
      <c r="W669" t="s">
        <v>875</v>
      </c>
    </row>
    <row r="670" spans="1:23" x14ac:dyDescent="0.25">
      <c r="A670" t="s">
        <v>1170</v>
      </c>
      <c r="B670" t="str">
        <f t="shared" si="10"/>
        <v>GA2K00000082</v>
      </c>
      <c r="C670" t="s">
        <v>227</v>
      </c>
      <c r="D670" t="s">
        <v>85</v>
      </c>
      <c r="E670" t="s">
        <v>516</v>
      </c>
      <c r="F670">
        <v>7500</v>
      </c>
      <c r="G670" s="13">
        <v>45413</v>
      </c>
      <c r="H670" s="13">
        <v>45415</v>
      </c>
      <c r="I670">
        <v>750</v>
      </c>
      <c r="J670">
        <v>6120</v>
      </c>
      <c r="K670">
        <v>6870</v>
      </c>
      <c r="N670">
        <v>19.047619047619047</v>
      </c>
      <c r="O670">
        <v>95.524799999999999</v>
      </c>
      <c r="P670">
        <v>91.6</v>
      </c>
      <c r="Q670">
        <v>90</v>
      </c>
      <c r="R670">
        <v>91.5</v>
      </c>
      <c r="S670">
        <v>90</v>
      </c>
      <c r="T670">
        <v>7.44</v>
      </c>
      <c r="U670">
        <v>5.75</v>
      </c>
      <c r="W670" t="s">
        <v>497</v>
      </c>
    </row>
    <row r="671" spans="1:23" x14ac:dyDescent="0.25">
      <c r="A671" t="s">
        <v>1171</v>
      </c>
      <c r="B671" t="str">
        <f t="shared" si="10"/>
        <v>TD2A00000800</v>
      </c>
      <c r="C671" t="s">
        <v>237</v>
      </c>
      <c r="D671" t="s">
        <v>85</v>
      </c>
      <c r="E671" t="s">
        <v>496</v>
      </c>
      <c r="F671">
        <v>20000</v>
      </c>
      <c r="G671" s="13">
        <v>45413</v>
      </c>
      <c r="H671" s="13">
        <v>45415</v>
      </c>
      <c r="I671">
        <v>0</v>
      </c>
      <c r="J671">
        <v>11187.7</v>
      </c>
      <c r="K671">
        <v>11187.7</v>
      </c>
      <c r="N671">
        <v>25</v>
      </c>
      <c r="O671">
        <v>90.026399999999995</v>
      </c>
      <c r="P671">
        <v>55.938499999999998</v>
      </c>
      <c r="Q671">
        <v>90</v>
      </c>
      <c r="R671">
        <v>94</v>
      </c>
      <c r="S671">
        <v>90</v>
      </c>
      <c r="T671">
        <v>11.74</v>
      </c>
      <c r="U671">
        <v>6</v>
      </c>
      <c r="W671" t="s">
        <v>497</v>
      </c>
    </row>
    <row r="672" spans="1:23" x14ac:dyDescent="0.25">
      <c r="A672" t="s">
        <v>1172</v>
      </c>
      <c r="B672" t="str">
        <f t="shared" si="10"/>
        <v>CF2K00000064</v>
      </c>
      <c r="C672" t="s">
        <v>634</v>
      </c>
      <c r="D672" t="s">
        <v>85</v>
      </c>
      <c r="E672" t="s">
        <v>516</v>
      </c>
      <c r="F672">
        <v>7500</v>
      </c>
      <c r="G672" s="13">
        <v>45418</v>
      </c>
      <c r="H672" s="13">
        <v>45420</v>
      </c>
      <c r="I672">
        <v>7500</v>
      </c>
      <c r="J672">
        <v>0</v>
      </c>
      <c r="K672">
        <v>7500</v>
      </c>
      <c r="N672">
        <v>11.111111111111111</v>
      </c>
      <c r="O672">
        <v>91.129499999999993</v>
      </c>
      <c r="P672">
        <v>100.16</v>
      </c>
      <c r="Q672">
        <v>91</v>
      </c>
      <c r="R672">
        <v>91</v>
      </c>
      <c r="S672">
        <v>91</v>
      </c>
      <c r="T672">
        <v>9.4700000000000006</v>
      </c>
      <c r="U672">
        <v>6.75</v>
      </c>
      <c r="W672" t="s">
        <v>681</v>
      </c>
    </row>
    <row r="673" spans="1:23" x14ac:dyDescent="0.25">
      <c r="A673" t="s">
        <v>1173</v>
      </c>
      <c r="B673" t="str">
        <f t="shared" si="10"/>
        <v>CF2B00000032</v>
      </c>
      <c r="C673" t="s">
        <v>634</v>
      </c>
      <c r="D673" t="s">
        <v>85</v>
      </c>
      <c r="E673" t="s">
        <v>507</v>
      </c>
      <c r="F673">
        <v>7500</v>
      </c>
      <c r="G673" s="13">
        <v>45418</v>
      </c>
      <c r="H673" s="13">
        <v>45420</v>
      </c>
      <c r="I673">
        <v>6450</v>
      </c>
      <c r="J673">
        <v>0</v>
      </c>
      <c r="K673">
        <v>6450</v>
      </c>
      <c r="N673">
        <v>11.111111111111111</v>
      </c>
      <c r="O673">
        <v>90.134200000000007</v>
      </c>
      <c r="P673">
        <v>86</v>
      </c>
      <c r="Q673">
        <v>90</v>
      </c>
      <c r="R673">
        <v>90</v>
      </c>
      <c r="S673">
        <v>90</v>
      </c>
      <c r="T673">
        <v>9.5299999999999994</v>
      </c>
      <c r="U673">
        <v>7</v>
      </c>
      <c r="W673" t="s">
        <v>681</v>
      </c>
    </row>
    <row r="674" spans="1:23" x14ac:dyDescent="0.25">
      <c r="A674" t="s">
        <v>1174</v>
      </c>
      <c r="B674" t="str">
        <f t="shared" si="10"/>
        <v>CF2J00000117</v>
      </c>
      <c r="C674" t="s">
        <v>634</v>
      </c>
      <c r="D674" t="s">
        <v>85</v>
      </c>
      <c r="E674" t="s">
        <v>499</v>
      </c>
      <c r="F674">
        <v>15000</v>
      </c>
      <c r="G674" s="13">
        <v>45418</v>
      </c>
      <c r="H674" s="13">
        <v>45420</v>
      </c>
      <c r="I674">
        <v>13962</v>
      </c>
      <c r="J674">
        <v>0</v>
      </c>
      <c r="K674">
        <v>13962</v>
      </c>
      <c r="N674">
        <v>11.111111111111111</v>
      </c>
      <c r="O674">
        <v>92.119900000000001</v>
      </c>
      <c r="P674">
        <v>93.08</v>
      </c>
      <c r="Q674">
        <v>92</v>
      </c>
      <c r="R674">
        <v>92</v>
      </c>
      <c r="S674">
        <v>92</v>
      </c>
      <c r="T674">
        <v>9.32</v>
      </c>
      <c r="U674">
        <v>6.25</v>
      </c>
      <c r="W674" t="s">
        <v>497</v>
      </c>
    </row>
    <row r="675" spans="1:23" x14ac:dyDescent="0.25">
      <c r="A675" t="s">
        <v>1175</v>
      </c>
      <c r="B675" t="str">
        <f t="shared" si="10"/>
        <v>CG2J00000545</v>
      </c>
      <c r="C675" t="s">
        <v>229</v>
      </c>
      <c r="D675" t="s">
        <v>85</v>
      </c>
      <c r="E675" t="s">
        <v>499</v>
      </c>
      <c r="F675">
        <v>25000</v>
      </c>
      <c r="G675" s="13">
        <v>45419</v>
      </c>
      <c r="H675" s="13">
        <v>45421</v>
      </c>
      <c r="J675">
        <v>0</v>
      </c>
      <c r="N675">
        <v>0</v>
      </c>
      <c r="T675" t="s">
        <v>946</v>
      </c>
      <c r="W675" t="s">
        <v>497</v>
      </c>
    </row>
    <row r="676" spans="1:23" x14ac:dyDescent="0.25">
      <c r="A676" t="s">
        <v>1176</v>
      </c>
      <c r="B676" t="str">
        <f t="shared" si="10"/>
        <v>TD2A00000818</v>
      </c>
      <c r="C676" t="s">
        <v>237</v>
      </c>
      <c r="D676" t="s">
        <v>85</v>
      </c>
      <c r="E676" t="s">
        <v>496</v>
      </c>
      <c r="F676">
        <v>15000</v>
      </c>
      <c r="G676" s="13">
        <v>45420</v>
      </c>
      <c r="H676" s="13">
        <v>45422</v>
      </c>
      <c r="J676">
        <v>0</v>
      </c>
      <c r="N676">
        <v>0</v>
      </c>
      <c r="T676" t="s">
        <v>946</v>
      </c>
      <c r="W676" t="s">
        <v>497</v>
      </c>
    </row>
    <row r="677" spans="1:23" x14ac:dyDescent="0.25">
      <c r="A677" t="s">
        <v>1177</v>
      </c>
      <c r="B677" t="str">
        <f t="shared" si="10"/>
        <v>GA2J00000358</v>
      </c>
      <c r="C677" t="s">
        <v>227</v>
      </c>
      <c r="D677" t="s">
        <v>85</v>
      </c>
      <c r="E677" t="s">
        <v>499</v>
      </c>
      <c r="F677">
        <v>25000</v>
      </c>
      <c r="G677" s="13">
        <v>45427</v>
      </c>
      <c r="H677" s="13">
        <v>45429</v>
      </c>
      <c r="J677">
        <v>0</v>
      </c>
      <c r="N677">
        <v>0</v>
      </c>
      <c r="T677" t="s">
        <v>946</v>
      </c>
      <c r="W677" t="s">
        <v>497</v>
      </c>
    </row>
    <row r="678" spans="1:23" x14ac:dyDescent="0.25">
      <c r="A678" t="s">
        <v>1178</v>
      </c>
      <c r="B678" t="str">
        <f t="shared" si="10"/>
        <v>TD2A00000826</v>
      </c>
      <c r="C678" t="s">
        <v>237</v>
      </c>
      <c r="D678" t="s">
        <v>85</v>
      </c>
      <c r="E678" t="s">
        <v>496</v>
      </c>
      <c r="F678">
        <v>15000</v>
      </c>
      <c r="G678" s="13">
        <v>45427</v>
      </c>
      <c r="H678" s="13">
        <v>45429</v>
      </c>
      <c r="I678">
        <v>0</v>
      </c>
      <c r="J678">
        <v>2358.54</v>
      </c>
      <c r="K678">
        <v>2358.54</v>
      </c>
      <c r="N678">
        <v>50</v>
      </c>
      <c r="O678">
        <v>90.226799999999997</v>
      </c>
      <c r="P678">
        <v>15.8569</v>
      </c>
      <c r="Q678">
        <v>90</v>
      </c>
      <c r="R678">
        <v>89</v>
      </c>
      <c r="S678">
        <v>93</v>
      </c>
      <c r="T678">
        <v>11.62</v>
      </c>
      <c r="U678">
        <v>6</v>
      </c>
      <c r="W678" t="s">
        <v>497</v>
      </c>
    </row>
    <row r="679" spans="1:23" x14ac:dyDescent="0.25">
      <c r="A679" t="s">
        <v>1179</v>
      </c>
      <c r="B679" t="str">
        <f t="shared" si="10"/>
        <v>CM2B00000145</v>
      </c>
      <c r="C679" t="s">
        <v>225</v>
      </c>
      <c r="D679" t="s">
        <v>85</v>
      </c>
      <c r="E679" t="s">
        <v>507</v>
      </c>
      <c r="F679">
        <v>25000</v>
      </c>
      <c r="G679" s="13">
        <v>45432</v>
      </c>
      <c r="H679" s="13">
        <v>45434</v>
      </c>
      <c r="J679">
        <v>0</v>
      </c>
      <c r="N679">
        <v>0</v>
      </c>
      <c r="T679" t="s">
        <v>946</v>
      </c>
      <c r="W679" t="s">
        <v>497</v>
      </c>
    </row>
    <row r="680" spans="1:23" x14ac:dyDescent="0.25">
      <c r="A680" t="s">
        <v>1180</v>
      </c>
      <c r="B680" t="str">
        <f t="shared" si="10"/>
        <v>CM2L00000085</v>
      </c>
      <c r="C680" t="s">
        <v>225</v>
      </c>
      <c r="D680" t="s">
        <v>85</v>
      </c>
      <c r="E680" t="s">
        <v>547</v>
      </c>
      <c r="F680">
        <v>20000</v>
      </c>
      <c r="G680" s="13">
        <v>45432</v>
      </c>
      <c r="H680" s="13">
        <v>45434</v>
      </c>
      <c r="J680">
        <v>0</v>
      </c>
      <c r="N680">
        <v>0</v>
      </c>
      <c r="T680" t="s">
        <v>946</v>
      </c>
      <c r="W680" t="s">
        <v>497</v>
      </c>
    </row>
    <row r="681" spans="1:23" x14ac:dyDescent="0.25">
      <c r="A681" t="s">
        <v>1181</v>
      </c>
      <c r="B681" t="str">
        <f t="shared" si="10"/>
        <v>CG2A00000502</v>
      </c>
      <c r="C681" t="s">
        <v>229</v>
      </c>
      <c r="D681" t="s">
        <v>85</v>
      </c>
      <c r="E681" t="s">
        <v>496</v>
      </c>
      <c r="F681">
        <v>15000</v>
      </c>
      <c r="G681" s="13">
        <v>45433</v>
      </c>
      <c r="H681" s="13">
        <v>45435</v>
      </c>
      <c r="J681">
        <v>0</v>
      </c>
      <c r="N681">
        <v>0</v>
      </c>
      <c r="T681" t="s">
        <v>946</v>
      </c>
      <c r="W681" t="s">
        <v>497</v>
      </c>
    </row>
    <row r="682" spans="1:23" x14ac:dyDescent="0.25">
      <c r="A682" t="s">
        <v>1182</v>
      </c>
      <c r="B682" t="str">
        <f t="shared" si="10"/>
        <v>CG2J00000545</v>
      </c>
      <c r="C682" t="s">
        <v>229</v>
      </c>
      <c r="D682" t="s">
        <v>85</v>
      </c>
      <c r="E682" t="s">
        <v>499</v>
      </c>
      <c r="F682">
        <v>10000</v>
      </c>
      <c r="G682" s="13">
        <v>45433</v>
      </c>
      <c r="H682" s="13">
        <v>45435</v>
      </c>
      <c r="J682">
        <v>0</v>
      </c>
      <c r="N682">
        <v>0</v>
      </c>
      <c r="T682" t="s">
        <v>946</v>
      </c>
      <c r="W682" t="s">
        <v>497</v>
      </c>
    </row>
    <row r="683" spans="1:23" x14ac:dyDescent="0.25">
      <c r="A683" t="s">
        <v>1183</v>
      </c>
      <c r="B683" t="str">
        <f t="shared" si="10"/>
        <v>TD2A00000834</v>
      </c>
      <c r="C683" t="s">
        <v>237</v>
      </c>
      <c r="D683" t="s">
        <v>85</v>
      </c>
      <c r="E683" t="s">
        <v>496</v>
      </c>
      <c r="F683">
        <v>15000</v>
      </c>
      <c r="G683" s="13">
        <v>45434</v>
      </c>
      <c r="H683" s="13">
        <v>45436</v>
      </c>
      <c r="I683">
        <v>3600</v>
      </c>
      <c r="J683">
        <v>1456</v>
      </c>
      <c r="K683">
        <v>5056</v>
      </c>
      <c r="N683">
        <v>25</v>
      </c>
      <c r="O683">
        <v>91.424099999999996</v>
      </c>
      <c r="P683">
        <v>33.706699999999998</v>
      </c>
      <c r="Q683">
        <v>90</v>
      </c>
      <c r="R683">
        <v>90</v>
      </c>
      <c r="S683">
        <v>92</v>
      </c>
      <c r="T683">
        <v>10.89</v>
      </c>
      <c r="U683">
        <v>6</v>
      </c>
      <c r="W683" t="s">
        <v>497</v>
      </c>
    </row>
    <row r="684" spans="1:23" x14ac:dyDescent="0.25">
      <c r="A684" t="s">
        <v>1184</v>
      </c>
      <c r="B684" t="str">
        <f t="shared" si="10"/>
        <v>CM2J00000113</v>
      </c>
      <c r="C684" t="s">
        <v>225</v>
      </c>
      <c r="D684" t="s">
        <v>85</v>
      </c>
      <c r="E684" t="s">
        <v>499</v>
      </c>
      <c r="F684">
        <v>10000</v>
      </c>
      <c r="G684" s="13">
        <v>45439</v>
      </c>
      <c r="H684" s="13">
        <v>45441</v>
      </c>
      <c r="I684">
        <v>9000</v>
      </c>
      <c r="J684">
        <v>0</v>
      </c>
      <c r="K684">
        <v>9000</v>
      </c>
      <c r="N684">
        <v>20</v>
      </c>
      <c r="O684">
        <v>95</v>
      </c>
      <c r="P684">
        <v>90.37</v>
      </c>
      <c r="Q684">
        <v>95</v>
      </c>
      <c r="R684">
        <v>95</v>
      </c>
      <c r="S684">
        <v>95</v>
      </c>
      <c r="T684">
        <v>8.16</v>
      </c>
      <c r="U684">
        <v>6.25</v>
      </c>
      <c r="W684" t="s">
        <v>497</v>
      </c>
    </row>
    <row r="685" spans="1:23" x14ac:dyDescent="0.25">
      <c r="A685" t="s">
        <v>1185</v>
      </c>
      <c r="B685" t="str">
        <f t="shared" si="10"/>
        <v>CM2A00000104</v>
      </c>
      <c r="C685" t="s">
        <v>225</v>
      </c>
      <c r="D685" t="s">
        <v>85</v>
      </c>
      <c r="E685" t="s">
        <v>496</v>
      </c>
      <c r="F685">
        <v>44000</v>
      </c>
      <c r="G685" s="13">
        <v>45439</v>
      </c>
      <c r="H685" s="13">
        <v>45441</v>
      </c>
      <c r="I685">
        <v>33750</v>
      </c>
      <c r="J685">
        <v>10250</v>
      </c>
      <c r="K685">
        <v>44000</v>
      </c>
      <c r="N685">
        <v>80</v>
      </c>
      <c r="O685">
        <v>100</v>
      </c>
      <c r="P685">
        <v>100</v>
      </c>
      <c r="Q685">
        <v>100</v>
      </c>
      <c r="R685">
        <v>100</v>
      </c>
      <c r="S685">
        <v>100</v>
      </c>
      <c r="T685">
        <v>4.5999999999999996</v>
      </c>
      <c r="U685">
        <v>6</v>
      </c>
      <c r="W685" t="s">
        <v>875</v>
      </c>
    </row>
    <row r="686" spans="1:23" x14ac:dyDescent="0.25">
      <c r="A686" t="s">
        <v>1186</v>
      </c>
      <c r="B686" t="str">
        <f t="shared" si="10"/>
        <v>CM2K00000037</v>
      </c>
      <c r="C686" t="s">
        <v>225</v>
      </c>
      <c r="D686" t="s">
        <v>85</v>
      </c>
      <c r="E686" t="s">
        <v>516</v>
      </c>
      <c r="F686">
        <v>35000</v>
      </c>
      <c r="G686" s="13">
        <v>45439</v>
      </c>
      <c r="H686" s="13">
        <v>45441</v>
      </c>
      <c r="I686">
        <v>26470</v>
      </c>
      <c r="J686">
        <v>0</v>
      </c>
      <c r="K686">
        <v>26470</v>
      </c>
      <c r="N686">
        <v>40</v>
      </c>
      <c r="O686">
        <v>97.6892</v>
      </c>
      <c r="P686">
        <v>75.628600000000006</v>
      </c>
      <c r="Q686">
        <v>94.25</v>
      </c>
      <c r="R686">
        <v>94.25</v>
      </c>
      <c r="S686">
        <v>94.25</v>
      </c>
      <c r="T686">
        <v>5.99</v>
      </c>
      <c r="U686">
        <v>4.75</v>
      </c>
      <c r="W686" t="s">
        <v>875</v>
      </c>
    </row>
    <row r="687" spans="1:23" x14ac:dyDescent="0.25">
      <c r="A687" t="s">
        <v>815</v>
      </c>
      <c r="B687" t="str">
        <f t="shared" si="10"/>
        <v>CM2B00000103</v>
      </c>
      <c r="C687" t="s">
        <v>225</v>
      </c>
      <c r="D687" t="s">
        <v>85</v>
      </c>
      <c r="E687" t="s">
        <v>507</v>
      </c>
      <c r="F687">
        <v>20000</v>
      </c>
      <c r="G687" s="13">
        <v>45439</v>
      </c>
      <c r="H687" s="13">
        <v>45441</v>
      </c>
      <c r="I687">
        <v>13730</v>
      </c>
      <c r="J687">
        <v>0</v>
      </c>
      <c r="K687">
        <v>13730</v>
      </c>
      <c r="N687">
        <v>60</v>
      </c>
      <c r="O687">
        <v>93.944400000000002</v>
      </c>
      <c r="P687">
        <v>68.650000000000006</v>
      </c>
      <c r="Q687">
        <v>92.88</v>
      </c>
      <c r="R687">
        <v>92.88</v>
      </c>
      <c r="S687">
        <v>92.88</v>
      </c>
      <c r="T687">
        <v>7.54</v>
      </c>
      <c r="U687">
        <v>5.25</v>
      </c>
      <c r="W687" t="s">
        <v>875</v>
      </c>
    </row>
    <row r="688" spans="1:23" x14ac:dyDescent="0.25">
      <c r="A688" t="s">
        <v>1187</v>
      </c>
      <c r="B688" t="str">
        <f t="shared" si="10"/>
        <v>CM2J00000121</v>
      </c>
      <c r="C688" t="s">
        <v>225</v>
      </c>
      <c r="D688" t="s">
        <v>85</v>
      </c>
      <c r="E688" t="s">
        <v>499</v>
      </c>
      <c r="F688">
        <v>20000</v>
      </c>
      <c r="G688" s="13">
        <v>45439</v>
      </c>
      <c r="H688" s="13">
        <v>45441</v>
      </c>
      <c r="I688">
        <v>20000</v>
      </c>
      <c r="J688">
        <v>0</v>
      </c>
      <c r="K688">
        <v>20000</v>
      </c>
      <c r="N688">
        <v>60</v>
      </c>
      <c r="O688">
        <v>95.5</v>
      </c>
      <c r="P688">
        <v>100</v>
      </c>
      <c r="Q688">
        <v>95.5</v>
      </c>
      <c r="R688">
        <v>95.5</v>
      </c>
      <c r="S688">
        <v>95.5</v>
      </c>
      <c r="T688">
        <v>7.97</v>
      </c>
      <c r="U688">
        <v>6.25</v>
      </c>
      <c r="W688" t="s">
        <v>875</v>
      </c>
    </row>
    <row r="689" spans="1:23" x14ac:dyDescent="0.25">
      <c r="A689" t="s">
        <v>1188</v>
      </c>
      <c r="B689" t="str">
        <f t="shared" si="10"/>
        <v>CM2A00000138</v>
      </c>
      <c r="C689" t="s">
        <v>225</v>
      </c>
      <c r="D689" t="s">
        <v>85</v>
      </c>
      <c r="E689" t="s">
        <v>496</v>
      </c>
      <c r="F689">
        <v>47000</v>
      </c>
      <c r="G689" s="13">
        <v>45439</v>
      </c>
      <c r="H689" s="13">
        <v>45441</v>
      </c>
      <c r="I689">
        <v>44737</v>
      </c>
      <c r="J689">
        <v>0</v>
      </c>
      <c r="K689">
        <v>44737</v>
      </c>
      <c r="N689">
        <v>60</v>
      </c>
      <c r="O689">
        <v>96.75</v>
      </c>
      <c r="P689">
        <v>95.185100000000006</v>
      </c>
      <c r="Q689">
        <v>96.75</v>
      </c>
      <c r="R689">
        <v>96.75</v>
      </c>
      <c r="S689">
        <v>96.75</v>
      </c>
      <c r="T689">
        <v>7.79</v>
      </c>
      <c r="U689">
        <v>6</v>
      </c>
      <c r="W689" t="s">
        <v>875</v>
      </c>
    </row>
    <row r="690" spans="1:23" x14ac:dyDescent="0.25">
      <c r="A690" t="s">
        <v>1189</v>
      </c>
      <c r="B690" t="str">
        <f t="shared" si="10"/>
        <v>CM2L00000093</v>
      </c>
      <c r="C690" t="s">
        <v>225</v>
      </c>
      <c r="D690" t="s">
        <v>85</v>
      </c>
      <c r="E690" t="s">
        <v>547</v>
      </c>
      <c r="F690">
        <v>20000</v>
      </c>
      <c r="G690" s="13">
        <v>45439</v>
      </c>
      <c r="H690" s="13">
        <v>45441</v>
      </c>
      <c r="I690">
        <v>3566</v>
      </c>
      <c r="J690">
        <v>0</v>
      </c>
      <c r="K690">
        <v>3566</v>
      </c>
      <c r="N690">
        <v>60</v>
      </c>
      <c r="O690">
        <v>92.75</v>
      </c>
      <c r="P690">
        <v>17.829999999999998</v>
      </c>
      <c r="Q690">
        <v>92.75</v>
      </c>
      <c r="R690">
        <v>92.75</v>
      </c>
      <c r="S690">
        <v>92.75</v>
      </c>
      <c r="T690">
        <v>8.57</v>
      </c>
      <c r="U690">
        <v>7</v>
      </c>
      <c r="W690" t="s">
        <v>875</v>
      </c>
    </row>
    <row r="691" spans="1:23" x14ac:dyDescent="0.25">
      <c r="A691" t="s">
        <v>1190</v>
      </c>
      <c r="B691" t="str">
        <f t="shared" si="10"/>
        <v>CM2K00000060</v>
      </c>
      <c r="C691" t="s">
        <v>225</v>
      </c>
      <c r="D691" t="s">
        <v>85</v>
      </c>
      <c r="E691" t="s">
        <v>516</v>
      </c>
      <c r="F691">
        <v>25000</v>
      </c>
      <c r="G691" s="13">
        <v>45439</v>
      </c>
      <c r="H691" s="13">
        <v>45441</v>
      </c>
      <c r="I691">
        <v>19209.05</v>
      </c>
      <c r="J691">
        <v>0</v>
      </c>
      <c r="K691">
        <v>19209.05</v>
      </c>
      <c r="N691">
        <v>60</v>
      </c>
      <c r="O691">
        <v>94.5</v>
      </c>
      <c r="P691">
        <v>76.836200000000005</v>
      </c>
      <c r="Q691">
        <v>94.5</v>
      </c>
      <c r="R691">
        <v>94.5</v>
      </c>
      <c r="S691">
        <v>94.5</v>
      </c>
      <c r="T691">
        <v>8.14</v>
      </c>
      <c r="U691">
        <v>6.5</v>
      </c>
      <c r="W691" t="s">
        <v>875</v>
      </c>
    </row>
    <row r="692" spans="1:23" x14ac:dyDescent="0.25">
      <c r="A692" t="s">
        <v>1191</v>
      </c>
      <c r="B692" t="str">
        <f t="shared" si="10"/>
        <v>CM2B00000152</v>
      </c>
      <c r="C692" t="s">
        <v>225</v>
      </c>
      <c r="D692" t="s">
        <v>85</v>
      </c>
      <c r="E692" t="s">
        <v>507</v>
      </c>
      <c r="F692">
        <v>25000</v>
      </c>
      <c r="G692" s="13">
        <v>45439</v>
      </c>
      <c r="H692" s="13">
        <v>45441</v>
      </c>
      <c r="I692">
        <v>5118</v>
      </c>
      <c r="J692">
        <v>0</v>
      </c>
      <c r="K692">
        <v>5118</v>
      </c>
      <c r="N692">
        <v>20</v>
      </c>
      <c r="O692">
        <v>93.5</v>
      </c>
      <c r="P692">
        <v>20.472000000000001</v>
      </c>
      <c r="Q692">
        <v>93.5</v>
      </c>
      <c r="R692">
        <v>93.5</v>
      </c>
      <c r="S692">
        <v>93.5</v>
      </c>
      <c r="T692">
        <v>8.3699999999999992</v>
      </c>
      <c r="U692">
        <v>6.75</v>
      </c>
      <c r="W692" t="s">
        <v>875</v>
      </c>
    </row>
    <row r="693" spans="1:23" x14ac:dyDescent="0.25">
      <c r="A693" t="s">
        <v>561</v>
      </c>
      <c r="B693" t="str">
        <f t="shared" si="10"/>
        <v>CM2B00000020</v>
      </c>
      <c r="C693" t="s">
        <v>225</v>
      </c>
      <c r="D693" t="s">
        <v>85</v>
      </c>
      <c r="E693" t="s">
        <v>507</v>
      </c>
      <c r="F693">
        <v>30000</v>
      </c>
      <c r="G693" s="13">
        <v>45439</v>
      </c>
      <c r="H693" s="13">
        <v>45441</v>
      </c>
      <c r="J693">
        <v>0</v>
      </c>
      <c r="N693">
        <v>0</v>
      </c>
      <c r="O693">
        <v>0</v>
      </c>
      <c r="P693">
        <v>0</v>
      </c>
      <c r="U693">
        <v>5.6</v>
      </c>
      <c r="W693" t="s">
        <v>681</v>
      </c>
    </row>
    <row r="694" spans="1:23" x14ac:dyDescent="0.25">
      <c r="A694" t="s">
        <v>1192</v>
      </c>
      <c r="B694" t="str">
        <f t="shared" si="10"/>
        <v>CM2J00000063</v>
      </c>
      <c r="C694" t="s">
        <v>225</v>
      </c>
      <c r="D694" t="s">
        <v>85</v>
      </c>
      <c r="E694" t="s">
        <v>499</v>
      </c>
      <c r="F694">
        <v>23000</v>
      </c>
      <c r="G694" s="13">
        <v>45439</v>
      </c>
      <c r="H694" s="13">
        <v>45441</v>
      </c>
      <c r="J694">
        <v>0</v>
      </c>
      <c r="N694">
        <v>0</v>
      </c>
      <c r="O694">
        <v>0</v>
      </c>
      <c r="P694">
        <v>0</v>
      </c>
      <c r="U694">
        <v>3.7</v>
      </c>
      <c r="W694" t="s">
        <v>681</v>
      </c>
    </row>
    <row r="695" spans="1:23" x14ac:dyDescent="0.25">
      <c r="A695" t="s">
        <v>1193</v>
      </c>
      <c r="B695" t="str">
        <f t="shared" si="10"/>
        <v>CM2B00000046</v>
      </c>
      <c r="C695" t="s">
        <v>225</v>
      </c>
      <c r="D695" t="s">
        <v>85</v>
      </c>
      <c r="E695" t="s">
        <v>507</v>
      </c>
      <c r="F695">
        <v>16000</v>
      </c>
      <c r="G695" s="13">
        <v>45439</v>
      </c>
      <c r="H695" s="13">
        <v>45441</v>
      </c>
      <c r="J695">
        <v>0</v>
      </c>
      <c r="N695">
        <v>0</v>
      </c>
      <c r="O695">
        <v>0</v>
      </c>
      <c r="P695">
        <v>0</v>
      </c>
      <c r="U695">
        <v>5.5</v>
      </c>
      <c r="W695" t="s">
        <v>681</v>
      </c>
    </row>
    <row r="696" spans="1:23" x14ac:dyDescent="0.25">
      <c r="A696" t="s">
        <v>1194</v>
      </c>
      <c r="B696" t="str">
        <f t="shared" si="10"/>
        <v>CM2B00000038</v>
      </c>
      <c r="C696" t="s">
        <v>225</v>
      </c>
      <c r="D696" t="s">
        <v>85</v>
      </c>
      <c r="E696" t="s">
        <v>507</v>
      </c>
      <c r="F696">
        <v>30000</v>
      </c>
      <c r="G696" s="13">
        <v>45439</v>
      </c>
      <c r="H696" s="13">
        <v>45441</v>
      </c>
      <c r="J696">
        <v>0</v>
      </c>
      <c r="N696">
        <v>0</v>
      </c>
      <c r="O696">
        <v>0</v>
      </c>
      <c r="P696">
        <v>0</v>
      </c>
      <c r="U696">
        <v>5.7</v>
      </c>
      <c r="W696" t="s">
        <v>681</v>
      </c>
    </row>
    <row r="697" spans="1:23" x14ac:dyDescent="0.25">
      <c r="A697" t="s">
        <v>1195</v>
      </c>
      <c r="B697" t="str">
        <f t="shared" si="10"/>
        <v>CG2A00000510</v>
      </c>
      <c r="C697" t="s">
        <v>229</v>
      </c>
      <c r="D697" t="s">
        <v>85</v>
      </c>
      <c r="E697" t="s">
        <v>496</v>
      </c>
      <c r="F697">
        <v>15000</v>
      </c>
      <c r="G697" s="13">
        <v>45440</v>
      </c>
      <c r="H697" s="13">
        <v>45442</v>
      </c>
      <c r="I697">
        <v>200</v>
      </c>
      <c r="J697">
        <v>5160.2</v>
      </c>
      <c r="K697">
        <v>5360.2</v>
      </c>
      <c r="N697">
        <v>25</v>
      </c>
      <c r="O697">
        <v>90.2286</v>
      </c>
      <c r="P697">
        <v>35.734699999999997</v>
      </c>
      <c r="Q697">
        <v>90</v>
      </c>
      <c r="R697">
        <v>97</v>
      </c>
      <c r="S697">
        <v>90</v>
      </c>
      <c r="T697">
        <v>10.81</v>
      </c>
      <c r="U697">
        <v>5.25</v>
      </c>
      <c r="W697" t="s">
        <v>497</v>
      </c>
    </row>
    <row r="698" spans="1:23" x14ac:dyDescent="0.25">
      <c r="A698" t="s">
        <v>984</v>
      </c>
      <c r="B698" t="str">
        <f t="shared" si="10"/>
        <v>GA2A00000175</v>
      </c>
      <c r="C698" t="s">
        <v>227</v>
      </c>
      <c r="D698" t="s">
        <v>85</v>
      </c>
      <c r="E698" t="s">
        <v>496</v>
      </c>
      <c r="F698">
        <v>12500</v>
      </c>
      <c r="G698" s="13">
        <v>45441</v>
      </c>
      <c r="H698" s="13">
        <v>45443</v>
      </c>
      <c r="I698">
        <v>8593.75</v>
      </c>
      <c r="J698">
        <v>3906.25</v>
      </c>
      <c r="K698">
        <v>12500</v>
      </c>
      <c r="N698">
        <v>23.809523809523807</v>
      </c>
      <c r="O698">
        <v>100.28100000000001</v>
      </c>
      <c r="P698">
        <v>158</v>
      </c>
      <c r="Q698">
        <v>95.5</v>
      </c>
      <c r="R698">
        <v>95.5</v>
      </c>
      <c r="S698">
        <v>95</v>
      </c>
      <c r="T698">
        <v>4.71</v>
      </c>
      <c r="U698">
        <v>5</v>
      </c>
      <c r="W698" t="s">
        <v>497</v>
      </c>
    </row>
    <row r="699" spans="1:23" x14ac:dyDescent="0.25">
      <c r="A699" t="s">
        <v>1196</v>
      </c>
      <c r="B699" t="str">
        <f t="shared" si="10"/>
        <v>GA2J00000259</v>
      </c>
      <c r="C699" t="s">
        <v>227</v>
      </c>
      <c r="D699" t="s">
        <v>85</v>
      </c>
      <c r="E699" t="s">
        <v>499</v>
      </c>
      <c r="F699">
        <v>12500</v>
      </c>
      <c r="G699" s="13">
        <v>45441</v>
      </c>
      <c r="H699" s="13">
        <v>45443</v>
      </c>
      <c r="I699">
        <v>8593.5</v>
      </c>
      <c r="J699">
        <v>3906.5</v>
      </c>
      <c r="K699">
        <v>12500</v>
      </c>
      <c r="N699">
        <v>23.809523809523807</v>
      </c>
      <c r="O699">
        <v>98.477500000000006</v>
      </c>
      <c r="P699">
        <v>158</v>
      </c>
      <c r="Q699">
        <v>97</v>
      </c>
      <c r="R699">
        <v>97</v>
      </c>
      <c r="S699">
        <v>95</v>
      </c>
      <c r="T699">
        <v>6.85</v>
      </c>
      <c r="U699">
        <v>5.25</v>
      </c>
      <c r="W699" t="s">
        <v>497</v>
      </c>
    </row>
    <row r="700" spans="1:23" x14ac:dyDescent="0.25">
      <c r="A700" t="s">
        <v>1197</v>
      </c>
      <c r="B700" t="str">
        <f t="shared" si="10"/>
        <v>TD2A00000842</v>
      </c>
      <c r="C700" t="s">
        <v>237</v>
      </c>
      <c r="D700" t="s">
        <v>85</v>
      </c>
      <c r="E700" t="s">
        <v>496</v>
      </c>
      <c r="F700">
        <v>15000</v>
      </c>
      <c r="G700" s="13">
        <v>45441</v>
      </c>
      <c r="H700" s="13">
        <v>45443</v>
      </c>
      <c r="I700">
        <v>0</v>
      </c>
      <c r="J700">
        <v>8208.08</v>
      </c>
      <c r="K700">
        <v>8208.08</v>
      </c>
      <c r="N700">
        <v>33.333333333333329</v>
      </c>
      <c r="O700">
        <v>90.010300000000001</v>
      </c>
      <c r="P700">
        <v>54.720500000000001</v>
      </c>
      <c r="Q700">
        <v>90</v>
      </c>
      <c r="R700">
        <v>92</v>
      </c>
      <c r="S700">
        <v>90</v>
      </c>
      <c r="T700">
        <v>11.75</v>
      </c>
      <c r="U700">
        <v>6</v>
      </c>
      <c r="W700" t="s">
        <v>497</v>
      </c>
    </row>
    <row r="701" spans="1:23" x14ac:dyDescent="0.25">
      <c r="A701" t="s">
        <v>1198</v>
      </c>
      <c r="B701" t="str">
        <f t="shared" si="10"/>
        <v>CG2A00000510</v>
      </c>
      <c r="C701" t="s">
        <v>229</v>
      </c>
      <c r="D701" t="s">
        <v>85</v>
      </c>
      <c r="E701" t="s">
        <v>496</v>
      </c>
      <c r="F701">
        <v>15000</v>
      </c>
      <c r="G701" s="13">
        <v>45447</v>
      </c>
      <c r="H701" s="13">
        <v>45449</v>
      </c>
      <c r="I701">
        <v>1000</v>
      </c>
      <c r="J701">
        <v>2085</v>
      </c>
      <c r="K701">
        <v>3085</v>
      </c>
      <c r="N701">
        <v>16.666666666666664</v>
      </c>
      <c r="O701">
        <v>90.622600000000006</v>
      </c>
      <c r="P701">
        <v>20.566700000000001</v>
      </c>
      <c r="Q701">
        <v>90</v>
      </c>
      <c r="R701">
        <v>98</v>
      </c>
      <c r="S701">
        <v>90</v>
      </c>
      <c r="T701">
        <v>10.57</v>
      </c>
      <c r="U701">
        <v>5.25</v>
      </c>
      <c r="W701" t="s">
        <v>497</v>
      </c>
    </row>
    <row r="702" spans="1:23" x14ac:dyDescent="0.25">
      <c r="A702" t="s">
        <v>1199</v>
      </c>
      <c r="B702" t="str">
        <f t="shared" si="10"/>
        <v>TD2A00000859</v>
      </c>
      <c r="C702" t="s">
        <v>237</v>
      </c>
      <c r="D702" t="s">
        <v>85</v>
      </c>
      <c r="E702" t="s">
        <v>496</v>
      </c>
      <c r="F702">
        <v>20000</v>
      </c>
      <c r="G702" s="13">
        <v>45448</v>
      </c>
      <c r="H702" s="13">
        <v>45450</v>
      </c>
      <c r="I702">
        <v>15481.22</v>
      </c>
      <c r="J702">
        <v>4518.7800000000007</v>
      </c>
      <c r="K702">
        <v>20000</v>
      </c>
      <c r="N702">
        <v>50</v>
      </c>
      <c r="O702">
        <v>91.464799999999997</v>
      </c>
      <c r="P702">
        <v>135.58250000000001</v>
      </c>
      <c r="Q702">
        <v>90</v>
      </c>
      <c r="R702">
        <v>94.35</v>
      </c>
      <c r="S702">
        <v>90</v>
      </c>
      <c r="T702">
        <v>11.39</v>
      </c>
      <c r="U702">
        <v>6.5</v>
      </c>
      <c r="W702" t="s">
        <v>497</v>
      </c>
    </row>
    <row r="703" spans="1:23" x14ac:dyDescent="0.25">
      <c r="A703" t="s">
        <v>1200</v>
      </c>
      <c r="B703" t="str">
        <f t="shared" si="10"/>
        <v>CG2J00000552</v>
      </c>
      <c r="C703" t="s">
        <v>229</v>
      </c>
      <c r="D703" t="s">
        <v>85</v>
      </c>
      <c r="E703" t="s">
        <v>499</v>
      </c>
      <c r="G703" s="13">
        <v>45454</v>
      </c>
      <c r="H703" s="13">
        <v>45456</v>
      </c>
      <c r="J703">
        <v>0</v>
      </c>
      <c r="N703">
        <v>0</v>
      </c>
      <c r="T703" t="s">
        <v>946</v>
      </c>
      <c r="W703" t="s">
        <v>497</v>
      </c>
    </row>
    <row r="704" spans="1:23" x14ac:dyDescent="0.25">
      <c r="A704" t="s">
        <v>1201</v>
      </c>
      <c r="B704" t="str">
        <f t="shared" si="10"/>
        <v>CG2J00000560</v>
      </c>
      <c r="C704" t="s">
        <v>229</v>
      </c>
      <c r="D704" t="s">
        <v>85</v>
      </c>
      <c r="E704" t="s">
        <v>499</v>
      </c>
      <c r="F704">
        <v>24233.37</v>
      </c>
      <c r="G704" s="13">
        <v>45454</v>
      </c>
      <c r="H704" s="13">
        <v>45456</v>
      </c>
      <c r="I704">
        <v>24233.37</v>
      </c>
      <c r="J704">
        <v>0</v>
      </c>
      <c r="K704">
        <v>24233.37</v>
      </c>
      <c r="N704">
        <v>0</v>
      </c>
      <c r="O704">
        <v>100</v>
      </c>
      <c r="P704">
        <v>100</v>
      </c>
      <c r="Q704">
        <v>100</v>
      </c>
      <c r="R704">
        <v>100</v>
      </c>
      <c r="S704">
        <v>100</v>
      </c>
      <c r="T704">
        <v>7</v>
      </c>
      <c r="U704">
        <v>7</v>
      </c>
      <c r="W704" t="s">
        <v>542</v>
      </c>
    </row>
    <row r="705" spans="1:23" x14ac:dyDescent="0.25">
      <c r="A705" t="s">
        <v>1202</v>
      </c>
      <c r="B705" t="str">
        <f t="shared" si="10"/>
        <v>CG2K00000229</v>
      </c>
      <c r="C705" t="s">
        <v>229</v>
      </c>
      <c r="D705" t="s">
        <v>85</v>
      </c>
      <c r="E705" t="s">
        <v>516</v>
      </c>
      <c r="F705">
        <v>24233.37</v>
      </c>
      <c r="G705" s="13">
        <v>45454</v>
      </c>
      <c r="H705" s="13">
        <v>45456</v>
      </c>
      <c r="I705">
        <v>24233.37</v>
      </c>
      <c r="J705">
        <v>0</v>
      </c>
      <c r="K705">
        <v>24233.37</v>
      </c>
      <c r="N705">
        <v>0</v>
      </c>
      <c r="O705">
        <v>100</v>
      </c>
      <c r="P705">
        <v>100</v>
      </c>
      <c r="Q705">
        <v>100</v>
      </c>
      <c r="R705">
        <v>100</v>
      </c>
      <c r="S705">
        <v>100</v>
      </c>
      <c r="T705">
        <v>7</v>
      </c>
      <c r="U705">
        <v>7</v>
      </c>
      <c r="W705" t="s">
        <v>542</v>
      </c>
    </row>
    <row r="706" spans="1:23" x14ac:dyDescent="0.25">
      <c r="A706" t="s">
        <v>1203</v>
      </c>
      <c r="B706" t="str">
        <f t="shared" si="10"/>
        <v>CG2B00000170</v>
      </c>
      <c r="C706" t="s">
        <v>229</v>
      </c>
      <c r="D706" t="s">
        <v>85</v>
      </c>
      <c r="E706" t="s">
        <v>507</v>
      </c>
      <c r="F706">
        <v>24233.37</v>
      </c>
      <c r="G706" s="13">
        <v>45454</v>
      </c>
      <c r="H706" s="13">
        <v>45456</v>
      </c>
      <c r="I706">
        <v>24233.37</v>
      </c>
      <c r="J706">
        <v>0</v>
      </c>
      <c r="K706">
        <v>24233.37</v>
      </c>
      <c r="N706">
        <v>0</v>
      </c>
      <c r="O706">
        <v>100</v>
      </c>
      <c r="P706">
        <v>100</v>
      </c>
      <c r="Q706">
        <v>100</v>
      </c>
      <c r="R706">
        <v>100</v>
      </c>
      <c r="S706">
        <v>100</v>
      </c>
      <c r="T706">
        <v>7</v>
      </c>
      <c r="U706">
        <v>7</v>
      </c>
      <c r="W706" t="s">
        <v>542</v>
      </c>
    </row>
    <row r="707" spans="1:23" x14ac:dyDescent="0.25">
      <c r="A707" t="s">
        <v>1204</v>
      </c>
      <c r="B707" t="str">
        <f t="shared" si="10"/>
        <v>TD2A00000867</v>
      </c>
      <c r="C707" t="s">
        <v>237</v>
      </c>
      <c r="D707" t="s">
        <v>85</v>
      </c>
      <c r="E707" t="s">
        <v>496</v>
      </c>
      <c r="F707">
        <v>40000</v>
      </c>
      <c r="G707" s="13">
        <v>45455</v>
      </c>
      <c r="H707" s="13">
        <v>45457</v>
      </c>
      <c r="I707">
        <v>2518.7800000000002</v>
      </c>
      <c r="J707">
        <v>19295.7</v>
      </c>
      <c r="K707">
        <v>21814.48</v>
      </c>
      <c r="N707">
        <v>33.333333333333329</v>
      </c>
      <c r="O707">
        <v>90.337100000000007</v>
      </c>
      <c r="P707">
        <v>54.536200000000001</v>
      </c>
      <c r="Q707">
        <v>90</v>
      </c>
      <c r="R707">
        <v>92</v>
      </c>
      <c r="S707">
        <v>90</v>
      </c>
      <c r="T707">
        <v>11.55</v>
      </c>
      <c r="U707">
        <v>6</v>
      </c>
      <c r="W707" t="s">
        <v>497</v>
      </c>
    </row>
    <row r="708" spans="1:23" x14ac:dyDescent="0.25">
      <c r="A708" t="s">
        <v>1205</v>
      </c>
      <c r="B708" t="str">
        <f t="shared" si="10"/>
        <v>CM2D00000069</v>
      </c>
      <c r="C708" t="s">
        <v>225</v>
      </c>
      <c r="D708" t="s">
        <v>85</v>
      </c>
      <c r="E708" t="s">
        <v>555</v>
      </c>
      <c r="F708">
        <v>20000</v>
      </c>
      <c r="G708" s="13">
        <v>45460</v>
      </c>
      <c r="H708" s="13">
        <v>45462</v>
      </c>
      <c r="I708">
        <v>10000</v>
      </c>
      <c r="J708">
        <v>0</v>
      </c>
      <c r="K708">
        <v>10000</v>
      </c>
      <c r="N708">
        <v>13.636363636363635</v>
      </c>
      <c r="O708">
        <v>98</v>
      </c>
      <c r="P708">
        <v>52.506</v>
      </c>
      <c r="Q708">
        <v>98</v>
      </c>
      <c r="R708">
        <v>98</v>
      </c>
      <c r="S708">
        <v>89</v>
      </c>
      <c r="T708">
        <v>7.99</v>
      </c>
      <c r="U708">
        <v>7.7</v>
      </c>
      <c r="W708" t="s">
        <v>497</v>
      </c>
    </row>
    <row r="709" spans="1:23" x14ac:dyDescent="0.25">
      <c r="A709" t="s">
        <v>1206</v>
      </c>
      <c r="B709" t="str">
        <f t="shared" ref="B709:B772" si="11">MID(A709,1,12)</f>
        <v>GA2K00000108</v>
      </c>
      <c r="C709" t="s">
        <v>227</v>
      </c>
      <c r="D709" t="s">
        <v>85</v>
      </c>
      <c r="E709" t="s">
        <v>516</v>
      </c>
      <c r="F709">
        <v>7500</v>
      </c>
      <c r="G709" s="13">
        <v>45462</v>
      </c>
      <c r="H709" s="13">
        <v>45464</v>
      </c>
      <c r="J709">
        <v>0</v>
      </c>
      <c r="N709">
        <v>0</v>
      </c>
      <c r="T709" t="s">
        <v>946</v>
      </c>
      <c r="W709" t="s">
        <v>497</v>
      </c>
    </row>
    <row r="710" spans="1:23" x14ac:dyDescent="0.25">
      <c r="A710" t="s">
        <v>1207</v>
      </c>
      <c r="B710" t="str">
        <f t="shared" si="11"/>
        <v>TD2J00000520</v>
      </c>
      <c r="C710" t="s">
        <v>237</v>
      </c>
      <c r="D710" t="s">
        <v>85</v>
      </c>
      <c r="E710" t="s">
        <v>499</v>
      </c>
      <c r="F710">
        <v>30000</v>
      </c>
      <c r="G710" s="13">
        <v>45462</v>
      </c>
      <c r="H710" s="13">
        <v>45464</v>
      </c>
      <c r="I710">
        <v>400</v>
      </c>
      <c r="J710">
        <v>13265.38</v>
      </c>
      <c r="K710">
        <v>13665.38</v>
      </c>
      <c r="N710">
        <v>41.666666666666671</v>
      </c>
      <c r="O710">
        <v>90.027000000000001</v>
      </c>
      <c r="P710">
        <v>45.584600000000002</v>
      </c>
      <c r="Q710">
        <v>90</v>
      </c>
      <c r="R710">
        <v>91</v>
      </c>
      <c r="S710">
        <v>88</v>
      </c>
      <c r="T710">
        <v>10.46</v>
      </c>
      <c r="U710">
        <v>6.5</v>
      </c>
      <c r="W710" t="s">
        <v>497</v>
      </c>
    </row>
    <row r="711" spans="1:23" x14ac:dyDescent="0.25">
      <c r="A711" t="s">
        <v>1208</v>
      </c>
      <c r="B711" t="str">
        <f t="shared" si="11"/>
        <v>CM2D00000077</v>
      </c>
      <c r="C711" t="s">
        <v>225</v>
      </c>
      <c r="D711" t="s">
        <v>85</v>
      </c>
      <c r="E711" t="s">
        <v>555</v>
      </c>
      <c r="F711">
        <v>15000</v>
      </c>
      <c r="G711" s="13">
        <v>45467</v>
      </c>
      <c r="H711" s="13">
        <v>45469</v>
      </c>
      <c r="I711">
        <v>15000</v>
      </c>
      <c r="J711">
        <v>0</v>
      </c>
      <c r="K711">
        <v>15000</v>
      </c>
      <c r="N711">
        <v>22.727272727272727</v>
      </c>
      <c r="O711">
        <v>97.6755</v>
      </c>
      <c r="P711">
        <v>114.6855</v>
      </c>
      <c r="Q711">
        <v>97</v>
      </c>
      <c r="R711">
        <v>100</v>
      </c>
      <c r="S711">
        <v>91</v>
      </c>
      <c r="T711">
        <v>8.0399999999999991</v>
      </c>
      <c r="U711">
        <v>7.7</v>
      </c>
      <c r="W711" t="s">
        <v>497</v>
      </c>
    </row>
    <row r="712" spans="1:23" x14ac:dyDescent="0.25">
      <c r="A712" t="s">
        <v>1209</v>
      </c>
      <c r="B712" t="str">
        <f t="shared" si="11"/>
        <v>CG2A00000528</v>
      </c>
      <c r="C712" t="s">
        <v>229</v>
      </c>
      <c r="D712" t="s">
        <v>85</v>
      </c>
      <c r="E712" t="s">
        <v>496</v>
      </c>
      <c r="F712">
        <v>20000</v>
      </c>
      <c r="G712" s="13">
        <v>45468</v>
      </c>
      <c r="H712" s="13">
        <v>45470</v>
      </c>
      <c r="I712">
        <v>2326.6999999999998</v>
      </c>
      <c r="J712">
        <v>11992.349999999999</v>
      </c>
      <c r="K712">
        <v>14319.05</v>
      </c>
      <c r="N712">
        <v>41.666666666666671</v>
      </c>
      <c r="O712">
        <v>90.980900000000005</v>
      </c>
      <c r="P712">
        <v>71.595200000000006</v>
      </c>
      <c r="Q712">
        <v>90</v>
      </c>
      <c r="R712">
        <v>96</v>
      </c>
      <c r="S712">
        <v>90</v>
      </c>
      <c r="T712">
        <v>11.16</v>
      </c>
      <c r="U712">
        <v>6</v>
      </c>
      <c r="W712" t="s">
        <v>497</v>
      </c>
    </row>
    <row r="713" spans="1:23" x14ac:dyDescent="0.25">
      <c r="A713" t="s">
        <v>1210</v>
      </c>
      <c r="B713" t="str">
        <f t="shared" si="11"/>
        <v>CG2J00000578</v>
      </c>
      <c r="C713" t="s">
        <v>229</v>
      </c>
      <c r="D713" t="s">
        <v>85</v>
      </c>
      <c r="E713" t="s">
        <v>499</v>
      </c>
      <c r="F713">
        <v>20000</v>
      </c>
      <c r="G713" s="13">
        <v>45468</v>
      </c>
      <c r="H713" s="13">
        <v>45470</v>
      </c>
      <c r="I713">
        <v>0</v>
      </c>
      <c r="J713">
        <v>1793.5</v>
      </c>
      <c r="K713">
        <v>1793.5</v>
      </c>
      <c r="N713">
        <v>25</v>
      </c>
      <c r="O713">
        <v>92.051299999999998</v>
      </c>
      <c r="P713">
        <v>10.013500000000001</v>
      </c>
      <c r="Q713">
        <v>92</v>
      </c>
      <c r="R713">
        <v>93</v>
      </c>
      <c r="S713">
        <v>90</v>
      </c>
      <c r="T713">
        <v>9.61</v>
      </c>
      <c r="U713">
        <v>6.5</v>
      </c>
      <c r="W713" t="s">
        <v>497</v>
      </c>
    </row>
    <row r="714" spans="1:23" x14ac:dyDescent="0.25">
      <c r="A714" t="s">
        <v>1211</v>
      </c>
      <c r="B714" t="str">
        <f t="shared" si="11"/>
        <v>TD2J00000538</v>
      </c>
      <c r="C714" t="s">
        <v>237</v>
      </c>
      <c r="D714" t="s">
        <v>85</v>
      </c>
      <c r="E714" t="s">
        <v>499</v>
      </c>
      <c r="F714">
        <v>10000</v>
      </c>
      <c r="G714" s="13">
        <v>45469</v>
      </c>
      <c r="H714" s="13">
        <v>45471</v>
      </c>
      <c r="I714">
        <v>711.12</v>
      </c>
      <c r="J714">
        <v>9288.8799999999992</v>
      </c>
      <c r="K714">
        <v>10000</v>
      </c>
      <c r="N714">
        <v>25</v>
      </c>
      <c r="O714">
        <v>90.200500000000005</v>
      </c>
      <c r="P714">
        <v>114.3312</v>
      </c>
      <c r="Q714">
        <v>90</v>
      </c>
      <c r="R714">
        <v>92</v>
      </c>
      <c r="S714">
        <v>90</v>
      </c>
      <c r="T714">
        <v>10.39</v>
      </c>
      <c r="U714">
        <v>6.5</v>
      </c>
      <c r="W714" t="s">
        <v>497</v>
      </c>
    </row>
    <row r="715" spans="1:23" x14ac:dyDescent="0.25">
      <c r="A715" t="s">
        <v>1212</v>
      </c>
      <c r="B715" t="str">
        <f t="shared" si="11"/>
        <v>CG2A00000528</v>
      </c>
      <c r="C715" t="s">
        <v>229</v>
      </c>
      <c r="D715" t="s">
        <v>85</v>
      </c>
      <c r="E715" t="s">
        <v>496</v>
      </c>
      <c r="F715">
        <v>15000</v>
      </c>
      <c r="G715" s="13">
        <v>45475</v>
      </c>
      <c r="H715" s="13">
        <v>45477</v>
      </c>
      <c r="I715">
        <v>0</v>
      </c>
      <c r="J715">
        <v>13667</v>
      </c>
      <c r="K715">
        <v>13667</v>
      </c>
      <c r="N715">
        <v>16.666666666666664</v>
      </c>
      <c r="O715">
        <v>90.393100000000004</v>
      </c>
      <c r="P715">
        <v>91.113299999999995</v>
      </c>
      <c r="Q715">
        <v>90</v>
      </c>
      <c r="R715">
        <v>92</v>
      </c>
      <c r="S715">
        <v>90</v>
      </c>
      <c r="T715">
        <v>11.51</v>
      </c>
      <c r="U715">
        <v>6</v>
      </c>
      <c r="W715" t="s">
        <v>497</v>
      </c>
    </row>
    <row r="716" spans="1:23" x14ac:dyDescent="0.25">
      <c r="A716" t="s">
        <v>1213</v>
      </c>
      <c r="B716" t="str">
        <f t="shared" si="11"/>
        <v>CG2B00000097</v>
      </c>
      <c r="C716" t="s">
        <v>229</v>
      </c>
      <c r="D716" t="s">
        <v>85</v>
      </c>
      <c r="E716" t="s">
        <v>507</v>
      </c>
      <c r="F716">
        <v>500</v>
      </c>
      <c r="G716" s="13">
        <v>45475</v>
      </c>
      <c r="H716" s="13">
        <v>45477</v>
      </c>
      <c r="J716">
        <v>0</v>
      </c>
      <c r="N716">
        <v>0</v>
      </c>
      <c r="T716" t="s">
        <v>946</v>
      </c>
      <c r="W716" t="s">
        <v>497</v>
      </c>
    </row>
    <row r="717" spans="1:23" x14ac:dyDescent="0.25">
      <c r="A717" t="s">
        <v>1214</v>
      </c>
      <c r="B717" t="str">
        <f t="shared" si="11"/>
        <v>TD2A00000875</v>
      </c>
      <c r="C717" t="s">
        <v>237</v>
      </c>
      <c r="D717" t="s">
        <v>85</v>
      </c>
      <c r="E717" t="s">
        <v>496</v>
      </c>
      <c r="F717">
        <v>30000</v>
      </c>
      <c r="G717" s="13">
        <v>45476</v>
      </c>
      <c r="H717" s="13">
        <v>45478</v>
      </c>
      <c r="I717">
        <v>0</v>
      </c>
      <c r="J717">
        <v>11277</v>
      </c>
      <c r="K717">
        <v>11277</v>
      </c>
      <c r="N717">
        <v>41.666666666666671</v>
      </c>
      <c r="O717">
        <v>90.066500000000005</v>
      </c>
      <c r="P717">
        <v>37.590000000000003</v>
      </c>
      <c r="Q717">
        <v>90</v>
      </c>
      <c r="R717">
        <v>90.5</v>
      </c>
      <c r="S717">
        <v>90</v>
      </c>
      <c r="T717">
        <v>11.72</v>
      </c>
      <c r="U717">
        <v>6</v>
      </c>
      <c r="W717" t="s">
        <v>497</v>
      </c>
    </row>
    <row r="718" spans="1:23" x14ac:dyDescent="0.25">
      <c r="A718" t="s">
        <v>1215</v>
      </c>
      <c r="B718" t="str">
        <f t="shared" si="11"/>
        <v>TD2A00000883</v>
      </c>
      <c r="C718" t="s">
        <v>237</v>
      </c>
      <c r="D718" t="s">
        <v>85</v>
      </c>
      <c r="E718" t="s">
        <v>496</v>
      </c>
      <c r="F718">
        <v>30000</v>
      </c>
      <c r="G718" s="13">
        <v>45483</v>
      </c>
      <c r="H718" s="13">
        <v>45485</v>
      </c>
      <c r="I718">
        <v>1402</v>
      </c>
      <c r="J718">
        <v>15823.279999999999</v>
      </c>
      <c r="K718">
        <v>17225.28</v>
      </c>
      <c r="N718">
        <v>41.666666666666671</v>
      </c>
      <c r="O718">
        <v>90.022400000000005</v>
      </c>
      <c r="P718">
        <v>57.4176</v>
      </c>
      <c r="Q718">
        <v>90</v>
      </c>
      <c r="R718">
        <v>95</v>
      </c>
      <c r="S718">
        <v>90</v>
      </c>
      <c r="T718">
        <v>11.74</v>
      </c>
      <c r="U718">
        <v>6</v>
      </c>
      <c r="W718" t="s">
        <v>497</v>
      </c>
    </row>
    <row r="719" spans="1:23" x14ac:dyDescent="0.25">
      <c r="A719" t="s">
        <v>1216</v>
      </c>
      <c r="B719" t="str">
        <f t="shared" si="11"/>
        <v>GA2B00000174</v>
      </c>
      <c r="C719" t="s">
        <v>227</v>
      </c>
      <c r="D719" t="s">
        <v>85</v>
      </c>
      <c r="E719" t="s">
        <v>507</v>
      </c>
      <c r="F719">
        <v>10000</v>
      </c>
      <c r="G719" s="13">
        <v>45488</v>
      </c>
      <c r="H719" s="13">
        <v>45490</v>
      </c>
      <c r="I719">
        <v>7970</v>
      </c>
      <c r="J719">
        <v>2030</v>
      </c>
      <c r="K719">
        <v>10000</v>
      </c>
      <c r="N719">
        <v>14.285714285714285</v>
      </c>
      <c r="O719">
        <v>93.853800000000007</v>
      </c>
      <c r="P719">
        <v>100</v>
      </c>
      <c r="Q719">
        <v>90</v>
      </c>
      <c r="R719">
        <v>90</v>
      </c>
      <c r="S719">
        <v>90</v>
      </c>
      <c r="T719">
        <v>8.34</v>
      </c>
      <c r="U719">
        <v>6.5</v>
      </c>
      <c r="W719" t="s">
        <v>875</v>
      </c>
    </row>
    <row r="720" spans="1:23" x14ac:dyDescent="0.25">
      <c r="A720" t="s">
        <v>1217</v>
      </c>
      <c r="B720" t="str">
        <f t="shared" si="11"/>
        <v>GA2C00000058</v>
      </c>
      <c r="C720" t="s">
        <v>227</v>
      </c>
      <c r="D720" t="s">
        <v>85</v>
      </c>
      <c r="E720" t="s">
        <v>549</v>
      </c>
      <c r="F720">
        <v>5000</v>
      </c>
      <c r="G720" s="13">
        <v>45490</v>
      </c>
      <c r="H720" s="13">
        <v>45492</v>
      </c>
      <c r="I720">
        <v>3337.37</v>
      </c>
      <c r="J720">
        <v>1660</v>
      </c>
      <c r="K720">
        <v>4997.37</v>
      </c>
      <c r="N720">
        <v>19.047619047619047</v>
      </c>
      <c r="O720">
        <v>94.733599999999996</v>
      </c>
      <c r="P720">
        <v>99.947400000000002</v>
      </c>
      <c r="Q720">
        <v>90</v>
      </c>
      <c r="R720">
        <v>90</v>
      </c>
      <c r="S720">
        <v>90</v>
      </c>
      <c r="T720">
        <v>8.64</v>
      </c>
      <c r="U720">
        <v>7.5</v>
      </c>
      <c r="W720" t="s">
        <v>875</v>
      </c>
    </row>
    <row r="721" spans="1:23" x14ac:dyDescent="0.25">
      <c r="A721" t="s">
        <v>1218</v>
      </c>
      <c r="B721" t="str">
        <f t="shared" si="11"/>
        <v>GA2J00000283</v>
      </c>
      <c r="C721" t="s">
        <v>227</v>
      </c>
      <c r="D721" t="s">
        <v>85</v>
      </c>
      <c r="E721" t="s">
        <v>499</v>
      </c>
      <c r="F721">
        <v>20000</v>
      </c>
      <c r="G721" s="13">
        <v>45490</v>
      </c>
      <c r="H721" s="13">
        <v>45492</v>
      </c>
      <c r="I721">
        <v>10100</v>
      </c>
      <c r="J721">
        <v>9900</v>
      </c>
      <c r="K721">
        <v>20000</v>
      </c>
      <c r="N721">
        <v>19.047619047619047</v>
      </c>
      <c r="O721">
        <v>96.825100000000006</v>
      </c>
      <c r="P721">
        <v>100</v>
      </c>
      <c r="Q721">
        <v>94</v>
      </c>
      <c r="R721">
        <v>94</v>
      </c>
      <c r="S721">
        <v>94</v>
      </c>
      <c r="T721">
        <v>8.89</v>
      </c>
      <c r="U721">
        <v>5.5</v>
      </c>
      <c r="W721" t="s">
        <v>875</v>
      </c>
    </row>
    <row r="722" spans="1:23" x14ac:dyDescent="0.25">
      <c r="A722" t="s">
        <v>1219</v>
      </c>
      <c r="B722" t="str">
        <f t="shared" si="11"/>
        <v>GA2J00000358</v>
      </c>
      <c r="C722" t="s">
        <v>227</v>
      </c>
      <c r="D722" t="s">
        <v>85</v>
      </c>
      <c r="E722" t="s">
        <v>499</v>
      </c>
      <c r="F722">
        <v>20000</v>
      </c>
      <c r="G722" s="13">
        <v>45490</v>
      </c>
      <c r="H722" s="13">
        <v>45492</v>
      </c>
      <c r="I722">
        <v>9643.51</v>
      </c>
      <c r="J722">
        <v>9633.94</v>
      </c>
      <c r="K722">
        <v>19277.45</v>
      </c>
      <c r="N722">
        <v>19.047619047619047</v>
      </c>
      <c r="O722">
        <v>91.199299999999994</v>
      </c>
      <c r="P722">
        <v>96.387299999999996</v>
      </c>
      <c r="Q722">
        <v>90.25</v>
      </c>
      <c r="R722">
        <v>90.25</v>
      </c>
      <c r="S722">
        <v>90.25</v>
      </c>
      <c r="T722">
        <v>8.91</v>
      </c>
      <c r="U722">
        <v>5.5</v>
      </c>
      <c r="W722" t="s">
        <v>875</v>
      </c>
    </row>
    <row r="723" spans="1:23" x14ac:dyDescent="0.25">
      <c r="A723" t="s">
        <v>1220</v>
      </c>
      <c r="B723" t="str">
        <f t="shared" si="11"/>
        <v>GA2K00000025</v>
      </c>
      <c r="C723" t="s">
        <v>227</v>
      </c>
      <c r="D723" t="s">
        <v>85</v>
      </c>
      <c r="E723" t="s">
        <v>516</v>
      </c>
      <c r="F723">
        <v>22500</v>
      </c>
      <c r="G723" s="13">
        <v>45490</v>
      </c>
      <c r="H723" s="13">
        <v>45492</v>
      </c>
      <c r="I723">
        <v>12400</v>
      </c>
      <c r="J723">
        <v>10100</v>
      </c>
      <c r="K723">
        <v>22500</v>
      </c>
      <c r="N723">
        <v>23.809523809523807</v>
      </c>
      <c r="O723">
        <v>95.797899999999998</v>
      </c>
      <c r="P723">
        <v>100</v>
      </c>
      <c r="Q723">
        <v>93.75</v>
      </c>
      <c r="R723">
        <v>93.75</v>
      </c>
      <c r="S723">
        <v>93.75</v>
      </c>
      <c r="T723">
        <v>8.07</v>
      </c>
      <c r="U723">
        <v>5.75</v>
      </c>
      <c r="W723" t="s">
        <v>875</v>
      </c>
    </row>
    <row r="724" spans="1:23" x14ac:dyDescent="0.25">
      <c r="A724" t="s">
        <v>1221</v>
      </c>
      <c r="B724" t="str">
        <f t="shared" si="11"/>
        <v>GA2K00000033</v>
      </c>
      <c r="C724" t="s">
        <v>227</v>
      </c>
      <c r="D724" t="s">
        <v>85</v>
      </c>
      <c r="E724" t="s">
        <v>516</v>
      </c>
      <c r="F724">
        <v>22500</v>
      </c>
      <c r="G724" s="13">
        <v>45490</v>
      </c>
      <c r="H724" s="13">
        <v>45492</v>
      </c>
      <c r="I724">
        <v>22500</v>
      </c>
      <c r="J724">
        <v>0</v>
      </c>
      <c r="K724">
        <v>22500</v>
      </c>
      <c r="N724">
        <v>9.5238095238095237</v>
      </c>
      <c r="O724">
        <v>94.4452</v>
      </c>
      <c r="P724">
        <v>100</v>
      </c>
      <c r="Q724">
        <v>93.5</v>
      </c>
      <c r="R724">
        <v>93.5</v>
      </c>
      <c r="S724">
        <v>93.5</v>
      </c>
      <c r="T724">
        <v>8.84</v>
      </c>
      <c r="U724">
        <v>5.75</v>
      </c>
      <c r="W724" t="s">
        <v>875</v>
      </c>
    </row>
    <row r="725" spans="1:23" x14ac:dyDescent="0.25">
      <c r="A725" t="s">
        <v>1222</v>
      </c>
      <c r="B725" t="str">
        <f t="shared" si="11"/>
        <v>GA2K00000058</v>
      </c>
      <c r="C725" t="s">
        <v>227</v>
      </c>
      <c r="D725" t="s">
        <v>85</v>
      </c>
      <c r="E725" t="s">
        <v>516</v>
      </c>
      <c r="F725">
        <v>20000</v>
      </c>
      <c r="G725" s="13">
        <v>45490</v>
      </c>
      <c r="H725" s="13">
        <v>45492</v>
      </c>
      <c r="I725">
        <v>9945.25</v>
      </c>
      <c r="J725">
        <v>3900</v>
      </c>
      <c r="K725">
        <v>13845.25</v>
      </c>
      <c r="N725">
        <v>19.047619047619047</v>
      </c>
      <c r="O725">
        <v>95.503399999999999</v>
      </c>
      <c r="P725">
        <v>69.226299999999995</v>
      </c>
      <c r="Q725">
        <v>92</v>
      </c>
      <c r="R725">
        <v>92</v>
      </c>
      <c r="S725">
        <v>92</v>
      </c>
      <c r="T725">
        <v>8.23</v>
      </c>
      <c r="U725">
        <v>5.75</v>
      </c>
      <c r="W725" t="s">
        <v>875</v>
      </c>
    </row>
    <row r="726" spans="1:23" x14ac:dyDescent="0.25">
      <c r="A726" t="s">
        <v>1223</v>
      </c>
      <c r="B726" t="str">
        <f t="shared" si="11"/>
        <v>TD2A00000891</v>
      </c>
      <c r="C726" t="s">
        <v>237</v>
      </c>
      <c r="D726" t="s">
        <v>85</v>
      </c>
      <c r="E726" t="s">
        <v>496</v>
      </c>
      <c r="F726">
        <v>15000</v>
      </c>
      <c r="G726" s="13">
        <v>45490</v>
      </c>
      <c r="H726" s="13">
        <v>45492</v>
      </c>
      <c r="I726">
        <v>3494</v>
      </c>
      <c r="J726">
        <v>2500.2299999999996</v>
      </c>
      <c r="K726">
        <v>5994.23</v>
      </c>
      <c r="N726">
        <v>50</v>
      </c>
      <c r="O726">
        <v>90.872900000000001</v>
      </c>
      <c r="P726">
        <v>40.028199999999998</v>
      </c>
      <c r="Q726">
        <v>90</v>
      </c>
      <c r="R726">
        <v>93.8</v>
      </c>
      <c r="S726">
        <v>89</v>
      </c>
      <c r="T726">
        <v>11.22</v>
      </c>
      <c r="U726">
        <v>6</v>
      </c>
      <c r="W726" t="s">
        <v>497</v>
      </c>
    </row>
    <row r="727" spans="1:23" x14ac:dyDescent="0.25">
      <c r="A727" t="s">
        <v>1224</v>
      </c>
      <c r="B727" t="str">
        <f t="shared" si="11"/>
        <v>CG2A00000536</v>
      </c>
      <c r="C727" t="s">
        <v>229</v>
      </c>
      <c r="D727" t="s">
        <v>85</v>
      </c>
      <c r="E727" t="s">
        <v>496</v>
      </c>
      <c r="F727">
        <v>15000</v>
      </c>
      <c r="G727" s="13">
        <v>45496</v>
      </c>
      <c r="H727" s="13">
        <v>45498</v>
      </c>
      <c r="I727">
        <v>10000</v>
      </c>
      <c r="J727">
        <v>265</v>
      </c>
      <c r="K727">
        <v>10265</v>
      </c>
      <c r="N727">
        <v>16.666666666666664</v>
      </c>
      <c r="O727">
        <v>90.100300000000004</v>
      </c>
      <c r="P727">
        <v>69.566699999999997</v>
      </c>
      <c r="Q727">
        <v>90.05</v>
      </c>
      <c r="R727">
        <v>92</v>
      </c>
      <c r="S727">
        <v>90</v>
      </c>
      <c r="T727">
        <v>11.16</v>
      </c>
      <c r="U727">
        <v>5.5</v>
      </c>
      <c r="W727" t="s">
        <v>497</v>
      </c>
    </row>
    <row r="728" spans="1:23" x14ac:dyDescent="0.25">
      <c r="A728" t="s">
        <v>1225</v>
      </c>
      <c r="B728" t="str">
        <f t="shared" si="11"/>
        <v>TD2A00000909</v>
      </c>
      <c r="C728" t="s">
        <v>237</v>
      </c>
      <c r="D728" t="s">
        <v>85</v>
      </c>
      <c r="E728" t="s">
        <v>496</v>
      </c>
      <c r="F728">
        <v>30000</v>
      </c>
      <c r="G728" s="13">
        <v>45497</v>
      </c>
      <c r="H728" s="13">
        <v>45499</v>
      </c>
      <c r="I728">
        <v>5000</v>
      </c>
      <c r="J728">
        <v>12863</v>
      </c>
      <c r="K728">
        <v>17863</v>
      </c>
      <c r="N728">
        <v>41.666666666666671</v>
      </c>
      <c r="O728">
        <v>90.314300000000003</v>
      </c>
      <c r="P728">
        <v>59.543300000000002</v>
      </c>
      <c r="Q728">
        <v>90</v>
      </c>
      <c r="R728">
        <v>95</v>
      </c>
      <c r="S728">
        <v>90</v>
      </c>
      <c r="T728">
        <v>11.56</v>
      </c>
      <c r="U728">
        <v>6</v>
      </c>
      <c r="W728" t="s">
        <v>497</v>
      </c>
    </row>
    <row r="729" spans="1:23" x14ac:dyDescent="0.25">
      <c r="A729" t="s">
        <v>1226</v>
      </c>
      <c r="B729" t="str">
        <f t="shared" si="11"/>
        <v>CG2A00000536</v>
      </c>
      <c r="C729" t="s">
        <v>229</v>
      </c>
      <c r="D729" t="s">
        <v>85</v>
      </c>
      <c r="E729" t="s">
        <v>496</v>
      </c>
      <c r="F729">
        <v>10000</v>
      </c>
      <c r="G729" s="13">
        <v>45503</v>
      </c>
      <c r="H729" s="13">
        <v>45505</v>
      </c>
      <c r="I729">
        <v>0</v>
      </c>
      <c r="J729">
        <v>5115</v>
      </c>
      <c r="K729">
        <v>5115</v>
      </c>
      <c r="N729">
        <v>16.666666666666664</v>
      </c>
      <c r="O729">
        <v>90.109399999999994</v>
      </c>
      <c r="P729">
        <v>51.25</v>
      </c>
      <c r="Q729">
        <v>90</v>
      </c>
      <c r="R729">
        <v>92</v>
      </c>
      <c r="S729">
        <v>89</v>
      </c>
      <c r="T729">
        <v>11.15</v>
      </c>
      <c r="U729">
        <v>5.5</v>
      </c>
      <c r="W729" t="s">
        <v>497</v>
      </c>
    </row>
    <row r="730" spans="1:23" x14ac:dyDescent="0.25">
      <c r="A730" t="s">
        <v>1227</v>
      </c>
      <c r="B730" t="str">
        <f t="shared" si="11"/>
        <v>GA2B00000166</v>
      </c>
      <c r="C730" t="s">
        <v>227</v>
      </c>
      <c r="D730" t="s">
        <v>85</v>
      </c>
      <c r="E730" t="s">
        <v>507</v>
      </c>
      <c r="F730">
        <v>12500</v>
      </c>
      <c r="G730" s="13">
        <v>45504</v>
      </c>
      <c r="H730" s="13">
        <v>45506</v>
      </c>
      <c r="I730">
        <v>0</v>
      </c>
      <c r="J730">
        <v>7141</v>
      </c>
      <c r="K730">
        <v>7141</v>
      </c>
      <c r="N730">
        <v>19.047619047619047</v>
      </c>
      <c r="O730">
        <v>95.029300000000006</v>
      </c>
      <c r="P730">
        <v>57.207999999999998</v>
      </c>
      <c r="Q730">
        <v>90.5</v>
      </c>
      <c r="R730">
        <v>97</v>
      </c>
      <c r="S730">
        <v>87</v>
      </c>
      <c r="T730">
        <v>8.23</v>
      </c>
      <c r="U730">
        <v>6.75</v>
      </c>
      <c r="W730" t="s">
        <v>497</v>
      </c>
    </row>
    <row r="731" spans="1:23" x14ac:dyDescent="0.25">
      <c r="A731" t="s">
        <v>1228</v>
      </c>
      <c r="B731" t="str">
        <f t="shared" si="11"/>
        <v>GA2J00000309</v>
      </c>
      <c r="C731" t="s">
        <v>227</v>
      </c>
      <c r="D731" t="s">
        <v>85</v>
      </c>
      <c r="E731" t="s">
        <v>499</v>
      </c>
      <c r="F731">
        <v>7500</v>
      </c>
      <c r="G731" s="13">
        <v>45504</v>
      </c>
      <c r="H731" s="13">
        <v>45506</v>
      </c>
      <c r="I731">
        <v>500</v>
      </c>
      <c r="J731">
        <v>7000</v>
      </c>
      <c r="K731">
        <v>7500</v>
      </c>
      <c r="N731">
        <v>19.047619047619047</v>
      </c>
      <c r="O731">
        <v>92.279899999999998</v>
      </c>
      <c r="P731">
        <v>100.13330000000001</v>
      </c>
      <c r="Q731">
        <v>90</v>
      </c>
      <c r="R731">
        <v>92</v>
      </c>
      <c r="S731">
        <v>87</v>
      </c>
      <c r="T731">
        <v>9.85</v>
      </c>
      <c r="U731">
        <v>5.5</v>
      </c>
      <c r="W731" t="s">
        <v>497</v>
      </c>
    </row>
    <row r="732" spans="1:23" x14ac:dyDescent="0.25">
      <c r="A732" t="s">
        <v>1229</v>
      </c>
      <c r="B732" t="str">
        <f t="shared" si="11"/>
        <v>TD2A00000917</v>
      </c>
      <c r="C732" t="s">
        <v>237</v>
      </c>
      <c r="D732" t="s">
        <v>85</v>
      </c>
      <c r="E732" t="s">
        <v>496</v>
      </c>
      <c r="F732">
        <v>40000</v>
      </c>
      <c r="G732" s="13">
        <v>45504</v>
      </c>
      <c r="H732" s="13">
        <v>45506</v>
      </c>
      <c r="I732">
        <v>16592</v>
      </c>
      <c r="J732">
        <v>4886.16</v>
      </c>
      <c r="K732">
        <v>21478.16</v>
      </c>
      <c r="N732">
        <v>75</v>
      </c>
      <c r="O732">
        <v>92.559299999999993</v>
      </c>
      <c r="P732">
        <v>54.020400000000002</v>
      </c>
      <c r="Q732">
        <v>90</v>
      </c>
      <c r="R732">
        <v>94</v>
      </c>
      <c r="S732">
        <v>89</v>
      </c>
      <c r="T732">
        <v>10.73</v>
      </c>
      <c r="U732">
        <v>6.5</v>
      </c>
      <c r="W732" t="s">
        <v>497</v>
      </c>
    </row>
    <row r="733" spans="1:23" x14ac:dyDescent="0.25">
      <c r="A733" t="s">
        <v>1230</v>
      </c>
      <c r="B733" t="str">
        <f t="shared" si="11"/>
        <v>CG2A00000544</v>
      </c>
      <c r="C733" t="s">
        <v>229</v>
      </c>
      <c r="D733" t="s">
        <v>85</v>
      </c>
      <c r="E733" t="s">
        <v>496</v>
      </c>
      <c r="F733">
        <v>10000</v>
      </c>
      <c r="G733" s="13">
        <v>45510</v>
      </c>
      <c r="H733" s="13">
        <v>45512</v>
      </c>
      <c r="I733">
        <v>120</v>
      </c>
      <c r="J733">
        <v>890</v>
      </c>
      <c r="K733">
        <v>1010</v>
      </c>
      <c r="N733">
        <v>29.166666666666668</v>
      </c>
      <c r="O733">
        <v>92.643600000000006</v>
      </c>
      <c r="P733">
        <v>13.291499999999999</v>
      </c>
      <c r="Q733">
        <v>92</v>
      </c>
      <c r="R733">
        <v>97</v>
      </c>
      <c r="S733">
        <v>92</v>
      </c>
      <c r="T733">
        <v>9.6300000000000008</v>
      </c>
      <c r="U733">
        <v>5.5</v>
      </c>
      <c r="W733" t="s">
        <v>497</v>
      </c>
    </row>
    <row r="734" spans="1:23" x14ac:dyDescent="0.25">
      <c r="A734" t="s">
        <v>1231</v>
      </c>
      <c r="B734" t="str">
        <f t="shared" si="11"/>
        <v>TD2J00000546</v>
      </c>
      <c r="C734" t="s">
        <v>237</v>
      </c>
      <c r="D734" t="s">
        <v>85</v>
      </c>
      <c r="E734" t="s">
        <v>499</v>
      </c>
      <c r="F734">
        <v>30000</v>
      </c>
      <c r="G734" s="13">
        <v>45511</v>
      </c>
      <c r="H734" s="13">
        <v>45513</v>
      </c>
      <c r="I734">
        <v>365</v>
      </c>
      <c r="J734">
        <v>1960</v>
      </c>
      <c r="K734">
        <v>2325</v>
      </c>
      <c r="N734">
        <v>33.333333333333329</v>
      </c>
      <c r="O734">
        <v>90.060199999999995</v>
      </c>
      <c r="P734">
        <v>7.75</v>
      </c>
      <c r="Q734">
        <v>90</v>
      </c>
      <c r="R734">
        <v>94</v>
      </c>
      <c r="S734">
        <v>90</v>
      </c>
      <c r="T734">
        <v>10.45</v>
      </c>
      <c r="U734">
        <v>6.5</v>
      </c>
      <c r="W734" t="s">
        <v>497</v>
      </c>
    </row>
    <row r="735" spans="1:23" x14ac:dyDescent="0.25">
      <c r="A735" t="s">
        <v>1232</v>
      </c>
      <c r="B735" t="str">
        <f t="shared" si="11"/>
        <v>TD2J00000553</v>
      </c>
      <c r="C735" t="s">
        <v>237</v>
      </c>
      <c r="D735" t="s">
        <v>85</v>
      </c>
      <c r="E735" t="s">
        <v>499</v>
      </c>
      <c r="F735">
        <v>30000</v>
      </c>
      <c r="G735" s="13">
        <v>45518</v>
      </c>
      <c r="H735" s="13">
        <v>45520</v>
      </c>
      <c r="I735">
        <v>1351.83</v>
      </c>
      <c r="J735">
        <v>10387.86</v>
      </c>
      <c r="K735">
        <v>11739.69</v>
      </c>
      <c r="N735">
        <v>41.666666666666671</v>
      </c>
      <c r="O735">
        <v>90.013300000000001</v>
      </c>
      <c r="P735">
        <v>39.132300000000001</v>
      </c>
      <c r="Q735">
        <v>90</v>
      </c>
      <c r="R735">
        <v>96.45</v>
      </c>
      <c r="S735">
        <v>90</v>
      </c>
      <c r="T735">
        <v>10.46</v>
      </c>
      <c r="U735">
        <v>6.5</v>
      </c>
      <c r="W735" t="s">
        <v>497</v>
      </c>
    </row>
    <row r="736" spans="1:23" x14ac:dyDescent="0.25">
      <c r="A736" t="s">
        <v>1233</v>
      </c>
      <c r="B736" t="str">
        <f t="shared" si="11"/>
        <v>TD2J00000561</v>
      </c>
      <c r="C736" t="s">
        <v>237</v>
      </c>
      <c r="D736" t="s">
        <v>85</v>
      </c>
      <c r="E736" t="s">
        <v>499</v>
      </c>
      <c r="F736">
        <v>30000</v>
      </c>
      <c r="G736" s="13">
        <v>45525</v>
      </c>
      <c r="H736" s="13">
        <v>45527</v>
      </c>
      <c r="I736">
        <v>21619.75</v>
      </c>
      <c r="J736">
        <v>237.5</v>
      </c>
      <c r="K736">
        <v>21857.25</v>
      </c>
      <c r="N736">
        <v>75</v>
      </c>
      <c r="O736">
        <v>90.001000000000005</v>
      </c>
      <c r="P736">
        <v>73.190799999999996</v>
      </c>
      <c r="Q736">
        <v>90</v>
      </c>
      <c r="R736">
        <v>94</v>
      </c>
      <c r="S736">
        <v>90</v>
      </c>
      <c r="T736">
        <v>10.47</v>
      </c>
      <c r="U736">
        <v>6.5</v>
      </c>
      <c r="W736" t="s">
        <v>497</v>
      </c>
    </row>
    <row r="737" spans="1:23" x14ac:dyDescent="0.25">
      <c r="A737" t="s">
        <v>1234</v>
      </c>
      <c r="B737" t="str">
        <f t="shared" si="11"/>
        <v>CG2A00000551</v>
      </c>
      <c r="C737" t="s">
        <v>229</v>
      </c>
      <c r="D737" t="s">
        <v>85</v>
      </c>
      <c r="E737" t="s">
        <v>496</v>
      </c>
      <c r="F737">
        <v>10000</v>
      </c>
      <c r="G737" s="13">
        <v>45531</v>
      </c>
      <c r="H737" s="13">
        <v>45533</v>
      </c>
      <c r="I737">
        <v>0</v>
      </c>
      <c r="J737">
        <v>3184.09</v>
      </c>
      <c r="K737">
        <v>3184.09</v>
      </c>
      <c r="N737">
        <v>12.5</v>
      </c>
      <c r="O737">
        <v>90.109300000000005</v>
      </c>
      <c r="P737">
        <v>31.840900000000001</v>
      </c>
      <c r="Q737">
        <v>90</v>
      </c>
      <c r="R737">
        <v>92</v>
      </c>
      <c r="S737">
        <v>90</v>
      </c>
      <c r="T737">
        <v>11.15</v>
      </c>
      <c r="U737">
        <v>5.5</v>
      </c>
      <c r="W737" t="s">
        <v>497</v>
      </c>
    </row>
    <row r="738" spans="1:23" x14ac:dyDescent="0.25">
      <c r="A738" t="s">
        <v>1235</v>
      </c>
      <c r="B738" t="str">
        <f t="shared" si="11"/>
        <v>CG2J00000586</v>
      </c>
      <c r="C738" t="s">
        <v>229</v>
      </c>
      <c r="D738" t="s">
        <v>85</v>
      </c>
      <c r="E738" t="s">
        <v>499</v>
      </c>
      <c r="F738">
        <v>10000</v>
      </c>
      <c r="G738" s="13">
        <v>45531</v>
      </c>
      <c r="H738" s="13">
        <v>45533</v>
      </c>
      <c r="I738">
        <v>0</v>
      </c>
      <c r="J738">
        <v>750</v>
      </c>
      <c r="K738">
        <v>750</v>
      </c>
      <c r="N738">
        <v>12.5</v>
      </c>
      <c r="O738">
        <v>93</v>
      </c>
      <c r="P738">
        <v>8.4499999999999993</v>
      </c>
      <c r="Q738">
        <v>93</v>
      </c>
      <c r="R738">
        <v>93</v>
      </c>
      <c r="S738">
        <v>93</v>
      </c>
      <c r="T738">
        <v>8.6999999999999993</v>
      </c>
      <c r="U738">
        <v>6</v>
      </c>
      <c r="W738" t="s">
        <v>497</v>
      </c>
    </row>
    <row r="739" spans="1:23" x14ac:dyDescent="0.25">
      <c r="A739" t="s">
        <v>1236</v>
      </c>
      <c r="B739" t="str">
        <f t="shared" si="11"/>
        <v>CG2B00000188</v>
      </c>
      <c r="C739" t="s">
        <v>229</v>
      </c>
      <c r="D739" t="s">
        <v>85</v>
      </c>
      <c r="E739" t="s">
        <v>507</v>
      </c>
      <c r="F739">
        <v>0</v>
      </c>
      <c r="G739" s="13">
        <v>45531</v>
      </c>
      <c r="H739" s="13">
        <v>45533</v>
      </c>
      <c r="I739">
        <v>0</v>
      </c>
      <c r="J739">
        <v>0</v>
      </c>
      <c r="K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W739" t="s">
        <v>497</v>
      </c>
    </row>
    <row r="740" spans="1:23" x14ac:dyDescent="0.25">
      <c r="A740" t="s">
        <v>1237</v>
      </c>
      <c r="B740" t="str">
        <f t="shared" si="11"/>
        <v>TD2J00000579</v>
      </c>
      <c r="C740" t="s">
        <v>237</v>
      </c>
      <c r="D740" t="s">
        <v>85</v>
      </c>
      <c r="E740" t="s">
        <v>499</v>
      </c>
      <c r="F740">
        <v>30000</v>
      </c>
      <c r="G740" s="13">
        <v>45532</v>
      </c>
      <c r="H740" s="13">
        <v>45534</v>
      </c>
      <c r="J740">
        <v>0</v>
      </c>
      <c r="N740">
        <v>0</v>
      </c>
      <c r="W740" t="s">
        <v>497</v>
      </c>
    </row>
    <row r="741" spans="1:23" x14ac:dyDescent="0.25">
      <c r="A741" t="s">
        <v>1238</v>
      </c>
      <c r="B741" t="str">
        <f t="shared" si="11"/>
        <v>TD2J00000587</v>
      </c>
      <c r="C741" t="s">
        <v>237</v>
      </c>
      <c r="D741" t="s">
        <v>85</v>
      </c>
      <c r="E741" t="s">
        <v>499</v>
      </c>
      <c r="F741">
        <v>30000</v>
      </c>
      <c r="G741" s="13">
        <v>45539</v>
      </c>
      <c r="H741" s="13">
        <v>45541</v>
      </c>
      <c r="I741">
        <v>0</v>
      </c>
      <c r="J741">
        <v>2675.32</v>
      </c>
      <c r="K741">
        <v>2675.32</v>
      </c>
      <c r="N741">
        <v>33.333333333333329</v>
      </c>
      <c r="O741">
        <v>90.197599999999994</v>
      </c>
      <c r="P741">
        <v>8.9844000000000008</v>
      </c>
      <c r="Q741">
        <v>90</v>
      </c>
      <c r="R741">
        <v>91</v>
      </c>
      <c r="S741">
        <v>89</v>
      </c>
      <c r="T741">
        <v>10.39</v>
      </c>
      <c r="U741">
        <v>6.5</v>
      </c>
      <c r="W741" t="s">
        <v>497</v>
      </c>
    </row>
    <row r="742" spans="1:23" x14ac:dyDescent="0.25">
      <c r="A742" t="s">
        <v>1239</v>
      </c>
      <c r="B742" t="str">
        <f t="shared" si="11"/>
        <v>CG2A00000551</v>
      </c>
      <c r="C742" t="s">
        <v>229</v>
      </c>
      <c r="D742" t="s">
        <v>85</v>
      </c>
      <c r="E742" t="s">
        <v>496</v>
      </c>
      <c r="F742">
        <v>5000</v>
      </c>
      <c r="G742" s="13">
        <v>45545</v>
      </c>
      <c r="H742" s="13">
        <v>45547</v>
      </c>
      <c r="I742">
        <v>1500</v>
      </c>
      <c r="J742">
        <v>5.4000000000000909</v>
      </c>
      <c r="K742">
        <v>1505.4</v>
      </c>
      <c r="N742">
        <v>30.76923076923077</v>
      </c>
      <c r="O742">
        <v>92.210999999999999</v>
      </c>
      <c r="P742">
        <v>34.107999999999997</v>
      </c>
      <c r="Q742">
        <v>92</v>
      </c>
      <c r="R742">
        <v>92</v>
      </c>
      <c r="S742">
        <v>91</v>
      </c>
      <c r="T742">
        <v>9.89</v>
      </c>
      <c r="U742">
        <v>5.5</v>
      </c>
      <c r="W742" t="s">
        <v>497</v>
      </c>
    </row>
    <row r="743" spans="1:23" x14ac:dyDescent="0.25">
      <c r="A743" t="s">
        <v>1240</v>
      </c>
      <c r="B743" t="str">
        <f t="shared" si="11"/>
        <v>CG2B00000196</v>
      </c>
      <c r="C743" t="s">
        <v>229</v>
      </c>
      <c r="D743" t="s">
        <v>85</v>
      </c>
      <c r="E743" t="s">
        <v>507</v>
      </c>
      <c r="G743" s="13">
        <v>45545</v>
      </c>
      <c r="H743" s="13">
        <v>45547</v>
      </c>
      <c r="J743">
        <v>0</v>
      </c>
      <c r="N743">
        <v>0</v>
      </c>
      <c r="T743" t="s">
        <v>1241</v>
      </c>
      <c r="W743" t="s">
        <v>497</v>
      </c>
    </row>
    <row r="744" spans="1:23" x14ac:dyDescent="0.25">
      <c r="A744" t="s">
        <v>1242</v>
      </c>
      <c r="B744" t="str">
        <f t="shared" si="11"/>
        <v>CF2B00000040</v>
      </c>
      <c r="C744" t="s">
        <v>634</v>
      </c>
      <c r="D744" t="s">
        <v>85</v>
      </c>
      <c r="E744" t="s">
        <v>507</v>
      </c>
      <c r="F744">
        <v>20000</v>
      </c>
      <c r="G744" s="13">
        <v>45551</v>
      </c>
      <c r="H744" s="13">
        <v>45553</v>
      </c>
      <c r="I744">
        <v>13000</v>
      </c>
      <c r="J744">
        <v>7000</v>
      </c>
      <c r="K744">
        <v>20000</v>
      </c>
      <c r="N744">
        <v>33.333333333333329</v>
      </c>
      <c r="O744">
        <v>89</v>
      </c>
      <c r="P744">
        <v>100</v>
      </c>
      <c r="Q744">
        <v>89</v>
      </c>
      <c r="R744">
        <v>89</v>
      </c>
      <c r="S744">
        <v>89</v>
      </c>
      <c r="T744">
        <v>9.84</v>
      </c>
      <c r="U744">
        <v>7</v>
      </c>
      <c r="W744" t="s">
        <v>875</v>
      </c>
    </row>
    <row r="745" spans="1:23" x14ac:dyDescent="0.25">
      <c r="A745" t="s">
        <v>1243</v>
      </c>
      <c r="B745" t="str">
        <f t="shared" si="11"/>
        <v>CF2K00000072</v>
      </c>
      <c r="C745" t="s">
        <v>634</v>
      </c>
      <c r="D745" t="s">
        <v>85</v>
      </c>
      <c r="E745" t="s">
        <v>516</v>
      </c>
      <c r="F745">
        <v>15000</v>
      </c>
      <c r="G745" s="13">
        <v>45551</v>
      </c>
      <c r="H745" s="13">
        <v>45553</v>
      </c>
      <c r="I745">
        <v>12500</v>
      </c>
      <c r="J745">
        <v>2500</v>
      </c>
      <c r="K745">
        <v>15000</v>
      </c>
      <c r="N745">
        <v>33.333333333333329</v>
      </c>
      <c r="O745">
        <v>90</v>
      </c>
      <c r="P745">
        <v>100</v>
      </c>
      <c r="Q745">
        <v>90</v>
      </c>
      <c r="R745">
        <v>90</v>
      </c>
      <c r="S745">
        <v>90</v>
      </c>
      <c r="T745">
        <v>9.83</v>
      </c>
      <c r="U745">
        <v>6.75</v>
      </c>
      <c r="W745" t="s">
        <v>875</v>
      </c>
    </row>
    <row r="746" spans="1:23" x14ac:dyDescent="0.25">
      <c r="A746" t="s">
        <v>1244</v>
      </c>
      <c r="B746" t="str">
        <f t="shared" si="11"/>
        <v>CF2J00000125</v>
      </c>
      <c r="C746" t="s">
        <v>634</v>
      </c>
      <c r="D746" t="s">
        <v>85</v>
      </c>
      <c r="E746" t="s">
        <v>499</v>
      </c>
      <c r="F746">
        <v>15000</v>
      </c>
      <c r="G746" s="13">
        <v>45551</v>
      </c>
      <c r="H746" s="13">
        <v>45553</v>
      </c>
      <c r="I746">
        <v>15000</v>
      </c>
      <c r="J746">
        <v>0</v>
      </c>
      <c r="K746">
        <v>15000</v>
      </c>
      <c r="N746">
        <v>22.222222222222221</v>
      </c>
      <c r="O746">
        <v>91</v>
      </c>
      <c r="P746">
        <v>100</v>
      </c>
      <c r="Q746">
        <v>91</v>
      </c>
      <c r="R746">
        <v>91</v>
      </c>
      <c r="S746">
        <v>91</v>
      </c>
      <c r="T746">
        <v>10.050000000000001</v>
      </c>
      <c r="U746">
        <v>6.5</v>
      </c>
      <c r="W746" t="s">
        <v>875</v>
      </c>
    </row>
    <row r="747" spans="1:23" x14ac:dyDescent="0.25">
      <c r="A747" t="s">
        <v>1245</v>
      </c>
      <c r="B747" t="str">
        <f t="shared" si="11"/>
        <v>CF2J00000042</v>
      </c>
      <c r="C747" t="s">
        <v>634</v>
      </c>
      <c r="D747" t="s">
        <v>85</v>
      </c>
      <c r="E747" t="s">
        <v>499</v>
      </c>
      <c r="F747">
        <v>8000</v>
      </c>
      <c r="G747" s="13">
        <v>45551</v>
      </c>
      <c r="H747" s="13">
        <v>45553</v>
      </c>
      <c r="I747">
        <v>6750</v>
      </c>
      <c r="J747">
        <v>0</v>
      </c>
      <c r="K747">
        <v>6750</v>
      </c>
      <c r="N747">
        <v>11.111111111111111</v>
      </c>
      <c r="O747">
        <v>102.3151</v>
      </c>
      <c r="P747">
        <v>84.375</v>
      </c>
      <c r="Q747">
        <v>100</v>
      </c>
      <c r="R747">
        <v>100</v>
      </c>
      <c r="S747">
        <v>100</v>
      </c>
      <c r="T747">
        <v>4.1100000000000003</v>
      </c>
      <c r="U747">
        <v>6.5</v>
      </c>
      <c r="W747" t="s">
        <v>681</v>
      </c>
    </row>
    <row r="748" spans="1:23" x14ac:dyDescent="0.25">
      <c r="A748" t="s">
        <v>1246</v>
      </c>
      <c r="B748" t="str">
        <f t="shared" si="11"/>
        <v>CF2J00000059</v>
      </c>
      <c r="C748" t="s">
        <v>634</v>
      </c>
      <c r="D748" t="s">
        <v>85</v>
      </c>
      <c r="E748" t="s">
        <v>499</v>
      </c>
      <c r="F748">
        <v>9000</v>
      </c>
      <c r="G748" s="13">
        <v>45551</v>
      </c>
      <c r="H748" s="13">
        <v>45553</v>
      </c>
      <c r="I748">
        <v>7869</v>
      </c>
      <c r="J748">
        <v>0</v>
      </c>
      <c r="K748">
        <v>7869</v>
      </c>
      <c r="N748">
        <v>22.222222222222221</v>
      </c>
      <c r="O748">
        <v>106.44670000000001</v>
      </c>
      <c r="P748">
        <v>87.433300000000003</v>
      </c>
      <c r="Q748">
        <v>100</v>
      </c>
      <c r="R748">
        <v>100</v>
      </c>
      <c r="S748">
        <v>100</v>
      </c>
      <c r="T748">
        <v>0.05</v>
      </c>
      <c r="U748">
        <v>6.5</v>
      </c>
      <c r="W748" t="s">
        <v>681</v>
      </c>
    </row>
    <row r="749" spans="1:23" x14ac:dyDescent="0.25">
      <c r="A749" t="s">
        <v>1247</v>
      </c>
      <c r="B749" t="str">
        <f t="shared" si="11"/>
        <v>CF2J00000067</v>
      </c>
      <c r="C749" t="s">
        <v>634</v>
      </c>
      <c r="D749" t="s">
        <v>85</v>
      </c>
      <c r="E749" t="s">
        <v>499</v>
      </c>
      <c r="F749">
        <v>8000</v>
      </c>
      <c r="G749" s="13">
        <v>45551</v>
      </c>
      <c r="H749" s="13">
        <v>45553</v>
      </c>
      <c r="I749">
        <v>2995</v>
      </c>
      <c r="J749">
        <v>2500</v>
      </c>
      <c r="K749">
        <v>5495</v>
      </c>
      <c r="N749">
        <v>33.333333333333329</v>
      </c>
      <c r="O749">
        <v>106.07380000000001</v>
      </c>
      <c r="P749">
        <v>68.6875</v>
      </c>
      <c r="Q749">
        <v>100</v>
      </c>
      <c r="R749">
        <v>100</v>
      </c>
      <c r="S749">
        <v>100</v>
      </c>
      <c r="T749">
        <v>0.41</v>
      </c>
      <c r="U749">
        <v>6.5</v>
      </c>
      <c r="W749" t="s">
        <v>681</v>
      </c>
    </row>
    <row r="750" spans="1:23" x14ac:dyDescent="0.25">
      <c r="A750" t="s">
        <v>1248</v>
      </c>
      <c r="B750" t="str">
        <f t="shared" si="11"/>
        <v>GA2B00000109</v>
      </c>
      <c r="C750" t="s">
        <v>227</v>
      </c>
      <c r="D750" t="s">
        <v>85</v>
      </c>
      <c r="E750" t="s">
        <v>507</v>
      </c>
      <c r="F750">
        <v>12500</v>
      </c>
      <c r="G750" s="13">
        <v>45532</v>
      </c>
      <c r="H750" s="13">
        <v>45534</v>
      </c>
      <c r="I750">
        <v>40</v>
      </c>
      <c r="J750">
        <v>9175.92</v>
      </c>
      <c r="K750">
        <v>9215.92</v>
      </c>
      <c r="N750">
        <v>23.809523809523807</v>
      </c>
      <c r="O750">
        <v>93.344800000000006</v>
      </c>
      <c r="P750">
        <v>73.727400000000003</v>
      </c>
      <c r="Q750">
        <v>90</v>
      </c>
      <c r="R750">
        <v>93</v>
      </c>
      <c r="S750">
        <v>90</v>
      </c>
      <c r="T750">
        <v>8.82</v>
      </c>
      <c r="U750">
        <v>6.25</v>
      </c>
      <c r="W750" t="s">
        <v>497</v>
      </c>
    </row>
    <row r="751" spans="1:23" x14ac:dyDescent="0.25">
      <c r="A751" t="s">
        <v>1249</v>
      </c>
      <c r="B751" t="str">
        <f t="shared" si="11"/>
        <v>GA2B00000075</v>
      </c>
      <c r="C751" t="s">
        <v>227</v>
      </c>
      <c r="D751" t="s">
        <v>85</v>
      </c>
      <c r="E751" t="s">
        <v>507</v>
      </c>
      <c r="F751">
        <v>10000</v>
      </c>
      <c r="G751" s="13">
        <v>45553</v>
      </c>
      <c r="H751" s="13">
        <v>45555</v>
      </c>
      <c r="I751">
        <v>1015.6</v>
      </c>
      <c r="J751">
        <v>5949.4</v>
      </c>
      <c r="K751">
        <v>6965</v>
      </c>
      <c r="N751">
        <v>28.571428571428569</v>
      </c>
      <c r="O751">
        <v>93.608699999999999</v>
      </c>
      <c r="P751">
        <v>69.656000000000006</v>
      </c>
      <c r="Q751">
        <v>90</v>
      </c>
      <c r="R751">
        <v>98</v>
      </c>
      <c r="S751">
        <v>90</v>
      </c>
      <c r="T751">
        <v>10.11</v>
      </c>
      <c r="U751">
        <v>6.5</v>
      </c>
      <c r="W751" t="s">
        <v>497</v>
      </c>
    </row>
    <row r="752" spans="1:23" x14ac:dyDescent="0.25">
      <c r="A752" t="s">
        <v>1250</v>
      </c>
      <c r="B752" t="str">
        <f t="shared" si="11"/>
        <v>TD2J00000595</v>
      </c>
      <c r="C752" t="s">
        <v>237</v>
      </c>
      <c r="D752" t="s">
        <v>85</v>
      </c>
      <c r="E752" t="s">
        <v>499</v>
      </c>
      <c r="F752">
        <v>10000</v>
      </c>
      <c r="G752" s="13">
        <v>45553</v>
      </c>
      <c r="H752" s="13">
        <v>45555</v>
      </c>
      <c r="I752">
        <v>0</v>
      </c>
      <c r="J752">
        <v>5133.71</v>
      </c>
      <c r="K752">
        <v>5133.71</v>
      </c>
      <c r="N752">
        <v>50</v>
      </c>
      <c r="O752">
        <v>90.730500000000006</v>
      </c>
      <c r="P752">
        <v>51.437100000000001</v>
      </c>
      <c r="Q752">
        <v>90</v>
      </c>
      <c r="R752">
        <v>95</v>
      </c>
      <c r="S752">
        <v>88</v>
      </c>
      <c r="T752">
        <v>10.16</v>
      </c>
      <c r="U752">
        <v>6.5</v>
      </c>
      <c r="W752" t="s">
        <v>497</v>
      </c>
    </row>
    <row r="753" spans="1:23" x14ac:dyDescent="0.25">
      <c r="A753" t="s">
        <v>1251</v>
      </c>
      <c r="B753" t="str">
        <f t="shared" si="11"/>
        <v>CF2B00000040</v>
      </c>
      <c r="C753" t="s">
        <v>634</v>
      </c>
      <c r="D753" t="s">
        <v>85</v>
      </c>
      <c r="E753" t="s">
        <v>507</v>
      </c>
      <c r="F753">
        <v>7500</v>
      </c>
      <c r="G753" s="13">
        <v>45558</v>
      </c>
      <c r="H753" s="13">
        <v>45560</v>
      </c>
      <c r="I753">
        <v>7460</v>
      </c>
      <c r="J753">
        <v>40</v>
      </c>
      <c r="K753">
        <v>7500</v>
      </c>
      <c r="N753">
        <v>22.222222222222221</v>
      </c>
      <c r="O753">
        <v>89.176900000000003</v>
      </c>
      <c r="P753">
        <v>100.5333</v>
      </c>
      <c r="Q753">
        <v>89</v>
      </c>
      <c r="R753">
        <v>97</v>
      </c>
      <c r="S753">
        <v>89</v>
      </c>
      <c r="T753">
        <v>9.7899999999999991</v>
      </c>
      <c r="U753">
        <v>7</v>
      </c>
      <c r="W753" t="s">
        <v>497</v>
      </c>
    </row>
    <row r="754" spans="1:23" x14ac:dyDescent="0.25">
      <c r="A754" t="s">
        <v>1252</v>
      </c>
      <c r="B754" t="str">
        <f t="shared" si="11"/>
        <v>CG2A00000569</v>
      </c>
      <c r="C754" t="s">
        <v>229</v>
      </c>
      <c r="D754" t="s">
        <v>85</v>
      </c>
      <c r="E754" t="s">
        <v>496</v>
      </c>
      <c r="F754">
        <v>5000</v>
      </c>
      <c r="G754" s="13">
        <v>45559</v>
      </c>
      <c r="H754" s="13">
        <v>45561</v>
      </c>
      <c r="J754">
        <v>0</v>
      </c>
      <c r="N754">
        <v>0</v>
      </c>
      <c r="T754" t="s">
        <v>946</v>
      </c>
      <c r="U754">
        <v>5.4</v>
      </c>
      <c r="W754" t="s">
        <v>497</v>
      </c>
    </row>
    <row r="755" spans="1:23" x14ac:dyDescent="0.25">
      <c r="A755" t="s">
        <v>1253</v>
      </c>
      <c r="B755" t="str">
        <f t="shared" si="11"/>
        <v>GA2B00000158</v>
      </c>
      <c r="C755" t="s">
        <v>227</v>
      </c>
      <c r="D755" t="s">
        <v>85</v>
      </c>
      <c r="E755" t="s">
        <v>507</v>
      </c>
      <c r="F755">
        <v>10000</v>
      </c>
      <c r="G755" s="13">
        <v>45560</v>
      </c>
      <c r="H755" s="13">
        <v>45562</v>
      </c>
      <c r="J755">
        <v>0</v>
      </c>
      <c r="N755">
        <v>0</v>
      </c>
      <c r="T755" t="s">
        <v>946</v>
      </c>
      <c r="U755">
        <v>6.5</v>
      </c>
      <c r="W755" t="s">
        <v>497</v>
      </c>
    </row>
    <row r="756" spans="1:23" x14ac:dyDescent="0.25">
      <c r="A756" t="s">
        <v>1254</v>
      </c>
      <c r="B756" t="str">
        <f t="shared" si="11"/>
        <v>TD2J00000603</v>
      </c>
      <c r="C756" t="s">
        <v>237</v>
      </c>
      <c r="D756" t="s">
        <v>85</v>
      </c>
      <c r="E756" t="s">
        <v>499</v>
      </c>
      <c r="F756">
        <v>10000</v>
      </c>
      <c r="G756" s="13">
        <v>45560</v>
      </c>
      <c r="H756" s="13">
        <v>45562</v>
      </c>
      <c r="J756">
        <v>0</v>
      </c>
      <c r="N756">
        <v>0</v>
      </c>
      <c r="T756" t="s">
        <v>946</v>
      </c>
      <c r="U756">
        <v>6.5</v>
      </c>
      <c r="W756" t="s">
        <v>497</v>
      </c>
    </row>
    <row r="757" spans="1:23" x14ac:dyDescent="0.25">
      <c r="A757" t="s">
        <v>1255</v>
      </c>
      <c r="B757" t="str">
        <f t="shared" si="11"/>
        <v>CG2A00000577</v>
      </c>
      <c r="C757" t="s">
        <v>229</v>
      </c>
      <c r="D757" t="s">
        <v>85</v>
      </c>
      <c r="E757" t="s">
        <v>496</v>
      </c>
      <c r="F757">
        <v>15000</v>
      </c>
      <c r="G757" s="13">
        <v>45566</v>
      </c>
      <c r="H757" s="13">
        <v>45568</v>
      </c>
      <c r="J757">
        <v>0</v>
      </c>
      <c r="N757">
        <v>0</v>
      </c>
      <c r="T757" t="s">
        <v>946</v>
      </c>
      <c r="U757">
        <v>5.5</v>
      </c>
      <c r="W757" t="s">
        <v>497</v>
      </c>
    </row>
    <row r="758" spans="1:23" x14ac:dyDescent="0.25">
      <c r="A758" t="s">
        <v>1256</v>
      </c>
      <c r="B758" t="str">
        <f t="shared" si="11"/>
        <v>CG2A00000577</v>
      </c>
      <c r="C758" t="s">
        <v>229</v>
      </c>
      <c r="D758" t="s">
        <v>85</v>
      </c>
      <c r="E758" t="s">
        <v>496</v>
      </c>
      <c r="F758">
        <v>10000</v>
      </c>
      <c r="G758" s="13">
        <v>45573</v>
      </c>
      <c r="H758" s="13">
        <v>45575</v>
      </c>
      <c r="I758">
        <v>10000</v>
      </c>
      <c r="J758">
        <v>0</v>
      </c>
      <c r="K758">
        <v>10000</v>
      </c>
      <c r="N758">
        <v>16.666666666666664</v>
      </c>
      <c r="O758">
        <v>95.105500000000006</v>
      </c>
      <c r="P758">
        <v>156.47499999999999</v>
      </c>
      <c r="Q758">
        <v>95</v>
      </c>
      <c r="R758">
        <v>95</v>
      </c>
      <c r="S758">
        <v>90</v>
      </c>
      <c r="T758">
        <v>8.1999999999999993</v>
      </c>
      <c r="U758">
        <v>5.5</v>
      </c>
      <c r="W758" t="s">
        <v>497</v>
      </c>
    </row>
    <row r="759" spans="1:23" x14ac:dyDescent="0.25">
      <c r="A759" t="s">
        <v>1257</v>
      </c>
      <c r="B759" t="str">
        <f t="shared" si="11"/>
        <v>TD2J00000611</v>
      </c>
      <c r="C759" t="s">
        <v>237</v>
      </c>
      <c r="D759" t="s">
        <v>85</v>
      </c>
      <c r="E759" t="s">
        <v>499</v>
      </c>
      <c r="F759">
        <v>10000</v>
      </c>
      <c r="G759" s="13">
        <v>45567</v>
      </c>
      <c r="H759" s="13">
        <v>45569</v>
      </c>
      <c r="I759">
        <v>0</v>
      </c>
      <c r="J759">
        <v>2135.1</v>
      </c>
      <c r="K759">
        <v>2135.1</v>
      </c>
      <c r="N759">
        <v>33.333333333333329</v>
      </c>
      <c r="O759">
        <v>90.065600000000003</v>
      </c>
      <c r="P759">
        <v>21.350999999999999</v>
      </c>
      <c r="Q759">
        <v>90</v>
      </c>
      <c r="R759">
        <v>93</v>
      </c>
      <c r="S759">
        <v>90</v>
      </c>
      <c r="T759">
        <v>10.44</v>
      </c>
      <c r="U759">
        <v>6.5</v>
      </c>
      <c r="W759" t="s">
        <v>497</v>
      </c>
    </row>
    <row r="760" spans="1:23" x14ac:dyDescent="0.25">
      <c r="A760" t="s">
        <v>1258</v>
      </c>
      <c r="B760" t="str">
        <f t="shared" si="11"/>
        <v>CG2J00000594</v>
      </c>
      <c r="C760" t="s">
        <v>229</v>
      </c>
      <c r="D760" t="s">
        <v>85</v>
      </c>
      <c r="E760" t="s">
        <v>499</v>
      </c>
      <c r="F760">
        <v>10000</v>
      </c>
      <c r="G760" s="13">
        <v>45573</v>
      </c>
      <c r="H760" s="13">
        <v>45575</v>
      </c>
      <c r="I760">
        <v>10000</v>
      </c>
      <c r="J760">
        <v>0</v>
      </c>
      <c r="K760">
        <v>10000</v>
      </c>
      <c r="N760">
        <v>8.3333333333333321</v>
      </c>
      <c r="O760">
        <v>95</v>
      </c>
      <c r="P760">
        <v>153</v>
      </c>
      <c r="Q760">
        <v>95</v>
      </c>
      <c r="R760">
        <v>95</v>
      </c>
      <c r="S760">
        <v>91</v>
      </c>
      <c r="T760">
        <v>7.91</v>
      </c>
      <c r="U760">
        <v>6</v>
      </c>
      <c r="W760" t="s">
        <v>497</v>
      </c>
    </row>
    <row r="761" spans="1:23" x14ac:dyDescent="0.25">
      <c r="A761" t="s">
        <v>1259</v>
      </c>
      <c r="B761" t="str">
        <f t="shared" si="11"/>
        <v>CG2J00000594</v>
      </c>
      <c r="C761" t="s">
        <v>229</v>
      </c>
      <c r="D761" t="s">
        <v>85</v>
      </c>
      <c r="E761" t="s">
        <v>499</v>
      </c>
      <c r="F761">
        <v>5000</v>
      </c>
      <c r="G761" s="13">
        <v>45573</v>
      </c>
      <c r="H761" s="13">
        <v>45575</v>
      </c>
      <c r="I761">
        <v>5000</v>
      </c>
      <c r="J761">
        <v>0</v>
      </c>
      <c r="K761">
        <v>5000</v>
      </c>
      <c r="N761">
        <v>4.1666666666666661</v>
      </c>
      <c r="O761">
        <v>95</v>
      </c>
      <c r="P761">
        <v>100</v>
      </c>
      <c r="Q761">
        <v>95</v>
      </c>
      <c r="R761">
        <v>95</v>
      </c>
      <c r="S761">
        <v>95</v>
      </c>
      <c r="T761">
        <v>7.91</v>
      </c>
      <c r="U761">
        <v>6.5</v>
      </c>
      <c r="W761" t="s">
        <v>497</v>
      </c>
    </row>
    <row r="762" spans="1:23" x14ac:dyDescent="0.25">
      <c r="A762" t="s">
        <v>1260</v>
      </c>
      <c r="B762" t="str">
        <f t="shared" si="11"/>
        <v>TD2J00000629</v>
      </c>
      <c r="C762" t="s">
        <v>237</v>
      </c>
      <c r="D762" t="s">
        <v>85</v>
      </c>
      <c r="E762" t="s">
        <v>499</v>
      </c>
      <c r="F762">
        <v>30000</v>
      </c>
      <c r="G762" s="13">
        <v>45574</v>
      </c>
      <c r="H762" s="13">
        <v>45576</v>
      </c>
      <c r="I762">
        <v>4500</v>
      </c>
      <c r="J762">
        <v>500</v>
      </c>
      <c r="K762">
        <v>5000</v>
      </c>
      <c r="N762">
        <v>25</v>
      </c>
      <c r="O762">
        <v>91.2</v>
      </c>
      <c r="P762">
        <v>16.666699999999999</v>
      </c>
      <c r="Q762">
        <v>90</v>
      </c>
      <c r="R762">
        <v>93</v>
      </c>
      <c r="S762">
        <v>90</v>
      </c>
      <c r="T762">
        <v>9.9700000000000006</v>
      </c>
      <c r="U762">
        <v>6.5</v>
      </c>
      <c r="W762" t="s">
        <v>497</v>
      </c>
    </row>
    <row r="763" spans="1:23" x14ac:dyDescent="0.25">
      <c r="A763" t="s">
        <v>866</v>
      </c>
      <c r="B763" t="str">
        <f t="shared" si="11"/>
        <v>GA2B00000117</v>
      </c>
      <c r="C763" t="s">
        <v>227</v>
      </c>
      <c r="D763" t="s">
        <v>85</v>
      </c>
      <c r="E763" t="s">
        <v>507</v>
      </c>
      <c r="F763">
        <v>15000</v>
      </c>
      <c r="G763" s="13">
        <v>45574</v>
      </c>
      <c r="H763" s="13">
        <v>45576</v>
      </c>
      <c r="I763">
        <v>11500</v>
      </c>
      <c r="J763">
        <v>3500</v>
      </c>
      <c r="K763">
        <v>15000</v>
      </c>
      <c r="N763">
        <v>14.285714285714285</v>
      </c>
      <c r="O763">
        <v>92.147300000000001</v>
      </c>
      <c r="P763">
        <v>100</v>
      </c>
      <c r="Q763">
        <v>91</v>
      </c>
      <c r="R763">
        <v>91</v>
      </c>
      <c r="S763">
        <v>91</v>
      </c>
      <c r="T763">
        <v>9.31</v>
      </c>
      <c r="U763">
        <v>6.25</v>
      </c>
      <c r="W763" t="s">
        <v>875</v>
      </c>
    </row>
    <row r="764" spans="1:23" x14ac:dyDescent="0.25">
      <c r="A764" t="s">
        <v>919</v>
      </c>
      <c r="B764" t="str">
        <f t="shared" si="11"/>
        <v>GA2B00000125</v>
      </c>
      <c r="C764" t="s">
        <v>227</v>
      </c>
      <c r="D764" t="s">
        <v>85</v>
      </c>
      <c r="E764" t="s">
        <v>507</v>
      </c>
      <c r="F764">
        <v>15000</v>
      </c>
      <c r="G764" s="13">
        <v>45574</v>
      </c>
      <c r="H764" s="13">
        <v>45576</v>
      </c>
      <c r="I764">
        <v>7000</v>
      </c>
      <c r="J764">
        <v>0</v>
      </c>
      <c r="K764">
        <v>7000</v>
      </c>
      <c r="N764">
        <v>4.7619047619047619</v>
      </c>
      <c r="O764">
        <v>97.700800000000001</v>
      </c>
      <c r="P764">
        <v>46.666699999999999</v>
      </c>
      <c r="Q764">
        <v>92</v>
      </c>
      <c r="R764">
        <v>92</v>
      </c>
      <c r="S764">
        <v>92</v>
      </c>
      <c r="T764">
        <v>7.37</v>
      </c>
      <c r="U764">
        <v>6.5</v>
      </c>
      <c r="W764" t="s">
        <v>875</v>
      </c>
    </row>
    <row r="765" spans="1:23" x14ac:dyDescent="0.25">
      <c r="A765" t="s">
        <v>932</v>
      </c>
      <c r="B765" t="str">
        <f t="shared" si="11"/>
        <v>GA2B00000133</v>
      </c>
      <c r="C765" t="s">
        <v>227</v>
      </c>
      <c r="D765" t="s">
        <v>85</v>
      </c>
      <c r="E765" t="s">
        <v>507</v>
      </c>
      <c r="F765">
        <v>10000</v>
      </c>
      <c r="G765" s="13">
        <v>45574</v>
      </c>
      <c r="H765" s="13">
        <v>45576</v>
      </c>
      <c r="I765">
        <v>3594</v>
      </c>
      <c r="J765">
        <v>270</v>
      </c>
      <c r="K765">
        <v>3864</v>
      </c>
      <c r="N765">
        <v>14.285714285714285</v>
      </c>
      <c r="O765">
        <v>94.209000000000003</v>
      </c>
      <c r="P765">
        <v>38.64</v>
      </c>
      <c r="Q765">
        <v>90</v>
      </c>
      <c r="R765">
        <v>90</v>
      </c>
      <c r="S765">
        <v>90</v>
      </c>
      <c r="T765">
        <v>8.74</v>
      </c>
      <c r="U765">
        <v>6.5</v>
      </c>
      <c r="W765" t="s">
        <v>875</v>
      </c>
    </row>
    <row r="766" spans="1:23" x14ac:dyDescent="0.25">
      <c r="A766" t="s">
        <v>957</v>
      </c>
      <c r="B766" t="str">
        <f t="shared" si="11"/>
        <v>GA2C00000041</v>
      </c>
      <c r="C766" t="s">
        <v>227</v>
      </c>
      <c r="D766" t="s">
        <v>85</v>
      </c>
      <c r="E766" t="s">
        <v>549</v>
      </c>
      <c r="F766">
        <v>10000</v>
      </c>
      <c r="G766" s="13">
        <v>45574</v>
      </c>
      <c r="H766" s="13">
        <v>45576</v>
      </c>
      <c r="I766">
        <v>1605</v>
      </c>
      <c r="J766">
        <v>4000</v>
      </c>
      <c r="K766">
        <v>5605</v>
      </c>
      <c r="N766">
        <v>14.285714285714285</v>
      </c>
      <c r="O766">
        <v>93.842500000000001</v>
      </c>
      <c r="P766">
        <v>56.05</v>
      </c>
      <c r="Q766">
        <v>90</v>
      </c>
      <c r="R766">
        <v>90</v>
      </c>
      <c r="S766">
        <v>90</v>
      </c>
      <c r="T766">
        <v>8.85</v>
      </c>
      <c r="U766">
        <v>7.5</v>
      </c>
      <c r="W766" t="s">
        <v>875</v>
      </c>
    </row>
    <row r="767" spans="1:23" x14ac:dyDescent="0.25">
      <c r="A767" t="s">
        <v>751</v>
      </c>
      <c r="B767" t="str">
        <f t="shared" si="11"/>
        <v>GA2D00000024</v>
      </c>
      <c r="C767" t="s">
        <v>227</v>
      </c>
      <c r="D767" t="s">
        <v>85</v>
      </c>
      <c r="E767" t="s">
        <v>555</v>
      </c>
      <c r="F767">
        <v>5000</v>
      </c>
      <c r="G767" s="13">
        <v>45574</v>
      </c>
      <c r="H767" s="13">
        <v>45576</v>
      </c>
      <c r="I767">
        <v>4520</v>
      </c>
      <c r="J767">
        <v>0</v>
      </c>
      <c r="K767">
        <v>4520</v>
      </c>
      <c r="N767">
        <v>4.7619047619047619</v>
      </c>
      <c r="O767">
        <v>91.333600000000004</v>
      </c>
      <c r="P767">
        <v>90.4</v>
      </c>
      <c r="Q767">
        <v>90</v>
      </c>
      <c r="R767">
        <v>90</v>
      </c>
      <c r="S767">
        <v>90</v>
      </c>
      <c r="T767">
        <v>10</v>
      </c>
      <c r="U767">
        <v>8.25</v>
      </c>
      <c r="W767" t="s">
        <v>875</v>
      </c>
    </row>
    <row r="768" spans="1:23" x14ac:dyDescent="0.25">
      <c r="A768" t="s">
        <v>1219</v>
      </c>
      <c r="B768" t="str">
        <f t="shared" si="11"/>
        <v>GA2J00000358</v>
      </c>
      <c r="C768" t="s">
        <v>227</v>
      </c>
      <c r="D768" t="s">
        <v>85</v>
      </c>
      <c r="E768" t="s">
        <v>499</v>
      </c>
      <c r="F768">
        <v>10000</v>
      </c>
      <c r="G768" s="13">
        <v>45574</v>
      </c>
      <c r="H768" s="13">
        <v>45576</v>
      </c>
      <c r="I768">
        <v>10000</v>
      </c>
      <c r="J768">
        <v>0</v>
      </c>
      <c r="K768">
        <v>10000</v>
      </c>
      <c r="N768">
        <v>9.5238095238095237</v>
      </c>
      <c r="O768">
        <v>93.215100000000007</v>
      </c>
      <c r="P768">
        <v>100</v>
      </c>
      <c r="Q768">
        <v>91</v>
      </c>
      <c r="R768">
        <v>91</v>
      </c>
      <c r="S768">
        <v>91</v>
      </c>
      <c r="T768">
        <v>8.09</v>
      </c>
      <c r="U768">
        <v>5.5</v>
      </c>
      <c r="W768" t="s">
        <v>875</v>
      </c>
    </row>
    <row r="769" spans="1:23" x14ac:dyDescent="0.25">
      <c r="A769" t="s">
        <v>1261</v>
      </c>
      <c r="B769" t="str">
        <f t="shared" si="11"/>
        <v>GA2J00000366</v>
      </c>
      <c r="C769" t="s">
        <v>227</v>
      </c>
      <c r="D769" t="s">
        <v>85</v>
      </c>
      <c r="E769" t="s">
        <v>499</v>
      </c>
      <c r="F769">
        <v>35000</v>
      </c>
      <c r="G769" s="13">
        <v>45574</v>
      </c>
      <c r="H769" s="13">
        <v>45576</v>
      </c>
      <c r="I769">
        <v>23175</v>
      </c>
      <c r="J769">
        <v>7137.0999999999985</v>
      </c>
      <c r="K769">
        <v>30312.1</v>
      </c>
      <c r="N769">
        <v>14.285714285714285</v>
      </c>
      <c r="O769">
        <v>90.5</v>
      </c>
      <c r="P769">
        <v>86.605999999999995</v>
      </c>
      <c r="Q769">
        <v>90.5</v>
      </c>
      <c r="R769">
        <v>90.5</v>
      </c>
      <c r="S769">
        <v>90.5</v>
      </c>
      <c r="T769">
        <v>9.4600000000000009</v>
      </c>
      <c r="U769">
        <v>5.75</v>
      </c>
      <c r="W769" t="s">
        <v>875</v>
      </c>
    </row>
    <row r="770" spans="1:23" x14ac:dyDescent="0.25">
      <c r="A770" t="s">
        <v>1262</v>
      </c>
      <c r="B770" t="str">
        <f t="shared" si="11"/>
        <v>GA2K00000066</v>
      </c>
      <c r="C770" t="s">
        <v>227</v>
      </c>
      <c r="D770" t="s">
        <v>85</v>
      </c>
      <c r="E770" t="s">
        <v>516</v>
      </c>
      <c r="F770">
        <v>10000</v>
      </c>
      <c r="G770" s="13">
        <v>45574</v>
      </c>
      <c r="H770" s="13">
        <v>45576</v>
      </c>
      <c r="I770">
        <v>7000</v>
      </c>
      <c r="J770">
        <v>3000</v>
      </c>
      <c r="K770">
        <v>10000</v>
      </c>
      <c r="N770">
        <v>14.285714285714285</v>
      </c>
      <c r="O770">
        <v>95.163300000000007</v>
      </c>
      <c r="P770">
        <v>100</v>
      </c>
      <c r="Q770">
        <v>91</v>
      </c>
      <c r="R770">
        <v>91</v>
      </c>
      <c r="S770">
        <v>91</v>
      </c>
      <c r="T770">
        <v>8.43</v>
      </c>
      <c r="U770">
        <v>5.75</v>
      </c>
      <c r="W770" t="s">
        <v>875</v>
      </c>
    </row>
    <row r="771" spans="1:23" x14ac:dyDescent="0.25">
      <c r="A771" t="s">
        <v>1263</v>
      </c>
      <c r="B771" t="str">
        <f t="shared" si="11"/>
        <v>CG2N00000028</v>
      </c>
      <c r="C771" t="s">
        <v>229</v>
      </c>
      <c r="D771" t="s">
        <v>85</v>
      </c>
      <c r="E771" t="s">
        <v>553</v>
      </c>
      <c r="F771">
        <v>83590</v>
      </c>
      <c r="G771" s="13">
        <v>45580</v>
      </c>
      <c r="H771" s="13">
        <v>45580</v>
      </c>
      <c r="J771">
        <v>83590</v>
      </c>
      <c r="K771">
        <v>83590</v>
      </c>
      <c r="P771">
        <v>100</v>
      </c>
      <c r="U771">
        <v>6</v>
      </c>
      <c r="W771" t="s">
        <v>1264</v>
      </c>
    </row>
    <row r="772" spans="1:23" x14ac:dyDescent="0.25">
      <c r="A772" t="s">
        <v>1265</v>
      </c>
      <c r="B772" t="str">
        <f t="shared" si="11"/>
        <v>CG2N00000036</v>
      </c>
      <c r="C772" t="s">
        <v>229</v>
      </c>
      <c r="D772" t="s">
        <v>85</v>
      </c>
      <c r="E772" t="s">
        <v>553</v>
      </c>
      <c r="F772">
        <v>1140.9000000000001</v>
      </c>
      <c r="G772" s="13">
        <v>45580</v>
      </c>
      <c r="H772" s="13">
        <v>45580</v>
      </c>
      <c r="J772">
        <v>1140.9000000000001</v>
      </c>
      <c r="K772">
        <v>1140.9000000000001</v>
      </c>
      <c r="P772">
        <v>100</v>
      </c>
      <c r="U772">
        <v>6.25</v>
      </c>
      <c r="W772" t="s">
        <v>1264</v>
      </c>
    </row>
    <row r="773" spans="1:23" x14ac:dyDescent="0.25">
      <c r="A773" t="s">
        <v>1266</v>
      </c>
      <c r="B773" t="str">
        <f t="shared" ref="B773:B836" si="12">MID(A773,1,12)</f>
        <v>CG2D00000020</v>
      </c>
      <c r="C773" t="s">
        <v>229</v>
      </c>
      <c r="D773" t="s">
        <v>85</v>
      </c>
      <c r="E773" t="s">
        <v>555</v>
      </c>
      <c r="F773">
        <v>160696.5</v>
      </c>
      <c r="G773" s="13">
        <v>45580</v>
      </c>
      <c r="H773" s="13">
        <v>45580</v>
      </c>
      <c r="J773">
        <v>160696.5</v>
      </c>
      <c r="K773">
        <v>160696.5</v>
      </c>
      <c r="P773">
        <v>100</v>
      </c>
      <c r="U773">
        <v>6</v>
      </c>
      <c r="W773" t="s">
        <v>1264</v>
      </c>
    </row>
    <row r="774" spans="1:23" x14ac:dyDescent="0.25">
      <c r="A774" t="s">
        <v>1267</v>
      </c>
      <c r="B774" t="str">
        <f t="shared" si="12"/>
        <v>CG2J00000644</v>
      </c>
      <c r="C774" t="s">
        <v>229</v>
      </c>
      <c r="D774" t="s">
        <v>85</v>
      </c>
      <c r="E774" t="s">
        <v>499</v>
      </c>
      <c r="F774">
        <v>8000</v>
      </c>
      <c r="G774" s="13">
        <v>45580</v>
      </c>
      <c r="H774" s="13">
        <v>45580</v>
      </c>
      <c r="I774">
        <v>8000</v>
      </c>
      <c r="K774">
        <v>8000</v>
      </c>
      <c r="P774">
        <v>100</v>
      </c>
      <c r="U774">
        <v>5.4</v>
      </c>
      <c r="W774" t="s">
        <v>1264</v>
      </c>
    </row>
    <row r="775" spans="1:23" x14ac:dyDescent="0.25">
      <c r="A775" t="s">
        <v>1268</v>
      </c>
      <c r="B775" t="str">
        <f t="shared" si="12"/>
        <v>CG2J00000651</v>
      </c>
      <c r="C775" t="s">
        <v>229</v>
      </c>
      <c r="D775" t="s">
        <v>85</v>
      </c>
      <c r="E775" t="s">
        <v>499</v>
      </c>
      <c r="F775">
        <v>7000</v>
      </c>
      <c r="G775" s="13">
        <v>45580</v>
      </c>
      <c r="H775" s="13">
        <v>45580</v>
      </c>
      <c r="I775">
        <v>7000</v>
      </c>
      <c r="K775">
        <v>7000</v>
      </c>
      <c r="P775">
        <v>100</v>
      </c>
      <c r="U775">
        <v>5.75</v>
      </c>
      <c r="W775" t="s">
        <v>1264</v>
      </c>
    </row>
    <row r="776" spans="1:23" x14ac:dyDescent="0.25">
      <c r="A776" t="s">
        <v>1269</v>
      </c>
      <c r="B776" t="str">
        <f t="shared" si="12"/>
        <v>CG2J00000669</v>
      </c>
      <c r="C776" t="s">
        <v>229</v>
      </c>
      <c r="D776" t="s">
        <v>85</v>
      </c>
      <c r="E776" t="s">
        <v>499</v>
      </c>
      <c r="F776">
        <v>5000</v>
      </c>
      <c r="G776" s="13">
        <v>45580</v>
      </c>
      <c r="H776" s="13">
        <v>45580</v>
      </c>
      <c r="I776">
        <v>5000</v>
      </c>
      <c r="K776">
        <v>5000</v>
      </c>
      <c r="P776">
        <v>100</v>
      </c>
      <c r="U776">
        <v>6</v>
      </c>
      <c r="W776" t="s">
        <v>1264</v>
      </c>
    </row>
    <row r="777" spans="1:23" x14ac:dyDescent="0.25">
      <c r="A777" t="s">
        <v>1270</v>
      </c>
      <c r="B777" t="str">
        <f t="shared" si="12"/>
        <v>CG2K00000252</v>
      </c>
      <c r="C777" t="s">
        <v>229</v>
      </c>
      <c r="D777" t="s">
        <v>85</v>
      </c>
      <c r="E777" t="s">
        <v>516</v>
      </c>
      <c r="F777">
        <v>3000</v>
      </c>
      <c r="G777" s="13">
        <v>45580</v>
      </c>
      <c r="H777" s="13">
        <v>45580</v>
      </c>
      <c r="I777">
        <v>3000</v>
      </c>
      <c r="K777">
        <v>3000</v>
      </c>
      <c r="P777">
        <v>100</v>
      </c>
      <c r="U777">
        <v>5.75</v>
      </c>
      <c r="W777" t="s">
        <v>1264</v>
      </c>
    </row>
    <row r="778" spans="1:23" x14ac:dyDescent="0.25">
      <c r="A778" t="s">
        <v>1271</v>
      </c>
      <c r="B778" t="str">
        <f t="shared" si="12"/>
        <v>CG2K00000260</v>
      </c>
      <c r="C778" t="s">
        <v>229</v>
      </c>
      <c r="D778" t="s">
        <v>85</v>
      </c>
      <c r="E778" t="s">
        <v>516</v>
      </c>
      <c r="F778">
        <v>23598.29</v>
      </c>
      <c r="G778" s="13">
        <v>45580</v>
      </c>
      <c r="H778" s="13">
        <v>45580</v>
      </c>
      <c r="I778">
        <v>23598.29</v>
      </c>
      <c r="K778">
        <v>23598.29</v>
      </c>
      <c r="P778">
        <v>100</v>
      </c>
      <c r="U778">
        <v>6</v>
      </c>
      <c r="W778" t="s">
        <v>1264</v>
      </c>
    </row>
    <row r="779" spans="1:23" x14ac:dyDescent="0.25">
      <c r="A779" t="s">
        <v>1272</v>
      </c>
      <c r="B779" t="str">
        <f t="shared" si="12"/>
        <v>CG2K00000278</v>
      </c>
      <c r="C779" t="s">
        <v>229</v>
      </c>
      <c r="D779" t="s">
        <v>85</v>
      </c>
      <c r="E779" t="s">
        <v>516</v>
      </c>
      <c r="F779">
        <v>4880.16</v>
      </c>
      <c r="G779" s="13">
        <v>45580</v>
      </c>
      <c r="H779" s="13">
        <v>45580</v>
      </c>
      <c r="I779">
        <v>4880.16</v>
      </c>
      <c r="K779">
        <v>4880.16</v>
      </c>
      <c r="P779">
        <v>100</v>
      </c>
      <c r="U779">
        <v>6.5</v>
      </c>
      <c r="W779" t="s">
        <v>1264</v>
      </c>
    </row>
    <row r="780" spans="1:23" x14ac:dyDescent="0.25">
      <c r="A780" t="s">
        <v>1273</v>
      </c>
      <c r="B780" t="str">
        <f t="shared" si="12"/>
        <v>CG2B00000220</v>
      </c>
      <c r="C780" t="s">
        <v>229</v>
      </c>
      <c r="D780" t="s">
        <v>85</v>
      </c>
      <c r="E780" t="s">
        <v>507</v>
      </c>
      <c r="F780">
        <v>600</v>
      </c>
      <c r="G780" s="13">
        <v>45580</v>
      </c>
      <c r="H780" s="13">
        <v>45580</v>
      </c>
      <c r="J780">
        <v>600</v>
      </c>
      <c r="K780">
        <v>600</v>
      </c>
      <c r="P780">
        <v>100</v>
      </c>
      <c r="U780">
        <v>6</v>
      </c>
      <c r="W780" t="s">
        <v>1264</v>
      </c>
    </row>
    <row r="781" spans="1:23" x14ac:dyDescent="0.25">
      <c r="A781" t="s">
        <v>1274</v>
      </c>
      <c r="B781" t="str">
        <f t="shared" si="12"/>
        <v>CG2D00000038</v>
      </c>
      <c r="C781" t="s">
        <v>229</v>
      </c>
      <c r="D781" t="s">
        <v>85</v>
      </c>
      <c r="E781" t="s">
        <v>555</v>
      </c>
      <c r="F781">
        <v>5100</v>
      </c>
      <c r="G781" s="13">
        <v>45580</v>
      </c>
      <c r="H781" s="13">
        <v>45580</v>
      </c>
      <c r="J781">
        <v>5100</v>
      </c>
      <c r="K781">
        <v>5100</v>
      </c>
      <c r="P781">
        <v>100</v>
      </c>
      <c r="U781">
        <v>5.5</v>
      </c>
      <c r="W781" t="s">
        <v>1264</v>
      </c>
    </row>
    <row r="782" spans="1:23" x14ac:dyDescent="0.25">
      <c r="A782" t="s">
        <v>1275</v>
      </c>
      <c r="B782" t="str">
        <f t="shared" si="12"/>
        <v>CG2D00000046</v>
      </c>
      <c r="C782" t="s">
        <v>229</v>
      </c>
      <c r="D782" t="s">
        <v>85</v>
      </c>
      <c r="E782" t="s">
        <v>555</v>
      </c>
      <c r="F782">
        <v>5050</v>
      </c>
      <c r="G782" s="13">
        <v>45580</v>
      </c>
      <c r="H782" s="13">
        <v>45580</v>
      </c>
      <c r="J782">
        <v>5050</v>
      </c>
      <c r="K782">
        <v>5050</v>
      </c>
      <c r="P782">
        <v>100</v>
      </c>
      <c r="U782">
        <v>6.5</v>
      </c>
      <c r="W782" t="s">
        <v>1264</v>
      </c>
    </row>
    <row r="783" spans="1:23" x14ac:dyDescent="0.25">
      <c r="A783" t="s">
        <v>1276</v>
      </c>
      <c r="B783" t="str">
        <f t="shared" si="12"/>
        <v>CG2D00000053</v>
      </c>
      <c r="C783" t="s">
        <v>229</v>
      </c>
      <c r="D783" t="s">
        <v>85</v>
      </c>
      <c r="E783" t="s">
        <v>555</v>
      </c>
      <c r="F783">
        <v>24197.439999999999</v>
      </c>
      <c r="G783" s="13">
        <v>45580</v>
      </c>
      <c r="H783" s="13">
        <v>45580</v>
      </c>
      <c r="J783">
        <v>24197.439999999999</v>
      </c>
      <c r="K783">
        <v>24197.439999999999</v>
      </c>
      <c r="P783">
        <v>100</v>
      </c>
      <c r="U783">
        <v>6</v>
      </c>
      <c r="W783" t="s">
        <v>1264</v>
      </c>
    </row>
    <row r="784" spans="1:23" x14ac:dyDescent="0.25">
      <c r="A784" t="s">
        <v>1277</v>
      </c>
      <c r="B784" t="str">
        <f t="shared" si="12"/>
        <v>CG2D00000061</v>
      </c>
      <c r="C784" t="s">
        <v>229</v>
      </c>
      <c r="D784" t="s">
        <v>85</v>
      </c>
      <c r="E784" t="s">
        <v>555</v>
      </c>
      <c r="F784">
        <v>2590</v>
      </c>
      <c r="G784" s="13">
        <v>45580</v>
      </c>
      <c r="H784" s="13">
        <v>45580</v>
      </c>
      <c r="J784">
        <v>2590</v>
      </c>
      <c r="K784">
        <v>2590</v>
      </c>
      <c r="P784">
        <v>100</v>
      </c>
      <c r="U784">
        <v>6.25</v>
      </c>
      <c r="W784" t="s">
        <v>1264</v>
      </c>
    </row>
    <row r="785" spans="1:23" x14ac:dyDescent="0.25">
      <c r="A785" t="s">
        <v>1278</v>
      </c>
      <c r="B785" t="str">
        <f t="shared" si="12"/>
        <v>CG2D00000079</v>
      </c>
      <c r="C785" t="s">
        <v>229</v>
      </c>
      <c r="D785" t="s">
        <v>85</v>
      </c>
      <c r="E785" t="s">
        <v>555</v>
      </c>
      <c r="F785">
        <v>2700</v>
      </c>
      <c r="G785" s="13">
        <v>45580</v>
      </c>
      <c r="H785" s="13">
        <v>45580</v>
      </c>
      <c r="J785">
        <v>2700</v>
      </c>
      <c r="K785">
        <v>2700</v>
      </c>
      <c r="P785">
        <v>100</v>
      </c>
      <c r="U785">
        <v>6.2</v>
      </c>
      <c r="W785" t="s">
        <v>1264</v>
      </c>
    </row>
    <row r="786" spans="1:23" x14ac:dyDescent="0.25">
      <c r="A786" t="s">
        <v>1279</v>
      </c>
      <c r="B786" t="str">
        <f t="shared" si="12"/>
        <v>CG2J00000602</v>
      </c>
      <c r="C786" t="s">
        <v>229</v>
      </c>
      <c r="D786" t="s">
        <v>85</v>
      </c>
      <c r="E786" t="s">
        <v>499</v>
      </c>
      <c r="F786">
        <v>15000</v>
      </c>
      <c r="G786" s="13">
        <v>45580</v>
      </c>
      <c r="H786" s="13">
        <v>45582</v>
      </c>
      <c r="I786">
        <v>0</v>
      </c>
      <c r="J786">
        <v>1940</v>
      </c>
      <c r="K786">
        <v>1940</v>
      </c>
      <c r="N786">
        <v>8.3333333333333321</v>
      </c>
      <c r="O786">
        <v>91.360799999999998</v>
      </c>
      <c r="P786">
        <v>12.933299999999999</v>
      </c>
      <c r="Q786">
        <v>91</v>
      </c>
      <c r="R786">
        <v>96</v>
      </c>
      <c r="S786">
        <v>91</v>
      </c>
      <c r="T786">
        <v>9.3699999999999992</v>
      </c>
      <c r="U786">
        <v>6</v>
      </c>
      <c r="W786" t="s">
        <v>497</v>
      </c>
    </row>
    <row r="787" spans="1:23" x14ac:dyDescent="0.25">
      <c r="A787" t="s">
        <v>1280</v>
      </c>
      <c r="B787" t="str">
        <f t="shared" si="12"/>
        <v>TD2J00000637</v>
      </c>
      <c r="C787" t="s">
        <v>237</v>
      </c>
      <c r="D787" t="s">
        <v>85</v>
      </c>
      <c r="E787" t="s">
        <v>499</v>
      </c>
      <c r="F787">
        <v>30000</v>
      </c>
      <c r="G787" s="13">
        <v>45581</v>
      </c>
      <c r="H787" s="13">
        <v>45583</v>
      </c>
      <c r="I787">
        <v>0</v>
      </c>
      <c r="J787">
        <v>6496.19</v>
      </c>
      <c r="K787">
        <v>6496.19</v>
      </c>
      <c r="N787">
        <v>41.666666666666671</v>
      </c>
      <c r="O787">
        <v>90.1815</v>
      </c>
      <c r="P787">
        <v>21.654</v>
      </c>
      <c r="Q787">
        <v>90</v>
      </c>
      <c r="R787">
        <v>92</v>
      </c>
      <c r="S787">
        <v>90</v>
      </c>
      <c r="T787">
        <v>10.39</v>
      </c>
      <c r="U787">
        <v>6.5</v>
      </c>
      <c r="W787" t="s">
        <v>497</v>
      </c>
    </row>
    <row r="788" spans="1:23" x14ac:dyDescent="0.25">
      <c r="A788" t="s">
        <v>1281</v>
      </c>
      <c r="B788" t="str">
        <f t="shared" si="12"/>
        <v>GA2B00000158</v>
      </c>
      <c r="C788" t="s">
        <v>227</v>
      </c>
      <c r="D788" t="s">
        <v>85</v>
      </c>
      <c r="E788" t="s">
        <v>507</v>
      </c>
      <c r="G788" s="13">
        <v>45588</v>
      </c>
      <c r="H788" s="13">
        <v>45590</v>
      </c>
      <c r="J788">
        <v>0</v>
      </c>
      <c r="N788">
        <v>0</v>
      </c>
      <c r="W788" t="s">
        <v>497</v>
      </c>
    </row>
    <row r="789" spans="1:23" x14ac:dyDescent="0.25">
      <c r="A789" t="s">
        <v>1282</v>
      </c>
      <c r="B789" t="str">
        <f t="shared" si="12"/>
        <v>GA2K00000082</v>
      </c>
      <c r="C789" t="s">
        <v>227</v>
      </c>
      <c r="D789" t="s">
        <v>85</v>
      </c>
      <c r="E789" t="s">
        <v>516</v>
      </c>
      <c r="G789" s="13">
        <v>45588</v>
      </c>
      <c r="H789" s="13">
        <v>45590</v>
      </c>
      <c r="J789">
        <v>0</v>
      </c>
      <c r="N789">
        <v>0</v>
      </c>
      <c r="T789" t="s">
        <v>1283</v>
      </c>
      <c r="W789" t="s">
        <v>497</v>
      </c>
    </row>
    <row r="790" spans="1:23" x14ac:dyDescent="0.25">
      <c r="A790" t="s">
        <v>1284</v>
      </c>
      <c r="B790" t="str">
        <f t="shared" si="12"/>
        <v>TD2J00000645</v>
      </c>
      <c r="C790" t="s">
        <v>237</v>
      </c>
      <c r="D790" t="s">
        <v>85</v>
      </c>
      <c r="E790" t="s">
        <v>499</v>
      </c>
      <c r="F790">
        <v>30000</v>
      </c>
      <c r="G790" s="13">
        <v>45588</v>
      </c>
      <c r="H790" s="13">
        <v>45590</v>
      </c>
      <c r="I790">
        <v>500</v>
      </c>
      <c r="J790">
        <v>4034.37</v>
      </c>
      <c r="K790">
        <v>4534.37</v>
      </c>
      <c r="N790">
        <v>50</v>
      </c>
      <c r="O790">
        <v>90.066299999999998</v>
      </c>
      <c r="P790">
        <v>15.114599999999999</v>
      </c>
      <c r="Q790">
        <v>90</v>
      </c>
      <c r="R790">
        <v>92</v>
      </c>
      <c r="S790">
        <v>90</v>
      </c>
      <c r="T790">
        <v>10.44</v>
      </c>
      <c r="U790">
        <v>6.5</v>
      </c>
      <c r="W790" t="s">
        <v>497</v>
      </c>
    </row>
    <row r="791" spans="1:23" x14ac:dyDescent="0.25">
      <c r="A791" t="s">
        <v>1285</v>
      </c>
      <c r="B791" t="str">
        <f t="shared" si="12"/>
        <v>CG2J00000610</v>
      </c>
      <c r="C791" t="s">
        <v>229</v>
      </c>
      <c r="D791" t="s">
        <v>85</v>
      </c>
      <c r="E791" t="s">
        <v>499</v>
      </c>
      <c r="F791">
        <v>5750</v>
      </c>
      <c r="G791" s="13">
        <v>45596</v>
      </c>
      <c r="H791" s="13">
        <v>45596</v>
      </c>
      <c r="I791">
        <v>5750</v>
      </c>
      <c r="J791">
        <v>0</v>
      </c>
      <c r="K791">
        <v>5750</v>
      </c>
      <c r="P791">
        <v>100</v>
      </c>
      <c r="U791">
        <v>5.75</v>
      </c>
      <c r="W791" t="s">
        <v>1264</v>
      </c>
    </row>
    <row r="792" spans="1:23" x14ac:dyDescent="0.25">
      <c r="A792" t="s">
        <v>1286</v>
      </c>
      <c r="B792" t="str">
        <f t="shared" si="12"/>
        <v>CG2K00000237</v>
      </c>
      <c r="C792" t="s">
        <v>229</v>
      </c>
      <c r="D792" t="s">
        <v>85</v>
      </c>
      <c r="E792" t="s">
        <v>516</v>
      </c>
      <c r="F792">
        <v>4911.5</v>
      </c>
      <c r="G792" s="13">
        <v>45596</v>
      </c>
      <c r="H792" s="13">
        <v>45596</v>
      </c>
      <c r="I792">
        <v>4911.5</v>
      </c>
      <c r="J792">
        <v>0</v>
      </c>
      <c r="K792">
        <v>4911.5</v>
      </c>
      <c r="P792">
        <v>100</v>
      </c>
      <c r="U792">
        <v>6</v>
      </c>
      <c r="W792" t="s">
        <v>1264</v>
      </c>
    </row>
    <row r="793" spans="1:23" x14ac:dyDescent="0.25">
      <c r="A793" t="s">
        <v>1287</v>
      </c>
      <c r="B793" t="str">
        <f t="shared" si="12"/>
        <v>CG2K00000245</v>
      </c>
      <c r="C793" t="s">
        <v>229</v>
      </c>
      <c r="D793" t="s">
        <v>85</v>
      </c>
      <c r="E793" t="s">
        <v>516</v>
      </c>
      <c r="F793">
        <v>2500</v>
      </c>
      <c r="G793" s="13">
        <v>45596</v>
      </c>
      <c r="H793" s="13">
        <v>45596</v>
      </c>
      <c r="I793">
        <v>2500</v>
      </c>
      <c r="J793">
        <v>0</v>
      </c>
      <c r="K793">
        <v>2500</v>
      </c>
      <c r="P793">
        <v>100</v>
      </c>
      <c r="U793">
        <v>5.9</v>
      </c>
      <c r="W793" t="s">
        <v>1264</v>
      </c>
    </row>
    <row r="794" spans="1:23" x14ac:dyDescent="0.25">
      <c r="A794" t="s">
        <v>1288</v>
      </c>
      <c r="B794" t="str">
        <f t="shared" si="12"/>
        <v>CG2B00000204</v>
      </c>
      <c r="C794" t="s">
        <v>229</v>
      </c>
      <c r="D794" t="s">
        <v>85</v>
      </c>
      <c r="E794" t="s">
        <v>507</v>
      </c>
      <c r="F794">
        <v>4000</v>
      </c>
      <c r="G794" s="13">
        <v>45596</v>
      </c>
      <c r="H794" s="13">
        <v>45596</v>
      </c>
      <c r="I794">
        <v>4000</v>
      </c>
      <c r="J794">
        <v>0</v>
      </c>
      <c r="K794">
        <v>4000</v>
      </c>
      <c r="P794">
        <v>100</v>
      </c>
      <c r="U794">
        <v>6.5</v>
      </c>
      <c r="W794" t="s">
        <v>1264</v>
      </c>
    </row>
    <row r="795" spans="1:23" x14ac:dyDescent="0.25">
      <c r="A795" t="s">
        <v>1289</v>
      </c>
      <c r="B795" t="str">
        <f t="shared" si="12"/>
        <v>CG2B00000212</v>
      </c>
      <c r="C795" t="s">
        <v>229</v>
      </c>
      <c r="D795" t="s">
        <v>85</v>
      </c>
      <c r="E795" t="s">
        <v>507</v>
      </c>
      <c r="F795">
        <v>3575</v>
      </c>
      <c r="G795" s="13">
        <v>45596</v>
      </c>
      <c r="H795" s="13">
        <v>45596</v>
      </c>
      <c r="I795">
        <v>3575</v>
      </c>
      <c r="J795">
        <v>0</v>
      </c>
      <c r="K795">
        <v>3575</v>
      </c>
      <c r="P795">
        <v>100</v>
      </c>
      <c r="U795">
        <v>5.4</v>
      </c>
      <c r="W795" t="s">
        <v>1264</v>
      </c>
    </row>
    <row r="796" spans="1:23" x14ac:dyDescent="0.25">
      <c r="A796" t="s">
        <v>1290</v>
      </c>
      <c r="B796" t="str">
        <f t="shared" si="12"/>
        <v>CG2C00000021</v>
      </c>
      <c r="C796" t="s">
        <v>229</v>
      </c>
      <c r="D796" t="s">
        <v>85</v>
      </c>
      <c r="E796" t="s">
        <v>549</v>
      </c>
      <c r="F796">
        <v>5500</v>
      </c>
      <c r="G796" s="13">
        <v>45596</v>
      </c>
      <c r="H796" s="13">
        <v>45596</v>
      </c>
      <c r="I796">
        <v>5500</v>
      </c>
      <c r="J796">
        <v>0</v>
      </c>
      <c r="K796">
        <v>5500</v>
      </c>
      <c r="P796">
        <v>100</v>
      </c>
      <c r="U796">
        <v>6.5</v>
      </c>
      <c r="W796" t="s">
        <v>1264</v>
      </c>
    </row>
    <row r="797" spans="1:23" x14ac:dyDescent="0.25">
      <c r="A797" t="s">
        <v>1291</v>
      </c>
      <c r="B797" t="str">
        <f t="shared" si="12"/>
        <v>CG2C00000039</v>
      </c>
      <c r="C797" t="s">
        <v>229</v>
      </c>
      <c r="D797" t="s">
        <v>85</v>
      </c>
      <c r="E797" t="s">
        <v>549</v>
      </c>
      <c r="F797">
        <v>2400</v>
      </c>
      <c r="G797" s="13">
        <v>45596</v>
      </c>
      <c r="H797" s="13">
        <v>45596</v>
      </c>
      <c r="I797">
        <v>2400</v>
      </c>
      <c r="J797">
        <v>0</v>
      </c>
      <c r="K797">
        <v>2400</v>
      </c>
      <c r="P797">
        <v>100</v>
      </c>
      <c r="U797">
        <v>6</v>
      </c>
      <c r="W797" t="s">
        <v>1264</v>
      </c>
    </row>
    <row r="798" spans="1:23" x14ac:dyDescent="0.25">
      <c r="A798" t="s">
        <v>1292</v>
      </c>
      <c r="B798" t="str">
        <f t="shared" si="12"/>
        <v>CG2M00000040</v>
      </c>
      <c r="C798" t="s">
        <v>229</v>
      </c>
      <c r="D798" t="s">
        <v>85</v>
      </c>
      <c r="E798" t="s">
        <v>551</v>
      </c>
      <c r="F798">
        <v>3000</v>
      </c>
      <c r="G798" s="13">
        <v>45596</v>
      </c>
      <c r="H798" s="13">
        <v>45596</v>
      </c>
      <c r="I798">
        <v>3000</v>
      </c>
      <c r="J798">
        <v>0</v>
      </c>
      <c r="K798">
        <v>3000</v>
      </c>
      <c r="P798">
        <v>100</v>
      </c>
      <c r="U798">
        <v>6.75</v>
      </c>
      <c r="W798" t="s">
        <v>1264</v>
      </c>
    </row>
    <row r="799" spans="1:23" x14ac:dyDescent="0.25">
      <c r="A799" t="s">
        <v>1293</v>
      </c>
      <c r="B799" t="str">
        <f t="shared" si="12"/>
        <v>CG2M00000037</v>
      </c>
      <c r="C799" t="s">
        <v>229</v>
      </c>
      <c r="D799" t="s">
        <v>85</v>
      </c>
      <c r="E799" t="s">
        <v>551</v>
      </c>
      <c r="F799">
        <v>3450</v>
      </c>
      <c r="G799" s="13">
        <v>45596</v>
      </c>
      <c r="H799" s="13">
        <v>45596</v>
      </c>
      <c r="I799">
        <v>3450</v>
      </c>
      <c r="J799">
        <v>0</v>
      </c>
      <c r="K799">
        <v>3450</v>
      </c>
      <c r="P799">
        <v>100</v>
      </c>
      <c r="U799">
        <v>6.5</v>
      </c>
      <c r="W799" t="s">
        <v>1264</v>
      </c>
    </row>
    <row r="800" spans="1:23" x14ac:dyDescent="0.25">
      <c r="A800" t="s">
        <v>1294</v>
      </c>
      <c r="B800" t="str">
        <f t="shared" si="12"/>
        <v>TD2A00000925</v>
      </c>
      <c r="C800" t="s">
        <v>237</v>
      </c>
      <c r="D800" t="s">
        <v>85</v>
      </c>
      <c r="E800" t="s">
        <v>496</v>
      </c>
      <c r="F800">
        <v>30000</v>
      </c>
      <c r="G800" s="13">
        <v>45595</v>
      </c>
      <c r="H800" s="13">
        <v>45597</v>
      </c>
      <c r="I800">
        <v>300</v>
      </c>
      <c r="J800">
        <v>12461.3</v>
      </c>
      <c r="K800">
        <v>12761.3</v>
      </c>
      <c r="N800">
        <v>33.333333333333329</v>
      </c>
      <c r="O800">
        <v>93.322500000000005</v>
      </c>
      <c r="P800">
        <v>42.537700000000001</v>
      </c>
      <c r="Q800">
        <v>90</v>
      </c>
      <c r="R800">
        <v>94</v>
      </c>
      <c r="S800">
        <v>90</v>
      </c>
      <c r="T800">
        <v>10.28</v>
      </c>
      <c r="U800">
        <v>6.5</v>
      </c>
      <c r="W800" t="s">
        <v>497</v>
      </c>
    </row>
    <row r="801" spans="1:23" x14ac:dyDescent="0.25">
      <c r="A801" t="s">
        <v>1295</v>
      </c>
      <c r="B801" t="str">
        <f t="shared" si="12"/>
        <v>GA2B00000083</v>
      </c>
      <c r="C801" t="s">
        <v>227</v>
      </c>
      <c r="D801" t="s">
        <v>85</v>
      </c>
      <c r="E801" t="s">
        <v>507</v>
      </c>
      <c r="F801">
        <v>10000</v>
      </c>
      <c r="G801" s="13">
        <v>45602</v>
      </c>
      <c r="H801" s="13">
        <v>45604</v>
      </c>
      <c r="I801">
        <v>1000</v>
      </c>
      <c r="J801">
        <v>5100</v>
      </c>
      <c r="K801">
        <v>6100</v>
      </c>
      <c r="N801">
        <v>14.285714285714285</v>
      </c>
      <c r="O801">
        <v>95.601200000000006</v>
      </c>
      <c r="P801">
        <v>61</v>
      </c>
      <c r="Q801">
        <v>90.8</v>
      </c>
      <c r="R801">
        <v>95</v>
      </c>
      <c r="S801">
        <v>90.8</v>
      </c>
      <c r="T801">
        <v>8.69</v>
      </c>
      <c r="U801">
        <v>6.25</v>
      </c>
      <c r="W801" t="s">
        <v>497</v>
      </c>
    </row>
    <row r="802" spans="1:23" x14ac:dyDescent="0.25">
      <c r="A802" t="s">
        <v>1296</v>
      </c>
      <c r="B802" t="str">
        <f t="shared" si="12"/>
        <v>TD2A00000925</v>
      </c>
      <c r="C802" t="s">
        <v>237</v>
      </c>
      <c r="D802" t="s">
        <v>85</v>
      </c>
      <c r="E802" t="s">
        <v>496</v>
      </c>
      <c r="F802">
        <v>15000</v>
      </c>
      <c r="G802" s="13">
        <v>45602</v>
      </c>
      <c r="H802" s="13">
        <v>45604</v>
      </c>
      <c r="I802">
        <v>2000</v>
      </c>
      <c r="J802">
        <v>3218</v>
      </c>
      <c r="K802">
        <v>5218</v>
      </c>
      <c r="N802">
        <v>41.666666666666671</v>
      </c>
      <c r="O802">
        <v>93.522499999999994</v>
      </c>
      <c r="P802">
        <v>34.786700000000003</v>
      </c>
      <c r="Q802">
        <v>90</v>
      </c>
      <c r="R802">
        <v>95</v>
      </c>
      <c r="S802">
        <v>90</v>
      </c>
      <c r="T802">
        <v>10.16</v>
      </c>
      <c r="U802">
        <v>6.5</v>
      </c>
      <c r="W802" t="s">
        <v>497</v>
      </c>
    </row>
    <row r="803" spans="1:23" x14ac:dyDescent="0.25">
      <c r="A803" t="s">
        <v>1297</v>
      </c>
      <c r="B803" t="str">
        <f t="shared" si="12"/>
        <v>TD2J00000652</v>
      </c>
      <c r="C803" t="s">
        <v>237</v>
      </c>
      <c r="D803" t="s">
        <v>85</v>
      </c>
      <c r="E803" t="s">
        <v>499</v>
      </c>
      <c r="F803">
        <v>30000</v>
      </c>
      <c r="G803" s="13">
        <v>45609</v>
      </c>
      <c r="H803" s="13">
        <v>45611</v>
      </c>
      <c r="I803">
        <v>908.15</v>
      </c>
      <c r="J803">
        <v>10091.85</v>
      </c>
      <c r="K803">
        <v>11000</v>
      </c>
      <c r="N803">
        <v>50</v>
      </c>
      <c r="O803">
        <v>90</v>
      </c>
      <c r="P803">
        <v>44.291699999999999</v>
      </c>
      <c r="Q803">
        <v>90</v>
      </c>
      <c r="R803">
        <v>90</v>
      </c>
      <c r="S803">
        <v>90</v>
      </c>
      <c r="T803">
        <v>10.47</v>
      </c>
      <c r="U803">
        <v>6.5</v>
      </c>
      <c r="W803" t="s">
        <v>497</v>
      </c>
    </row>
    <row r="804" spans="1:23" x14ac:dyDescent="0.25">
      <c r="A804" t="s">
        <v>1298</v>
      </c>
      <c r="B804" t="str">
        <f t="shared" si="12"/>
        <v>CF2B00000057</v>
      </c>
      <c r="C804" t="s">
        <v>634</v>
      </c>
      <c r="D804" t="s">
        <v>85</v>
      </c>
      <c r="E804" t="s">
        <v>507</v>
      </c>
      <c r="F804">
        <v>7500</v>
      </c>
      <c r="G804" s="13">
        <v>45614</v>
      </c>
      <c r="H804" s="13">
        <v>45616</v>
      </c>
      <c r="I804">
        <v>1215</v>
      </c>
      <c r="J804">
        <v>0</v>
      </c>
      <c r="K804">
        <v>1215</v>
      </c>
      <c r="N804">
        <v>11.111111111111111</v>
      </c>
      <c r="O804">
        <v>88</v>
      </c>
      <c r="P804">
        <v>16.2</v>
      </c>
      <c r="Q804">
        <v>88</v>
      </c>
      <c r="R804">
        <v>88</v>
      </c>
      <c r="S804">
        <v>88</v>
      </c>
      <c r="T804">
        <v>10.119999999999999</v>
      </c>
      <c r="U804">
        <v>7</v>
      </c>
      <c r="W804" t="s">
        <v>497</v>
      </c>
    </row>
    <row r="805" spans="1:23" x14ac:dyDescent="0.25">
      <c r="A805" t="s">
        <v>1299</v>
      </c>
      <c r="B805" t="str">
        <f t="shared" si="12"/>
        <v>CF2K00000080</v>
      </c>
      <c r="C805" t="s">
        <v>634</v>
      </c>
      <c r="D805" t="s">
        <v>85</v>
      </c>
      <c r="E805" t="s">
        <v>516</v>
      </c>
      <c r="F805">
        <v>10000</v>
      </c>
      <c r="G805" s="13">
        <v>45614</v>
      </c>
      <c r="H805" s="13">
        <v>45616</v>
      </c>
      <c r="I805">
        <v>400</v>
      </c>
      <c r="J805">
        <v>0</v>
      </c>
      <c r="K805">
        <v>400</v>
      </c>
      <c r="N805">
        <v>11.111111111111111</v>
      </c>
      <c r="O805">
        <v>89</v>
      </c>
      <c r="P805">
        <v>4</v>
      </c>
      <c r="Q805">
        <v>89</v>
      </c>
      <c r="R805">
        <v>89</v>
      </c>
      <c r="S805">
        <v>89</v>
      </c>
      <c r="T805">
        <v>10.17</v>
      </c>
      <c r="U805">
        <v>6.75</v>
      </c>
      <c r="W805" t="s">
        <v>497</v>
      </c>
    </row>
    <row r="806" spans="1:23" x14ac:dyDescent="0.25">
      <c r="A806" t="s">
        <v>1300</v>
      </c>
      <c r="B806" t="str">
        <f t="shared" si="12"/>
        <v>GA2K00000116</v>
      </c>
      <c r="C806" t="s">
        <v>227</v>
      </c>
      <c r="D806" t="s">
        <v>85</v>
      </c>
      <c r="E806" t="s">
        <v>516</v>
      </c>
      <c r="G806" s="13">
        <v>45616</v>
      </c>
      <c r="H806" s="13">
        <v>45618</v>
      </c>
      <c r="J806">
        <v>0</v>
      </c>
      <c r="N806">
        <v>0</v>
      </c>
      <c r="W806" t="s">
        <v>497</v>
      </c>
    </row>
    <row r="807" spans="1:23" x14ac:dyDescent="0.25">
      <c r="A807" t="s">
        <v>1301</v>
      </c>
      <c r="B807" t="str">
        <f t="shared" si="12"/>
        <v>CM2B00000160</v>
      </c>
      <c r="C807" t="s">
        <v>225</v>
      </c>
      <c r="D807" t="s">
        <v>85</v>
      </c>
      <c r="E807" t="s">
        <v>507</v>
      </c>
      <c r="F807">
        <v>30000</v>
      </c>
      <c r="G807" s="13">
        <v>45621</v>
      </c>
      <c r="H807" s="13">
        <v>45623</v>
      </c>
      <c r="I807">
        <v>11186</v>
      </c>
      <c r="J807">
        <v>0</v>
      </c>
      <c r="K807">
        <v>11186</v>
      </c>
      <c r="N807">
        <v>22.727272727272727</v>
      </c>
      <c r="O807">
        <v>94.944900000000004</v>
      </c>
      <c r="P807">
        <v>84.376300000000001</v>
      </c>
      <c r="Q807">
        <v>94.5</v>
      </c>
      <c r="R807">
        <v>98</v>
      </c>
      <c r="S807">
        <v>92</v>
      </c>
      <c r="T807">
        <v>7.95</v>
      </c>
      <c r="U807">
        <v>6.7</v>
      </c>
      <c r="W807" t="s">
        <v>497</v>
      </c>
    </row>
    <row r="808" spans="1:23" x14ac:dyDescent="0.25">
      <c r="A808" t="s">
        <v>1302</v>
      </c>
      <c r="B808" t="str">
        <f t="shared" si="12"/>
        <v>GA2B00000117</v>
      </c>
      <c r="C808" t="s">
        <v>227</v>
      </c>
      <c r="D808" t="s">
        <v>85</v>
      </c>
      <c r="E808" t="s">
        <v>507</v>
      </c>
      <c r="F808">
        <v>10000</v>
      </c>
      <c r="G808" s="13">
        <v>45623</v>
      </c>
      <c r="H808" s="13">
        <v>45625</v>
      </c>
      <c r="I808">
        <v>0</v>
      </c>
      <c r="J808">
        <v>7569</v>
      </c>
      <c r="K808">
        <v>7569</v>
      </c>
      <c r="N808">
        <v>19.047619047619047</v>
      </c>
      <c r="O808">
        <v>92.316599999999994</v>
      </c>
      <c r="P808">
        <v>75.69</v>
      </c>
      <c r="Q808">
        <v>90</v>
      </c>
      <c r="R808">
        <v>90.5</v>
      </c>
      <c r="S808">
        <v>90</v>
      </c>
      <c r="T808">
        <v>9.24</v>
      </c>
      <c r="U808">
        <v>6.25</v>
      </c>
      <c r="W808" t="s">
        <v>497</v>
      </c>
    </row>
    <row r="809" spans="1:23" x14ac:dyDescent="0.25">
      <c r="A809" t="s">
        <v>1303</v>
      </c>
      <c r="B809" t="str">
        <f t="shared" si="12"/>
        <v>GA2B00000133</v>
      </c>
      <c r="C809" t="s">
        <v>227</v>
      </c>
      <c r="D809" t="s">
        <v>85</v>
      </c>
      <c r="E809" t="s">
        <v>507</v>
      </c>
      <c r="F809">
        <v>10000</v>
      </c>
      <c r="G809" s="13">
        <v>45623</v>
      </c>
      <c r="H809" s="13">
        <v>45625</v>
      </c>
      <c r="I809">
        <v>0</v>
      </c>
      <c r="J809">
        <v>9012.25</v>
      </c>
      <c r="K809">
        <v>9012.25</v>
      </c>
      <c r="N809">
        <v>14.285714285714285</v>
      </c>
      <c r="O809">
        <v>95.079499999999996</v>
      </c>
      <c r="P809">
        <v>92.872500000000002</v>
      </c>
      <c r="Q809">
        <v>90</v>
      </c>
      <c r="R809">
        <v>100</v>
      </c>
      <c r="S809">
        <v>89.5</v>
      </c>
      <c r="T809">
        <v>8.39</v>
      </c>
      <c r="U809">
        <v>6.5</v>
      </c>
      <c r="W809" t="s">
        <v>497</v>
      </c>
    </row>
    <row r="810" spans="1:23" x14ac:dyDescent="0.25">
      <c r="A810" t="s">
        <v>1304</v>
      </c>
      <c r="B810" t="str">
        <f t="shared" si="12"/>
        <v>GA2J00000366</v>
      </c>
      <c r="C810" t="s">
        <v>227</v>
      </c>
      <c r="D810" t="s">
        <v>85</v>
      </c>
      <c r="E810" t="s">
        <v>499</v>
      </c>
      <c r="F810">
        <v>12500</v>
      </c>
      <c r="G810" s="13">
        <v>45623</v>
      </c>
      <c r="H810" s="13">
        <v>45625</v>
      </c>
      <c r="I810">
        <v>0</v>
      </c>
      <c r="J810">
        <v>12500</v>
      </c>
      <c r="K810">
        <v>12500</v>
      </c>
      <c r="N810">
        <v>14.285714285714285</v>
      </c>
      <c r="O810">
        <v>91.298400000000001</v>
      </c>
      <c r="P810">
        <v>162.12100000000001</v>
      </c>
      <c r="Q810">
        <v>90.5</v>
      </c>
      <c r="R810">
        <v>91.75</v>
      </c>
      <c r="S810">
        <v>90.5</v>
      </c>
      <c r="T810">
        <v>9.1300000000000008</v>
      </c>
      <c r="U810">
        <v>5.75</v>
      </c>
      <c r="W810" t="s">
        <v>497</v>
      </c>
    </row>
    <row r="811" spans="1:23" x14ac:dyDescent="0.25">
      <c r="A811" t="s">
        <v>1305</v>
      </c>
      <c r="B811" t="str">
        <f t="shared" si="12"/>
        <v>TD2J00000660</v>
      </c>
      <c r="C811" t="s">
        <v>237</v>
      </c>
      <c r="D811" t="s">
        <v>85</v>
      </c>
      <c r="E811" t="s">
        <v>499</v>
      </c>
      <c r="F811">
        <v>15000</v>
      </c>
      <c r="G811" s="13">
        <v>45623</v>
      </c>
      <c r="H811" s="13">
        <v>45625</v>
      </c>
      <c r="I811">
        <v>0</v>
      </c>
      <c r="J811">
        <v>13541.49</v>
      </c>
      <c r="K811">
        <v>13541.49</v>
      </c>
      <c r="N811">
        <v>58.333333333333336</v>
      </c>
      <c r="O811">
        <v>90.182500000000005</v>
      </c>
      <c r="P811">
        <v>90.276600000000002</v>
      </c>
      <c r="Q811">
        <v>90</v>
      </c>
      <c r="R811">
        <v>93</v>
      </c>
      <c r="S811">
        <v>90</v>
      </c>
      <c r="T811">
        <v>10.39</v>
      </c>
      <c r="U811">
        <v>6.5</v>
      </c>
      <c r="W811" t="s">
        <v>497</v>
      </c>
    </row>
    <row r="812" spans="1:23" x14ac:dyDescent="0.25">
      <c r="A812" t="s">
        <v>1306</v>
      </c>
      <c r="B812" t="str">
        <f t="shared" si="12"/>
        <v>CM2B00000160</v>
      </c>
      <c r="C812" t="s">
        <v>225</v>
      </c>
      <c r="D812" t="s">
        <v>85</v>
      </c>
      <c r="E812" t="s">
        <v>507</v>
      </c>
      <c r="F812">
        <v>20000</v>
      </c>
      <c r="G812" s="13">
        <v>45628</v>
      </c>
      <c r="H812" s="13">
        <v>45630</v>
      </c>
      <c r="I812">
        <v>17423.14</v>
      </c>
      <c r="J812">
        <v>0</v>
      </c>
      <c r="K812">
        <v>17423.14</v>
      </c>
      <c r="N812">
        <v>13.636363636363635</v>
      </c>
      <c r="O812">
        <v>95.685199999999995</v>
      </c>
      <c r="P812">
        <v>107.1157</v>
      </c>
      <c r="Q812">
        <v>94.5</v>
      </c>
      <c r="R812">
        <v>96</v>
      </c>
      <c r="S812">
        <v>94</v>
      </c>
      <c r="T812">
        <v>7.76</v>
      </c>
      <c r="U812">
        <v>6.7</v>
      </c>
      <c r="W812" t="s">
        <v>497</v>
      </c>
    </row>
    <row r="813" spans="1:23" x14ac:dyDescent="0.25">
      <c r="A813" t="s">
        <v>1307</v>
      </c>
      <c r="B813" t="str">
        <f t="shared" si="12"/>
        <v>GA2B00000083</v>
      </c>
      <c r="C813" t="s">
        <v>227</v>
      </c>
      <c r="D813" t="s">
        <v>85</v>
      </c>
      <c r="E813" t="s">
        <v>507</v>
      </c>
      <c r="F813">
        <v>10000</v>
      </c>
      <c r="G813" s="13">
        <v>45630</v>
      </c>
      <c r="H813" s="13">
        <v>45632</v>
      </c>
      <c r="I813">
        <v>1000</v>
      </c>
      <c r="J813">
        <v>7577</v>
      </c>
      <c r="K813">
        <v>8577</v>
      </c>
      <c r="N813">
        <v>19.047619047619047</v>
      </c>
      <c r="O813">
        <v>93.081100000000006</v>
      </c>
      <c r="P813">
        <v>85.77</v>
      </c>
      <c r="Q813">
        <v>90</v>
      </c>
      <c r="R813">
        <v>93</v>
      </c>
      <c r="S813">
        <v>90</v>
      </c>
      <c r="T813">
        <v>10.16</v>
      </c>
      <c r="U813">
        <v>6.25</v>
      </c>
      <c r="W813" t="s">
        <v>497</v>
      </c>
    </row>
    <row r="814" spans="1:23" x14ac:dyDescent="0.25">
      <c r="A814" t="s">
        <v>701</v>
      </c>
      <c r="B814" t="str">
        <f t="shared" si="12"/>
        <v>GA2C00000025</v>
      </c>
      <c r="C814" t="s">
        <v>227</v>
      </c>
      <c r="D814" t="s">
        <v>85</v>
      </c>
      <c r="E814" t="s">
        <v>549</v>
      </c>
      <c r="G814" s="13">
        <v>45630</v>
      </c>
      <c r="H814" s="13">
        <v>45632</v>
      </c>
      <c r="J814">
        <v>0</v>
      </c>
      <c r="N814">
        <v>0</v>
      </c>
      <c r="T814" t="s">
        <v>750</v>
      </c>
      <c r="W814" t="s">
        <v>497</v>
      </c>
    </row>
    <row r="815" spans="1:23" x14ac:dyDescent="0.25">
      <c r="A815" t="s">
        <v>1308</v>
      </c>
      <c r="B815" t="str">
        <f t="shared" si="12"/>
        <v>GA2J00000341</v>
      </c>
      <c r="C815" t="s">
        <v>227</v>
      </c>
      <c r="D815" t="s">
        <v>85</v>
      </c>
      <c r="E815" t="s">
        <v>499</v>
      </c>
      <c r="F815">
        <v>15000</v>
      </c>
      <c r="G815" s="13">
        <v>45630</v>
      </c>
      <c r="H815" s="13">
        <v>45632</v>
      </c>
      <c r="I815">
        <v>1000</v>
      </c>
      <c r="K815">
        <v>4024.33</v>
      </c>
      <c r="N815">
        <v>14.285714285714285</v>
      </c>
      <c r="O815">
        <v>96.0227</v>
      </c>
      <c r="P815">
        <v>26.828900000000001</v>
      </c>
      <c r="Q815">
        <v>91</v>
      </c>
      <c r="R815">
        <v>93</v>
      </c>
      <c r="S815">
        <v>91</v>
      </c>
      <c r="T815">
        <v>7.68</v>
      </c>
      <c r="U815">
        <v>5.5</v>
      </c>
      <c r="W815" t="s">
        <v>497</v>
      </c>
    </row>
    <row r="816" spans="1:23" x14ac:dyDescent="0.25">
      <c r="A816" t="s">
        <v>1309</v>
      </c>
      <c r="B816" t="str">
        <f t="shared" si="12"/>
        <v>TD2J00000678</v>
      </c>
      <c r="C816" t="s">
        <v>237</v>
      </c>
      <c r="D816" t="s">
        <v>85</v>
      </c>
      <c r="E816" t="s">
        <v>499</v>
      </c>
      <c r="F816">
        <v>15000</v>
      </c>
      <c r="G816" s="13">
        <v>45630</v>
      </c>
      <c r="H816" s="13">
        <v>45632</v>
      </c>
      <c r="I816">
        <v>5141.96</v>
      </c>
      <c r="J816">
        <v>0</v>
      </c>
      <c r="K816">
        <v>5141.96</v>
      </c>
      <c r="N816">
        <v>16.666666666666664</v>
      </c>
      <c r="O816">
        <v>90</v>
      </c>
      <c r="P816">
        <v>34.279699999999998</v>
      </c>
      <c r="Q816">
        <v>90</v>
      </c>
      <c r="R816">
        <v>90</v>
      </c>
      <c r="S816">
        <v>90</v>
      </c>
      <c r="T816">
        <v>10.47</v>
      </c>
      <c r="U816">
        <v>6.5</v>
      </c>
      <c r="W816" t="s">
        <v>497</v>
      </c>
    </row>
    <row r="817" spans="1:23" x14ac:dyDescent="0.25">
      <c r="A817" t="s">
        <v>1310</v>
      </c>
      <c r="B817" t="str">
        <f t="shared" si="12"/>
        <v>CF2A00000058</v>
      </c>
      <c r="C817" t="s">
        <v>634</v>
      </c>
      <c r="D817" t="s">
        <v>85</v>
      </c>
      <c r="E817" t="s">
        <v>496</v>
      </c>
      <c r="F817">
        <v>12500</v>
      </c>
      <c r="G817" s="13">
        <v>45635</v>
      </c>
      <c r="H817" s="13">
        <v>45637</v>
      </c>
      <c r="I817">
        <v>7500</v>
      </c>
      <c r="J817">
        <v>5000</v>
      </c>
      <c r="K817">
        <v>12500</v>
      </c>
      <c r="N817">
        <v>33.333333333333329</v>
      </c>
      <c r="O817">
        <v>92</v>
      </c>
      <c r="P817">
        <v>100</v>
      </c>
      <c r="Q817">
        <v>92</v>
      </c>
      <c r="R817">
        <v>92</v>
      </c>
      <c r="S817">
        <v>92</v>
      </c>
      <c r="T817">
        <v>10.8</v>
      </c>
      <c r="U817">
        <v>6.25</v>
      </c>
      <c r="W817" t="s">
        <v>497</v>
      </c>
    </row>
    <row r="818" spans="1:23" x14ac:dyDescent="0.25">
      <c r="A818" t="s">
        <v>1311</v>
      </c>
      <c r="B818" t="str">
        <f t="shared" si="12"/>
        <v>CF2B00000057</v>
      </c>
      <c r="C818" t="s">
        <v>634</v>
      </c>
      <c r="D818" t="s">
        <v>85</v>
      </c>
      <c r="E818" t="s">
        <v>507</v>
      </c>
      <c r="F818">
        <v>7500</v>
      </c>
      <c r="G818" s="13">
        <v>45635</v>
      </c>
      <c r="H818" s="13">
        <v>45637</v>
      </c>
      <c r="I818">
        <v>7500</v>
      </c>
      <c r="J818">
        <v>0</v>
      </c>
      <c r="K818">
        <v>7500</v>
      </c>
      <c r="N818">
        <v>11.111111111111111</v>
      </c>
      <c r="O818">
        <v>89.402699999999996</v>
      </c>
      <c r="P818">
        <v>100</v>
      </c>
      <c r="Q818">
        <v>89</v>
      </c>
      <c r="R818">
        <v>89</v>
      </c>
      <c r="S818">
        <v>89</v>
      </c>
      <c r="T818">
        <v>9.73</v>
      </c>
      <c r="U818">
        <v>7</v>
      </c>
      <c r="W818" t="s">
        <v>497</v>
      </c>
    </row>
    <row r="819" spans="1:23" x14ac:dyDescent="0.25">
      <c r="A819" t="s">
        <v>1312</v>
      </c>
      <c r="B819" t="str">
        <f t="shared" si="12"/>
        <v>CG2A00000585</v>
      </c>
      <c r="C819" t="s">
        <v>229</v>
      </c>
      <c r="D819" t="s">
        <v>85</v>
      </c>
      <c r="E819" t="s">
        <v>496</v>
      </c>
      <c r="F819">
        <v>25000</v>
      </c>
      <c r="G819" s="13">
        <v>45636</v>
      </c>
      <c r="H819" s="13">
        <v>45638</v>
      </c>
      <c r="I819">
        <v>90</v>
      </c>
      <c r="J819">
        <v>3510</v>
      </c>
      <c r="K819">
        <v>3600</v>
      </c>
      <c r="N819">
        <v>8.3333333333333321</v>
      </c>
      <c r="O819">
        <v>90.068100000000001</v>
      </c>
      <c r="P819">
        <v>14.4</v>
      </c>
      <c r="Q819">
        <v>90</v>
      </c>
      <c r="R819">
        <v>92.5</v>
      </c>
      <c r="S819">
        <v>90</v>
      </c>
      <c r="T819">
        <v>11.18</v>
      </c>
      <c r="U819">
        <v>5.5</v>
      </c>
      <c r="W819" t="s">
        <v>497</v>
      </c>
    </row>
    <row r="820" spans="1:23" x14ac:dyDescent="0.25">
      <c r="A820" t="s">
        <v>1313</v>
      </c>
      <c r="B820" t="str">
        <f t="shared" si="12"/>
        <v>GA2B00000125</v>
      </c>
      <c r="C820" t="s">
        <v>227</v>
      </c>
      <c r="D820" t="s">
        <v>85</v>
      </c>
      <c r="E820" t="s">
        <v>507</v>
      </c>
      <c r="G820" s="13">
        <v>45637</v>
      </c>
      <c r="H820" s="13">
        <v>45639</v>
      </c>
      <c r="J820">
        <v>0</v>
      </c>
      <c r="N820">
        <v>0</v>
      </c>
      <c r="T820" t="s">
        <v>750</v>
      </c>
      <c r="W820" t="s">
        <v>497</v>
      </c>
    </row>
    <row r="821" spans="1:23" x14ac:dyDescent="0.25">
      <c r="A821" t="s">
        <v>1314</v>
      </c>
      <c r="B821" t="str">
        <f t="shared" si="12"/>
        <v>TD2J00000686</v>
      </c>
      <c r="C821" t="s">
        <v>237</v>
      </c>
      <c r="D821" t="s">
        <v>85</v>
      </c>
      <c r="E821" t="s">
        <v>499</v>
      </c>
      <c r="F821">
        <v>20000</v>
      </c>
      <c r="G821" s="13">
        <v>45637</v>
      </c>
      <c r="H821" s="13">
        <v>45639</v>
      </c>
      <c r="I821">
        <v>9551.3799999999992</v>
      </c>
      <c r="J821">
        <v>3526.2800000000007</v>
      </c>
      <c r="K821">
        <v>13077.66</v>
      </c>
      <c r="N821">
        <v>33.333333333333329</v>
      </c>
      <c r="O821">
        <v>97.306299999999993</v>
      </c>
      <c r="P821">
        <v>65.388300000000001</v>
      </c>
      <c r="Q821">
        <v>90</v>
      </c>
      <c r="R821">
        <v>100</v>
      </c>
      <c r="S821">
        <v>90</v>
      </c>
      <c r="T821">
        <v>7.52</v>
      </c>
      <c r="U821">
        <v>6.5</v>
      </c>
      <c r="W821" t="s">
        <v>497</v>
      </c>
    </row>
    <row r="822" spans="1:23" x14ac:dyDescent="0.25">
      <c r="A822" t="s">
        <v>1315</v>
      </c>
      <c r="B822" t="str">
        <f t="shared" si="12"/>
        <v>CF2A00000058</v>
      </c>
      <c r="C822" t="s">
        <v>634</v>
      </c>
      <c r="D822" t="s">
        <v>85</v>
      </c>
      <c r="E822" t="s">
        <v>496</v>
      </c>
      <c r="F822">
        <v>5000</v>
      </c>
      <c r="G822" s="13">
        <v>45642</v>
      </c>
      <c r="H822" s="13">
        <v>45644</v>
      </c>
      <c r="I822">
        <v>4000</v>
      </c>
      <c r="J822">
        <v>0</v>
      </c>
      <c r="K822">
        <v>4000</v>
      </c>
      <c r="N822">
        <v>11.111111111111111</v>
      </c>
      <c r="O822">
        <v>92.119900000000001</v>
      </c>
      <c r="P822">
        <v>80</v>
      </c>
      <c r="Q822">
        <v>92</v>
      </c>
      <c r="R822">
        <v>92</v>
      </c>
      <c r="S822">
        <v>92</v>
      </c>
      <c r="T822">
        <v>10.73</v>
      </c>
      <c r="U822">
        <v>6.25</v>
      </c>
      <c r="W822" t="s">
        <v>497</v>
      </c>
    </row>
    <row r="823" spans="1:23" x14ac:dyDescent="0.25">
      <c r="A823" t="s">
        <v>1316</v>
      </c>
      <c r="B823" t="str">
        <f t="shared" si="12"/>
        <v>CF2B00000057</v>
      </c>
      <c r="C823" t="s">
        <v>634</v>
      </c>
      <c r="D823" t="s">
        <v>85</v>
      </c>
      <c r="E823" t="s">
        <v>507</v>
      </c>
      <c r="F823">
        <v>5000</v>
      </c>
      <c r="G823" s="13">
        <v>45642</v>
      </c>
      <c r="H823" s="13">
        <v>45644</v>
      </c>
      <c r="I823">
        <v>4000</v>
      </c>
      <c r="J823">
        <v>0</v>
      </c>
      <c r="K823">
        <v>4000</v>
      </c>
      <c r="N823">
        <v>11.111111111111111</v>
      </c>
      <c r="O823">
        <v>89.537000000000006</v>
      </c>
      <c r="P823">
        <v>80</v>
      </c>
      <c r="Q823">
        <v>89</v>
      </c>
      <c r="R823">
        <v>89</v>
      </c>
      <c r="S823">
        <v>89</v>
      </c>
      <c r="T823">
        <v>9.69</v>
      </c>
      <c r="U823">
        <v>7</v>
      </c>
      <c r="W823" t="s">
        <v>681</v>
      </c>
    </row>
    <row r="824" spans="1:23" x14ac:dyDescent="0.25">
      <c r="A824" t="s">
        <v>1317</v>
      </c>
      <c r="B824" t="str">
        <f t="shared" si="12"/>
        <v>GA2B00000091</v>
      </c>
      <c r="C824" t="s">
        <v>227</v>
      </c>
      <c r="D824" t="s">
        <v>85</v>
      </c>
      <c r="E824" t="s">
        <v>507</v>
      </c>
      <c r="F824">
        <v>15000</v>
      </c>
      <c r="G824" s="13">
        <v>45644</v>
      </c>
      <c r="H824" s="13">
        <v>45646</v>
      </c>
      <c r="I824">
        <v>0</v>
      </c>
      <c r="J824">
        <v>3390</v>
      </c>
      <c r="K824">
        <v>3390</v>
      </c>
      <c r="N824">
        <v>19.047619047619047</v>
      </c>
      <c r="O824">
        <v>96.061700000000002</v>
      </c>
      <c r="P824">
        <v>22.6</v>
      </c>
      <c r="Q824">
        <v>90</v>
      </c>
      <c r="R824">
        <v>92</v>
      </c>
      <c r="S824">
        <v>90</v>
      </c>
      <c r="T824">
        <v>8.43</v>
      </c>
      <c r="U824">
        <v>6.25</v>
      </c>
      <c r="W824" t="s">
        <v>497</v>
      </c>
    </row>
    <row r="825" spans="1:23" x14ac:dyDescent="0.25">
      <c r="A825" t="s">
        <v>1318</v>
      </c>
      <c r="B825" t="str">
        <f t="shared" si="12"/>
        <v>GA2B00000109</v>
      </c>
      <c r="C825" t="s">
        <v>227</v>
      </c>
      <c r="D825" t="s">
        <v>85</v>
      </c>
      <c r="E825" t="s">
        <v>507</v>
      </c>
      <c r="F825">
        <v>12500</v>
      </c>
      <c r="G825" s="13">
        <v>45644</v>
      </c>
      <c r="H825" s="13">
        <v>45646</v>
      </c>
      <c r="I825">
        <v>7000</v>
      </c>
      <c r="J825">
        <v>330</v>
      </c>
      <c r="K825">
        <v>7330</v>
      </c>
      <c r="N825">
        <v>9.5238095238095237</v>
      </c>
      <c r="O825">
        <v>95.863</v>
      </c>
      <c r="P825">
        <v>58.64</v>
      </c>
      <c r="Q825">
        <v>91</v>
      </c>
      <c r="R825">
        <v>91</v>
      </c>
      <c r="S825">
        <v>91</v>
      </c>
      <c r="T825">
        <v>8.5399999999999991</v>
      </c>
      <c r="U825">
        <v>6.25</v>
      </c>
      <c r="W825" t="s">
        <v>497</v>
      </c>
    </row>
    <row r="826" spans="1:23" x14ac:dyDescent="0.25">
      <c r="A826" t="s">
        <v>1319</v>
      </c>
      <c r="B826" t="str">
        <f t="shared" si="12"/>
        <v>GA2B00000125</v>
      </c>
      <c r="C826" t="s">
        <v>227</v>
      </c>
      <c r="D826" t="s">
        <v>85</v>
      </c>
      <c r="E826" t="s">
        <v>507</v>
      </c>
      <c r="F826">
        <v>15000</v>
      </c>
      <c r="G826" s="13">
        <v>45644</v>
      </c>
      <c r="H826" s="13">
        <v>45646</v>
      </c>
      <c r="I826">
        <v>0</v>
      </c>
      <c r="J826">
        <v>1261.5</v>
      </c>
      <c r="K826">
        <v>1261.5</v>
      </c>
      <c r="N826">
        <v>9.5238095238095237</v>
      </c>
      <c r="O826">
        <v>91.5732</v>
      </c>
      <c r="P826">
        <v>8.41</v>
      </c>
      <c r="Q826">
        <v>90</v>
      </c>
      <c r="R826">
        <v>92</v>
      </c>
      <c r="S826">
        <v>90</v>
      </c>
      <c r="T826">
        <v>9.81</v>
      </c>
      <c r="U826">
        <v>6.5</v>
      </c>
      <c r="W826" t="s">
        <v>497</v>
      </c>
    </row>
    <row r="827" spans="1:23" x14ac:dyDescent="0.25">
      <c r="A827" t="s">
        <v>1320</v>
      </c>
      <c r="B827" t="str">
        <f t="shared" si="12"/>
        <v>GA2K00000074</v>
      </c>
      <c r="C827" t="s">
        <v>227</v>
      </c>
      <c r="D827" t="s">
        <v>85</v>
      </c>
      <c r="E827" t="s">
        <v>516</v>
      </c>
      <c r="F827">
        <v>7500</v>
      </c>
      <c r="G827" s="13">
        <v>45644</v>
      </c>
      <c r="H827" s="13">
        <v>45646</v>
      </c>
      <c r="I827">
        <v>0</v>
      </c>
      <c r="J827">
        <v>6517.5</v>
      </c>
      <c r="K827">
        <v>6517.5</v>
      </c>
      <c r="N827">
        <v>14.285714285714285</v>
      </c>
      <c r="O827">
        <v>94.579800000000006</v>
      </c>
      <c r="P827">
        <v>86.9</v>
      </c>
      <c r="Q827">
        <v>90</v>
      </c>
      <c r="R827">
        <v>92</v>
      </c>
      <c r="S827">
        <v>90</v>
      </c>
      <c r="T827">
        <v>9.5399999999999991</v>
      </c>
      <c r="U827">
        <v>6.5</v>
      </c>
      <c r="W827" t="s">
        <v>875</v>
      </c>
    </row>
    <row r="828" spans="1:23" x14ac:dyDescent="0.25">
      <c r="A828" t="s">
        <v>1321</v>
      </c>
      <c r="B828" t="str">
        <f t="shared" si="12"/>
        <v>TD2J00000694</v>
      </c>
      <c r="C828" t="s">
        <v>237</v>
      </c>
      <c r="D828" t="s">
        <v>85</v>
      </c>
      <c r="E828" t="s">
        <v>499</v>
      </c>
      <c r="F828">
        <v>30000</v>
      </c>
      <c r="G828" s="13">
        <v>45644</v>
      </c>
      <c r="H828" s="13">
        <v>45646</v>
      </c>
      <c r="J828">
        <v>0</v>
      </c>
      <c r="N828">
        <v>0</v>
      </c>
      <c r="T828" t="s">
        <v>750</v>
      </c>
      <c r="W828" t="s">
        <v>497</v>
      </c>
    </row>
    <row r="829" spans="1:23" x14ac:dyDescent="0.25">
      <c r="A829" t="s">
        <v>1322</v>
      </c>
      <c r="B829" t="str">
        <f t="shared" si="12"/>
        <v>CG2A00000585</v>
      </c>
      <c r="C829" t="s">
        <v>229</v>
      </c>
      <c r="D829" t="s">
        <v>85</v>
      </c>
      <c r="E829" t="s">
        <v>496</v>
      </c>
      <c r="F829">
        <v>10000</v>
      </c>
      <c r="G829" s="13">
        <v>45650</v>
      </c>
      <c r="H829" s="13">
        <v>45652</v>
      </c>
      <c r="J829">
        <v>0</v>
      </c>
      <c r="N829">
        <v>0</v>
      </c>
      <c r="T829" t="s">
        <v>750</v>
      </c>
      <c r="W829" t="s">
        <v>497</v>
      </c>
    </row>
    <row r="830" spans="1:23" x14ac:dyDescent="0.25">
      <c r="A830" t="s">
        <v>973</v>
      </c>
      <c r="B830" t="str">
        <f t="shared" si="12"/>
        <v>GA2B00000158</v>
      </c>
      <c r="C830" t="s">
        <v>227</v>
      </c>
      <c r="D830" t="s">
        <v>85</v>
      </c>
      <c r="E830" t="s">
        <v>507</v>
      </c>
      <c r="F830">
        <v>20000</v>
      </c>
      <c r="G830" s="13">
        <v>45651</v>
      </c>
      <c r="H830" s="13">
        <v>45653</v>
      </c>
      <c r="I830">
        <v>1000</v>
      </c>
      <c r="J830">
        <v>424</v>
      </c>
      <c r="K830">
        <v>1424</v>
      </c>
      <c r="N830">
        <v>19.047619047619047</v>
      </c>
      <c r="O830">
        <v>93.579499999999996</v>
      </c>
      <c r="P830">
        <v>27.12</v>
      </c>
      <c r="Q830">
        <v>90</v>
      </c>
      <c r="R830">
        <v>90</v>
      </c>
      <c r="S830">
        <v>88</v>
      </c>
      <c r="T830">
        <v>8.99</v>
      </c>
      <c r="U830">
        <v>6.5</v>
      </c>
      <c r="W830" t="s">
        <v>497</v>
      </c>
    </row>
    <row r="831" spans="1:23" x14ac:dyDescent="0.25">
      <c r="A831" t="s">
        <v>948</v>
      </c>
      <c r="B831" t="str">
        <f t="shared" si="12"/>
        <v>GA2C00000033</v>
      </c>
      <c r="C831" t="s">
        <v>227</v>
      </c>
      <c r="D831" t="s">
        <v>85</v>
      </c>
      <c r="E831" t="s">
        <v>549</v>
      </c>
      <c r="F831">
        <v>10000</v>
      </c>
      <c r="G831" s="13">
        <v>45651</v>
      </c>
      <c r="H831" s="13">
        <v>45653</v>
      </c>
      <c r="I831">
        <v>1000</v>
      </c>
      <c r="J831">
        <v>5.1000000000000227</v>
      </c>
      <c r="K831">
        <v>1005.1</v>
      </c>
      <c r="N831">
        <v>9.5238095238095237</v>
      </c>
      <c r="O831">
        <v>95.686300000000003</v>
      </c>
      <c r="P831">
        <v>10.051</v>
      </c>
      <c r="Q831">
        <v>90</v>
      </c>
      <c r="R831">
        <v>95</v>
      </c>
      <c r="S831">
        <v>90</v>
      </c>
      <c r="T831">
        <v>8.32</v>
      </c>
      <c r="U831">
        <v>7.25</v>
      </c>
      <c r="W831" t="s">
        <v>497</v>
      </c>
    </row>
    <row r="832" spans="1:23" x14ac:dyDescent="0.25">
      <c r="A832" t="s">
        <v>1323</v>
      </c>
      <c r="B832" t="str">
        <f t="shared" si="12"/>
        <v>TD2A00000933</v>
      </c>
      <c r="C832" t="s">
        <v>237</v>
      </c>
      <c r="D832" t="s">
        <v>85</v>
      </c>
      <c r="E832" t="s">
        <v>496</v>
      </c>
      <c r="F832">
        <v>10000</v>
      </c>
      <c r="G832" s="13">
        <v>45651</v>
      </c>
      <c r="H832" s="13">
        <v>45653</v>
      </c>
      <c r="I832">
        <v>10000</v>
      </c>
      <c r="J832">
        <v>0</v>
      </c>
      <c r="K832">
        <v>10000</v>
      </c>
      <c r="N832">
        <v>8.3333333333333321</v>
      </c>
      <c r="O832">
        <v>91.875</v>
      </c>
      <c r="P832">
        <v>100</v>
      </c>
      <c r="Q832">
        <v>91.875</v>
      </c>
      <c r="R832">
        <v>91.875</v>
      </c>
      <c r="S832">
        <v>91.875</v>
      </c>
      <c r="T832">
        <v>11.14</v>
      </c>
      <c r="U832">
        <v>6.5</v>
      </c>
      <c r="W832" t="s">
        <v>497</v>
      </c>
    </row>
    <row r="833" spans="1:23" x14ac:dyDescent="0.25">
      <c r="A833" t="s">
        <v>1324</v>
      </c>
      <c r="B833" t="str">
        <f t="shared" si="12"/>
        <v>TD2B00000122</v>
      </c>
      <c r="C833" t="s">
        <v>237</v>
      </c>
      <c r="D833" t="s">
        <v>85</v>
      </c>
      <c r="E833" t="s">
        <v>507</v>
      </c>
      <c r="F833">
        <v>10000</v>
      </c>
      <c r="G833" s="13">
        <v>45651</v>
      </c>
      <c r="H833" s="13">
        <v>45653</v>
      </c>
      <c r="I833">
        <v>10000</v>
      </c>
      <c r="J833">
        <v>0</v>
      </c>
      <c r="K833">
        <v>10000</v>
      </c>
      <c r="N833">
        <v>8.3333333333333321</v>
      </c>
      <c r="O833">
        <v>91.875</v>
      </c>
      <c r="P833">
        <v>100</v>
      </c>
      <c r="Q833">
        <v>91.875</v>
      </c>
      <c r="R833">
        <v>91.875</v>
      </c>
      <c r="S833">
        <v>91.875</v>
      </c>
      <c r="T833">
        <v>8.5299999999999994</v>
      </c>
      <c r="U833">
        <v>6.5</v>
      </c>
      <c r="W833" t="s">
        <v>497</v>
      </c>
    </row>
    <row r="834" spans="1:23" x14ac:dyDescent="0.25">
      <c r="A834" t="s">
        <v>1325</v>
      </c>
      <c r="B834" t="str">
        <f t="shared" si="12"/>
        <v>TD2J00000702</v>
      </c>
      <c r="C834" t="s">
        <v>237</v>
      </c>
      <c r="D834" t="s">
        <v>85</v>
      </c>
      <c r="E834" t="s">
        <v>499</v>
      </c>
      <c r="F834">
        <v>10000</v>
      </c>
      <c r="G834" s="13">
        <v>45651</v>
      </c>
      <c r="H834" s="13">
        <v>45653</v>
      </c>
      <c r="I834">
        <v>10000</v>
      </c>
      <c r="J834">
        <v>0</v>
      </c>
      <c r="K834">
        <v>10000</v>
      </c>
      <c r="N834">
        <v>8.3333333333333321</v>
      </c>
      <c r="O834">
        <v>91.875</v>
      </c>
      <c r="P834">
        <v>100</v>
      </c>
      <c r="Q834">
        <v>91.875</v>
      </c>
      <c r="R834">
        <v>91.875</v>
      </c>
      <c r="S834">
        <v>91.875</v>
      </c>
      <c r="T834">
        <v>9.69</v>
      </c>
      <c r="U834">
        <v>6.5</v>
      </c>
      <c r="W834" t="s">
        <v>497</v>
      </c>
    </row>
    <row r="835" spans="1:23" x14ac:dyDescent="0.25">
      <c r="A835" t="s">
        <v>1326</v>
      </c>
      <c r="B835" t="str">
        <f t="shared" si="12"/>
        <v>TD2K00000048</v>
      </c>
      <c r="C835" t="s">
        <v>237</v>
      </c>
      <c r="D835" t="s">
        <v>85</v>
      </c>
      <c r="E835" t="s">
        <v>516</v>
      </c>
      <c r="F835">
        <v>10000</v>
      </c>
      <c r="G835" s="13">
        <v>45651</v>
      </c>
      <c r="H835" s="13">
        <v>45653</v>
      </c>
      <c r="I835">
        <v>10000</v>
      </c>
      <c r="J835">
        <v>0</v>
      </c>
      <c r="K835">
        <v>10000</v>
      </c>
      <c r="N835">
        <v>8.3333333333333321</v>
      </c>
      <c r="O835">
        <v>91.875</v>
      </c>
      <c r="P835">
        <v>100</v>
      </c>
      <c r="Q835">
        <v>91.875</v>
      </c>
      <c r="R835">
        <v>91.875</v>
      </c>
      <c r="S835">
        <v>91.875</v>
      </c>
      <c r="T835">
        <v>8.9600000000000009</v>
      </c>
      <c r="U835">
        <v>6.5</v>
      </c>
      <c r="W835" t="s">
        <v>497</v>
      </c>
    </row>
    <row r="836" spans="1:23" x14ac:dyDescent="0.25">
      <c r="A836" t="s">
        <v>1327</v>
      </c>
      <c r="B836" t="str">
        <f t="shared" si="12"/>
        <v>CG2J00000685</v>
      </c>
      <c r="C836" t="s">
        <v>229</v>
      </c>
      <c r="D836" t="s">
        <v>85</v>
      </c>
      <c r="E836" t="s">
        <v>499</v>
      </c>
      <c r="F836">
        <v>10000</v>
      </c>
      <c r="G836" s="13">
        <v>45657</v>
      </c>
      <c r="H836" s="13">
        <v>45659</v>
      </c>
      <c r="J836">
        <v>0</v>
      </c>
      <c r="N836">
        <v>0</v>
      </c>
      <c r="T836" t="s">
        <v>946</v>
      </c>
      <c r="W836" t="s">
        <v>497</v>
      </c>
    </row>
    <row r="837" spans="1:23" x14ac:dyDescent="0.25">
      <c r="A837" t="s">
        <v>1328</v>
      </c>
      <c r="B837" t="str">
        <f t="shared" ref="B837:B900" si="13">MID(A837,1,12)</f>
        <v>GA2B00000091</v>
      </c>
      <c r="C837" t="s">
        <v>227</v>
      </c>
      <c r="D837" t="s">
        <v>85</v>
      </c>
      <c r="E837" t="s">
        <v>507</v>
      </c>
      <c r="F837">
        <v>10000</v>
      </c>
      <c r="G837" s="13">
        <v>45658</v>
      </c>
      <c r="H837" s="13">
        <v>45660</v>
      </c>
      <c r="I837">
        <v>0</v>
      </c>
      <c r="J837">
        <v>10000</v>
      </c>
      <c r="K837">
        <v>10000</v>
      </c>
      <c r="N837">
        <v>19.047619047619047</v>
      </c>
      <c r="O837">
        <v>95.472099999999998</v>
      </c>
      <c r="P837">
        <v>119.59</v>
      </c>
      <c r="Q837">
        <v>90</v>
      </c>
      <c r="R837">
        <v>92</v>
      </c>
      <c r="S837">
        <v>90</v>
      </c>
      <c r="T837">
        <v>8.77</v>
      </c>
      <c r="U837">
        <v>6.25</v>
      </c>
      <c r="W837" t="s">
        <v>497</v>
      </c>
    </row>
    <row r="838" spans="1:23" x14ac:dyDescent="0.25">
      <c r="A838" t="s">
        <v>1329</v>
      </c>
      <c r="B838" t="str">
        <f t="shared" si="13"/>
        <v>TD2J00000710</v>
      </c>
      <c r="C838" t="s">
        <v>237</v>
      </c>
      <c r="D838" t="s">
        <v>85</v>
      </c>
      <c r="E838" t="s">
        <v>499</v>
      </c>
      <c r="F838">
        <v>30000</v>
      </c>
      <c r="G838" s="13">
        <v>45658</v>
      </c>
      <c r="H838" s="13">
        <v>45660</v>
      </c>
      <c r="I838">
        <v>0</v>
      </c>
      <c r="J838">
        <v>9927.7000000000007</v>
      </c>
      <c r="K838">
        <v>9927.7000000000007</v>
      </c>
      <c r="N838">
        <v>16.666666666666664</v>
      </c>
      <c r="O838">
        <v>90</v>
      </c>
      <c r="P838">
        <v>33.092300000000002</v>
      </c>
      <c r="Q838">
        <v>90</v>
      </c>
      <c r="R838">
        <v>90</v>
      </c>
      <c r="S838">
        <v>90</v>
      </c>
      <c r="T838">
        <v>10.47</v>
      </c>
      <c r="U838">
        <v>6.5</v>
      </c>
      <c r="W838" t="s">
        <v>497</v>
      </c>
    </row>
    <row r="839" spans="1:23" x14ac:dyDescent="0.25">
      <c r="A839" t="s">
        <v>1330</v>
      </c>
      <c r="B839" t="str">
        <f t="shared" si="13"/>
        <v>CG2A00000593</v>
      </c>
      <c r="C839" t="s">
        <v>229</v>
      </c>
      <c r="D839" t="s">
        <v>85</v>
      </c>
      <c r="E839" t="s">
        <v>496</v>
      </c>
      <c r="F839">
        <v>15000</v>
      </c>
      <c r="G839" s="13">
        <v>45664</v>
      </c>
      <c r="H839" s="13">
        <v>45666</v>
      </c>
      <c r="I839">
        <v>218.3</v>
      </c>
      <c r="J839">
        <v>3000</v>
      </c>
      <c r="K839">
        <v>3218.3</v>
      </c>
      <c r="N839">
        <v>8.3333333333333321</v>
      </c>
      <c r="O839">
        <v>92</v>
      </c>
      <c r="P839">
        <v>21.455300000000001</v>
      </c>
      <c r="Q839">
        <v>92</v>
      </c>
      <c r="R839">
        <v>92</v>
      </c>
      <c r="S839">
        <v>92</v>
      </c>
      <c r="T839">
        <v>10.01</v>
      </c>
      <c r="U839">
        <v>5.5</v>
      </c>
      <c r="W839" t="s">
        <v>497</v>
      </c>
    </row>
    <row r="840" spans="1:23" x14ac:dyDescent="0.25">
      <c r="A840" t="s">
        <v>1331</v>
      </c>
      <c r="B840" t="str">
        <f t="shared" si="13"/>
        <v>CG2B00000477</v>
      </c>
      <c r="C840" t="s">
        <v>229</v>
      </c>
      <c r="D840" t="s">
        <v>85</v>
      </c>
      <c r="E840" t="s">
        <v>507</v>
      </c>
      <c r="F840">
        <v>12000</v>
      </c>
      <c r="G840" s="13">
        <v>45664</v>
      </c>
      <c r="H840" s="13">
        <v>45666</v>
      </c>
      <c r="I840">
        <v>0</v>
      </c>
      <c r="J840">
        <v>6000</v>
      </c>
      <c r="K840">
        <v>6000</v>
      </c>
      <c r="N840">
        <v>4.1666666666666661</v>
      </c>
      <c r="O840">
        <v>86</v>
      </c>
      <c r="P840">
        <v>50</v>
      </c>
      <c r="Q840">
        <v>86</v>
      </c>
      <c r="R840">
        <v>86</v>
      </c>
      <c r="S840">
        <v>86</v>
      </c>
      <c r="T840">
        <v>9.48</v>
      </c>
      <c r="U840">
        <v>5.9</v>
      </c>
      <c r="W840" t="s">
        <v>497</v>
      </c>
    </row>
    <row r="841" spans="1:23" x14ac:dyDescent="0.25">
      <c r="A841" t="s">
        <v>1332</v>
      </c>
      <c r="B841" t="str">
        <f t="shared" si="13"/>
        <v>GA2A00000209</v>
      </c>
      <c r="C841" t="s">
        <v>227</v>
      </c>
      <c r="D841" t="s">
        <v>85</v>
      </c>
      <c r="E841" t="s">
        <v>496</v>
      </c>
      <c r="F841">
        <v>20000</v>
      </c>
      <c r="G841" s="13">
        <v>45665</v>
      </c>
      <c r="H841" s="13">
        <v>45667</v>
      </c>
      <c r="J841">
        <v>0</v>
      </c>
      <c r="N841">
        <v>0</v>
      </c>
      <c r="T841" t="s">
        <v>946</v>
      </c>
      <c r="W841" t="s">
        <v>497</v>
      </c>
    </row>
    <row r="842" spans="1:23" x14ac:dyDescent="0.25">
      <c r="A842" t="s">
        <v>1333</v>
      </c>
      <c r="B842" t="str">
        <f t="shared" si="13"/>
        <v>GA2B00000109</v>
      </c>
      <c r="C842" t="s">
        <v>227</v>
      </c>
      <c r="D842" t="s">
        <v>85</v>
      </c>
      <c r="E842" t="s">
        <v>507</v>
      </c>
      <c r="F842">
        <v>15000</v>
      </c>
      <c r="G842" s="13">
        <v>45665</v>
      </c>
      <c r="H842" s="13">
        <v>45667</v>
      </c>
      <c r="I842">
        <v>0</v>
      </c>
      <c r="J842">
        <v>9037.9</v>
      </c>
      <c r="K842">
        <v>9037.9</v>
      </c>
      <c r="N842">
        <v>23.809523809523807</v>
      </c>
      <c r="O842">
        <v>95.294200000000004</v>
      </c>
      <c r="P842">
        <v>60.252699999999997</v>
      </c>
      <c r="Q842">
        <v>90</v>
      </c>
      <c r="R842">
        <v>95</v>
      </c>
      <c r="S842">
        <v>90</v>
      </c>
      <c r="T842">
        <v>8.8699999999999992</v>
      </c>
      <c r="U842">
        <v>6.25</v>
      </c>
      <c r="W842" t="s">
        <v>497</v>
      </c>
    </row>
    <row r="843" spans="1:23" x14ac:dyDescent="0.25">
      <c r="A843" t="s">
        <v>1334</v>
      </c>
      <c r="B843" t="str">
        <f t="shared" si="13"/>
        <v>CG2A00000593</v>
      </c>
      <c r="C843" t="s">
        <v>229</v>
      </c>
      <c r="D843" t="s">
        <v>85</v>
      </c>
      <c r="E843" t="s">
        <v>496</v>
      </c>
      <c r="F843">
        <v>10000</v>
      </c>
      <c r="G843" s="13">
        <v>45671</v>
      </c>
      <c r="H843" s="13">
        <v>45673</v>
      </c>
      <c r="J843">
        <v>0</v>
      </c>
      <c r="N843">
        <v>0</v>
      </c>
      <c r="T843" t="s">
        <v>946</v>
      </c>
      <c r="W843" t="s">
        <v>497</v>
      </c>
    </row>
    <row r="844" spans="1:23" x14ac:dyDescent="0.25">
      <c r="A844" t="s">
        <v>1335</v>
      </c>
      <c r="B844" t="str">
        <f t="shared" si="13"/>
        <v>CG2J00000693</v>
      </c>
      <c r="C844" t="s">
        <v>229</v>
      </c>
      <c r="D844" t="s">
        <v>85</v>
      </c>
      <c r="E844" t="s">
        <v>499</v>
      </c>
      <c r="F844">
        <v>10000</v>
      </c>
      <c r="G844" s="13">
        <v>45671</v>
      </c>
      <c r="H844" s="13">
        <v>45673</v>
      </c>
      <c r="J844">
        <v>0</v>
      </c>
      <c r="N844">
        <v>0</v>
      </c>
      <c r="T844" t="s">
        <v>946</v>
      </c>
      <c r="W844" t="s">
        <v>497</v>
      </c>
    </row>
    <row r="845" spans="1:23" x14ac:dyDescent="0.25">
      <c r="A845" t="s">
        <v>1336</v>
      </c>
      <c r="B845" t="str">
        <f t="shared" si="13"/>
        <v>GA2B00000109</v>
      </c>
      <c r="C845" t="s">
        <v>227</v>
      </c>
      <c r="D845" t="s">
        <v>85</v>
      </c>
      <c r="E845" t="s">
        <v>507</v>
      </c>
      <c r="F845">
        <v>10000</v>
      </c>
      <c r="G845" s="13">
        <v>45672</v>
      </c>
      <c r="H845" s="13">
        <v>45674</v>
      </c>
      <c r="I845">
        <v>0</v>
      </c>
      <c r="J845">
        <v>5406.42</v>
      </c>
      <c r="K845">
        <v>5406.42</v>
      </c>
      <c r="N845">
        <v>19.047619047619047</v>
      </c>
      <c r="O845">
        <v>95.5197</v>
      </c>
      <c r="P845">
        <v>54.0642</v>
      </c>
      <c r="Q845">
        <v>90</v>
      </c>
      <c r="R845">
        <v>92</v>
      </c>
      <c r="S845">
        <v>90</v>
      </c>
      <c r="T845">
        <v>8.74</v>
      </c>
      <c r="U845">
        <v>6.25</v>
      </c>
      <c r="W845" t="s">
        <v>497</v>
      </c>
    </row>
    <row r="846" spans="1:23" x14ac:dyDescent="0.25">
      <c r="A846" t="s">
        <v>1337</v>
      </c>
      <c r="B846" t="str">
        <f t="shared" si="13"/>
        <v>GQ2J00000040</v>
      </c>
      <c r="C846" t="s">
        <v>528</v>
      </c>
      <c r="D846" t="s">
        <v>85</v>
      </c>
      <c r="E846" t="s">
        <v>499</v>
      </c>
      <c r="F846">
        <v>50000</v>
      </c>
      <c r="G846" s="13">
        <v>45678</v>
      </c>
      <c r="H846" s="13">
        <v>45680</v>
      </c>
      <c r="I846">
        <v>34437</v>
      </c>
      <c r="J846">
        <v>13350</v>
      </c>
      <c r="K846">
        <v>47787</v>
      </c>
      <c r="N846">
        <v>30.76923076923077</v>
      </c>
      <c r="O846">
        <v>91.444500000000005</v>
      </c>
      <c r="P846">
        <v>95.573999999999998</v>
      </c>
      <c r="Q846">
        <v>90</v>
      </c>
      <c r="R846">
        <v>92</v>
      </c>
      <c r="S846">
        <v>90</v>
      </c>
      <c r="T846">
        <v>10.39</v>
      </c>
      <c r="U846">
        <v>7</v>
      </c>
      <c r="W846" t="s">
        <v>497</v>
      </c>
    </row>
    <row r="847" spans="1:23" x14ac:dyDescent="0.25">
      <c r="A847" t="s">
        <v>1338</v>
      </c>
      <c r="B847" t="str">
        <f t="shared" si="13"/>
        <v>TD2B00000130</v>
      </c>
      <c r="C847" t="s">
        <v>237</v>
      </c>
      <c r="D847" t="s">
        <v>85</v>
      </c>
      <c r="E847" t="s">
        <v>507</v>
      </c>
      <c r="F847">
        <v>12000</v>
      </c>
      <c r="G847" s="13">
        <v>45679</v>
      </c>
      <c r="H847" s="13">
        <v>45681</v>
      </c>
      <c r="I847">
        <v>7000</v>
      </c>
      <c r="J847">
        <v>0</v>
      </c>
      <c r="K847">
        <v>7000</v>
      </c>
      <c r="N847">
        <v>8.3333333333333321</v>
      </c>
      <c r="O847">
        <v>100</v>
      </c>
      <c r="P847">
        <v>58.333300000000001</v>
      </c>
      <c r="Q847">
        <v>100</v>
      </c>
      <c r="R847">
        <v>100</v>
      </c>
      <c r="S847">
        <v>100</v>
      </c>
      <c r="T847">
        <v>6.5</v>
      </c>
      <c r="U847">
        <v>6.5</v>
      </c>
      <c r="W847" t="s">
        <v>497</v>
      </c>
    </row>
    <row r="848" spans="1:23" x14ac:dyDescent="0.25">
      <c r="A848" t="s">
        <v>1339</v>
      </c>
      <c r="B848" t="str">
        <f t="shared" si="13"/>
        <v>TD2J00000728</v>
      </c>
      <c r="C848" t="s">
        <v>237</v>
      </c>
      <c r="D848" t="s">
        <v>85</v>
      </c>
      <c r="E848" t="s">
        <v>499</v>
      </c>
      <c r="F848">
        <v>20000</v>
      </c>
      <c r="G848" s="13">
        <v>45679</v>
      </c>
      <c r="H848" s="13">
        <v>45681</v>
      </c>
      <c r="I848">
        <v>13112.72</v>
      </c>
      <c r="J848">
        <v>1658.7399999999998</v>
      </c>
      <c r="K848">
        <v>14771.46</v>
      </c>
      <c r="N848">
        <v>33.333333333333329</v>
      </c>
      <c r="O848">
        <v>90.048699999999997</v>
      </c>
      <c r="P848">
        <v>73.857299999999995</v>
      </c>
      <c r="Q848">
        <v>90</v>
      </c>
      <c r="R848">
        <v>92</v>
      </c>
      <c r="S848">
        <v>90</v>
      </c>
      <c r="T848">
        <v>10.45</v>
      </c>
      <c r="U848">
        <v>6.5</v>
      </c>
      <c r="W848" t="s">
        <v>497</v>
      </c>
    </row>
    <row r="849" spans="1:23" x14ac:dyDescent="0.25">
      <c r="A849" t="s">
        <v>1335</v>
      </c>
      <c r="B849" t="str">
        <f t="shared" si="13"/>
        <v>CG2J00000693</v>
      </c>
      <c r="C849" t="s">
        <v>229</v>
      </c>
      <c r="D849" t="s">
        <v>85</v>
      </c>
      <c r="E849" t="s">
        <v>499</v>
      </c>
      <c r="F849">
        <v>15000</v>
      </c>
      <c r="G849" s="13">
        <v>45685</v>
      </c>
      <c r="H849" s="13">
        <v>45687</v>
      </c>
      <c r="I849">
        <v>680</v>
      </c>
      <c r="J849">
        <v>380</v>
      </c>
      <c r="K849">
        <v>1060</v>
      </c>
      <c r="N849">
        <v>12.5</v>
      </c>
      <c r="O849">
        <v>91.060299999999998</v>
      </c>
      <c r="P849">
        <v>7.0667</v>
      </c>
      <c r="Q849">
        <v>90</v>
      </c>
      <c r="R849">
        <v>91</v>
      </c>
      <c r="S849">
        <v>90</v>
      </c>
      <c r="T849">
        <v>9.49</v>
      </c>
      <c r="U849">
        <v>6</v>
      </c>
      <c r="W849" t="s">
        <v>497</v>
      </c>
    </row>
    <row r="850" spans="1:23" x14ac:dyDescent="0.25">
      <c r="A850" t="s">
        <v>1340</v>
      </c>
      <c r="B850" t="str">
        <f t="shared" si="13"/>
        <v>GA2J00000374</v>
      </c>
      <c r="C850" t="s">
        <v>227</v>
      </c>
      <c r="D850" t="s">
        <v>85</v>
      </c>
      <c r="E850" t="s">
        <v>499</v>
      </c>
      <c r="F850">
        <v>25000</v>
      </c>
      <c r="G850" s="13">
        <v>45693</v>
      </c>
      <c r="H850" s="13">
        <v>45695</v>
      </c>
      <c r="I850">
        <v>3000</v>
      </c>
      <c r="J850">
        <v>0</v>
      </c>
      <c r="K850">
        <v>3000</v>
      </c>
      <c r="N850">
        <v>4.7619047619047619</v>
      </c>
      <c r="O850">
        <v>90</v>
      </c>
      <c r="P850">
        <v>16</v>
      </c>
      <c r="Q850">
        <v>90</v>
      </c>
      <c r="R850">
        <v>90</v>
      </c>
      <c r="S850">
        <v>89.5</v>
      </c>
      <c r="T850">
        <v>9.4</v>
      </c>
      <c r="U850">
        <v>5.5</v>
      </c>
      <c r="W850" t="s">
        <v>497</v>
      </c>
    </row>
    <row r="851" spans="1:23" x14ac:dyDescent="0.25">
      <c r="A851" t="s">
        <v>1341</v>
      </c>
      <c r="B851" t="str">
        <f t="shared" si="13"/>
        <v>GA2K00000108</v>
      </c>
      <c r="C851" t="s">
        <v>227</v>
      </c>
      <c r="D851" t="s">
        <v>85</v>
      </c>
      <c r="E851" t="s">
        <v>516</v>
      </c>
      <c r="F851">
        <v>30000</v>
      </c>
      <c r="G851" s="13">
        <v>45693</v>
      </c>
      <c r="H851" s="13">
        <v>45695</v>
      </c>
      <c r="I851">
        <v>30000</v>
      </c>
      <c r="J851">
        <v>0</v>
      </c>
      <c r="K851">
        <v>30000</v>
      </c>
      <c r="N851">
        <v>4.7619047619047619</v>
      </c>
      <c r="O851">
        <v>94.638999999999996</v>
      </c>
      <c r="P851">
        <v>100</v>
      </c>
      <c r="Q851">
        <v>91</v>
      </c>
      <c r="R851">
        <v>91</v>
      </c>
      <c r="S851">
        <v>91</v>
      </c>
      <c r="T851">
        <v>7.79</v>
      </c>
      <c r="U851">
        <v>5.75</v>
      </c>
      <c r="W851" t="s">
        <v>497</v>
      </c>
    </row>
    <row r="852" spans="1:23" x14ac:dyDescent="0.25">
      <c r="A852" t="s">
        <v>1063</v>
      </c>
      <c r="B852" t="str">
        <f t="shared" si="13"/>
        <v>GA2B00000166</v>
      </c>
      <c r="C852" t="s">
        <v>227</v>
      </c>
      <c r="D852" t="s">
        <v>85</v>
      </c>
      <c r="E852" t="s">
        <v>507</v>
      </c>
      <c r="F852">
        <v>20000</v>
      </c>
      <c r="G852" s="13">
        <v>45693</v>
      </c>
      <c r="H852" s="13">
        <v>45695</v>
      </c>
      <c r="I852">
        <v>10000</v>
      </c>
      <c r="J852">
        <v>5050</v>
      </c>
      <c r="K852">
        <v>15050</v>
      </c>
      <c r="N852">
        <v>14.285714285714285</v>
      </c>
      <c r="O852">
        <v>92.586399999999998</v>
      </c>
      <c r="P852">
        <v>75.25</v>
      </c>
      <c r="Q852">
        <v>90</v>
      </c>
      <c r="R852">
        <v>92</v>
      </c>
      <c r="S852">
        <v>90</v>
      </c>
      <c r="T852">
        <v>9</v>
      </c>
      <c r="U852">
        <v>6.75</v>
      </c>
      <c r="W852" t="s">
        <v>497</v>
      </c>
    </row>
    <row r="853" spans="1:23" x14ac:dyDescent="0.25">
      <c r="A853" t="s">
        <v>953</v>
      </c>
      <c r="B853" t="str">
        <f t="shared" si="13"/>
        <v>GA2A00000167</v>
      </c>
      <c r="C853" t="s">
        <v>227</v>
      </c>
      <c r="D853" t="s">
        <v>85</v>
      </c>
      <c r="E853" t="s">
        <v>496</v>
      </c>
      <c r="F853">
        <v>10000</v>
      </c>
      <c r="G853" s="13">
        <v>45707</v>
      </c>
      <c r="H853" s="13">
        <v>45709</v>
      </c>
      <c r="I853">
        <v>5500</v>
      </c>
      <c r="J853">
        <v>0</v>
      </c>
      <c r="K853">
        <v>5500</v>
      </c>
      <c r="N853">
        <v>0</v>
      </c>
      <c r="W853" t="s">
        <v>681</v>
      </c>
    </row>
    <row r="854" spans="1:23" x14ac:dyDescent="0.25">
      <c r="A854" t="s">
        <v>984</v>
      </c>
      <c r="B854" t="str">
        <f t="shared" si="13"/>
        <v>GA2A00000175</v>
      </c>
      <c r="C854" t="s">
        <v>227</v>
      </c>
      <c r="D854" t="s">
        <v>85</v>
      </c>
      <c r="E854" t="s">
        <v>496</v>
      </c>
      <c r="F854">
        <v>15000</v>
      </c>
      <c r="G854" s="13">
        <v>45707</v>
      </c>
      <c r="H854" s="13">
        <v>45709</v>
      </c>
      <c r="I854">
        <v>6383.2599999999993</v>
      </c>
      <c r="J854">
        <v>6892.06</v>
      </c>
      <c r="K854">
        <v>13275.32</v>
      </c>
      <c r="N854">
        <v>0</v>
      </c>
      <c r="Q854">
        <v>100</v>
      </c>
      <c r="R854">
        <v>100</v>
      </c>
      <c r="S854">
        <v>100</v>
      </c>
      <c r="W854" t="s">
        <v>681</v>
      </c>
    </row>
    <row r="855" spans="1:23" x14ac:dyDescent="0.25">
      <c r="A855" t="s">
        <v>1086</v>
      </c>
      <c r="B855" t="str">
        <f t="shared" si="13"/>
        <v>GA2A00000183</v>
      </c>
      <c r="C855" t="s">
        <v>227</v>
      </c>
      <c r="D855" t="s">
        <v>85</v>
      </c>
      <c r="E855" t="s">
        <v>496</v>
      </c>
      <c r="F855">
        <v>10000</v>
      </c>
      <c r="G855" s="13">
        <v>45707</v>
      </c>
      <c r="H855" s="13">
        <v>45709</v>
      </c>
      <c r="I855">
        <v>6450</v>
      </c>
      <c r="J855">
        <v>3550</v>
      </c>
      <c r="K855">
        <v>10000</v>
      </c>
      <c r="N855">
        <v>9.5238095238095237</v>
      </c>
      <c r="O855">
        <v>101.7945</v>
      </c>
      <c r="P855">
        <v>100</v>
      </c>
      <c r="Q855">
        <v>100</v>
      </c>
      <c r="R855">
        <v>100</v>
      </c>
      <c r="S855">
        <v>100</v>
      </c>
      <c r="T855">
        <v>3.16</v>
      </c>
      <c r="U855">
        <v>5</v>
      </c>
      <c r="W855" t="s">
        <v>681</v>
      </c>
    </row>
    <row r="856" spans="1:23" x14ac:dyDescent="0.25">
      <c r="A856" t="s">
        <v>1342</v>
      </c>
      <c r="B856" t="str">
        <f t="shared" si="13"/>
        <v>GA2A00000191</v>
      </c>
      <c r="C856" t="s">
        <v>227</v>
      </c>
      <c r="D856" t="s">
        <v>85</v>
      </c>
      <c r="E856" t="s">
        <v>496</v>
      </c>
      <c r="F856">
        <v>40000</v>
      </c>
      <c r="G856" s="13">
        <v>45707</v>
      </c>
      <c r="H856" s="13">
        <v>45709</v>
      </c>
      <c r="I856">
        <v>38262.1</v>
      </c>
      <c r="J856">
        <v>40</v>
      </c>
      <c r="K856">
        <v>38302.1</v>
      </c>
      <c r="N856">
        <v>14.285714285714285</v>
      </c>
      <c r="O856">
        <v>101.1233</v>
      </c>
      <c r="P856">
        <v>95.755200000000002</v>
      </c>
      <c r="Q856">
        <v>100</v>
      </c>
      <c r="R856">
        <v>100</v>
      </c>
      <c r="S856">
        <v>100</v>
      </c>
      <c r="T856">
        <v>3.84</v>
      </c>
      <c r="U856">
        <v>5</v>
      </c>
      <c r="W856" t="s">
        <v>681</v>
      </c>
    </row>
    <row r="857" spans="1:23" x14ac:dyDescent="0.25">
      <c r="A857" t="s">
        <v>1343</v>
      </c>
      <c r="B857" t="str">
        <f t="shared" si="13"/>
        <v>GA2B00000034</v>
      </c>
      <c r="C857" t="s">
        <v>227</v>
      </c>
      <c r="D857" t="s">
        <v>85</v>
      </c>
      <c r="E857" t="s">
        <v>507</v>
      </c>
      <c r="F857">
        <v>20000</v>
      </c>
      <c r="G857" s="13">
        <v>45707</v>
      </c>
      <c r="H857" s="13">
        <v>45709</v>
      </c>
      <c r="I857">
        <v>17094.099999999999</v>
      </c>
      <c r="J857">
        <v>0</v>
      </c>
      <c r="K857">
        <v>17094.099999999999</v>
      </c>
      <c r="N857">
        <v>0</v>
      </c>
      <c r="Q857">
        <v>100</v>
      </c>
      <c r="R857">
        <v>100</v>
      </c>
      <c r="S857">
        <v>100</v>
      </c>
      <c r="W857" t="s">
        <v>681</v>
      </c>
    </row>
    <row r="858" spans="1:23" x14ac:dyDescent="0.25">
      <c r="A858" t="s">
        <v>1344</v>
      </c>
      <c r="B858" t="str">
        <f t="shared" si="13"/>
        <v>GA2B00000042</v>
      </c>
      <c r="C858" t="s">
        <v>227</v>
      </c>
      <c r="D858" t="s">
        <v>85</v>
      </c>
      <c r="E858" t="s">
        <v>507</v>
      </c>
      <c r="F858">
        <v>15000</v>
      </c>
      <c r="G858" s="13">
        <v>45707</v>
      </c>
      <c r="H858" s="13">
        <v>45709</v>
      </c>
      <c r="I858">
        <v>14735.79</v>
      </c>
      <c r="J858">
        <v>0</v>
      </c>
      <c r="K858">
        <v>14735.79</v>
      </c>
      <c r="N858">
        <v>9.5238095238095237</v>
      </c>
      <c r="O858">
        <v>102.6534</v>
      </c>
      <c r="P858">
        <v>98.238600000000005</v>
      </c>
      <c r="Q858">
        <v>100</v>
      </c>
      <c r="R858">
        <v>100</v>
      </c>
      <c r="S858">
        <v>100</v>
      </c>
      <c r="T858">
        <v>3.77</v>
      </c>
      <c r="U858">
        <v>6.5</v>
      </c>
      <c r="W858" t="s">
        <v>681</v>
      </c>
    </row>
    <row r="859" spans="1:23" x14ac:dyDescent="0.25">
      <c r="A859" t="s">
        <v>1345</v>
      </c>
      <c r="B859" t="str">
        <f t="shared" si="13"/>
        <v>GA2B00000059</v>
      </c>
      <c r="C859" t="s">
        <v>227</v>
      </c>
      <c r="D859" t="s">
        <v>85</v>
      </c>
      <c r="E859" t="s">
        <v>507</v>
      </c>
      <c r="F859">
        <v>10000</v>
      </c>
      <c r="G859" s="13">
        <v>45707</v>
      </c>
      <c r="H859" s="13">
        <v>45709</v>
      </c>
      <c r="I859">
        <v>1000</v>
      </c>
      <c r="J859">
        <v>0</v>
      </c>
      <c r="K859">
        <v>1000</v>
      </c>
      <c r="N859">
        <v>4.7619047619047619</v>
      </c>
      <c r="O859">
        <v>101.53149999999999</v>
      </c>
      <c r="P859">
        <v>10</v>
      </c>
      <c r="Q859">
        <v>100</v>
      </c>
      <c r="R859">
        <v>100</v>
      </c>
      <c r="S859">
        <v>100</v>
      </c>
      <c r="T859">
        <v>4.91</v>
      </c>
      <c r="U859">
        <v>6.5</v>
      </c>
      <c r="W859" t="s">
        <v>681</v>
      </c>
    </row>
    <row r="860" spans="1:23" x14ac:dyDescent="0.25">
      <c r="A860" t="s">
        <v>1346</v>
      </c>
      <c r="B860" t="str">
        <f t="shared" si="13"/>
        <v>GA2B00000067</v>
      </c>
      <c r="C860" t="s">
        <v>227</v>
      </c>
      <c r="D860" t="s">
        <v>85</v>
      </c>
      <c r="E860" t="s">
        <v>507</v>
      </c>
      <c r="F860">
        <v>10000</v>
      </c>
      <c r="G860" s="13">
        <v>45707</v>
      </c>
      <c r="H860" s="13">
        <v>45709</v>
      </c>
      <c r="I860">
        <v>5000</v>
      </c>
      <c r="J860">
        <v>2500</v>
      </c>
      <c r="K860">
        <v>7500</v>
      </c>
      <c r="N860">
        <v>9.5238095238095237</v>
      </c>
      <c r="O860">
        <v>101.0329</v>
      </c>
      <c r="P860">
        <v>75</v>
      </c>
      <c r="Q860">
        <v>100</v>
      </c>
      <c r="R860">
        <v>100</v>
      </c>
      <c r="S860">
        <v>100</v>
      </c>
      <c r="T860">
        <v>5.43</v>
      </c>
      <c r="U860">
        <v>6.5</v>
      </c>
      <c r="W860" t="s">
        <v>681</v>
      </c>
    </row>
    <row r="861" spans="1:23" x14ac:dyDescent="0.25">
      <c r="A861" t="s">
        <v>1347</v>
      </c>
      <c r="B861" t="str">
        <f t="shared" si="13"/>
        <v>GA2J00000267</v>
      </c>
      <c r="C861" t="s">
        <v>227</v>
      </c>
      <c r="D861" t="s">
        <v>85</v>
      </c>
      <c r="E861" t="s">
        <v>499</v>
      </c>
      <c r="F861">
        <v>10000</v>
      </c>
      <c r="G861" s="13">
        <v>45707</v>
      </c>
      <c r="H861" s="13">
        <v>45709</v>
      </c>
      <c r="I861">
        <v>6058.29</v>
      </c>
      <c r="J861">
        <v>200</v>
      </c>
      <c r="K861">
        <v>6258.29</v>
      </c>
      <c r="N861">
        <v>0</v>
      </c>
      <c r="Q861">
        <v>100</v>
      </c>
      <c r="R861">
        <v>100</v>
      </c>
      <c r="S861">
        <v>100</v>
      </c>
      <c r="W861" t="s">
        <v>681</v>
      </c>
    </row>
    <row r="862" spans="1:23" x14ac:dyDescent="0.25">
      <c r="A862" t="s">
        <v>1348</v>
      </c>
      <c r="B862" t="str">
        <f t="shared" si="13"/>
        <v>GA2J00000275</v>
      </c>
      <c r="C862" t="s">
        <v>227</v>
      </c>
      <c r="D862" t="s">
        <v>85</v>
      </c>
      <c r="E862" t="s">
        <v>499</v>
      </c>
      <c r="F862">
        <v>15000</v>
      </c>
      <c r="G862" s="13">
        <v>45707</v>
      </c>
      <c r="H862" s="13">
        <v>45709</v>
      </c>
      <c r="I862">
        <v>8439.89</v>
      </c>
      <c r="J862">
        <v>4481.08</v>
      </c>
      <c r="K862">
        <v>12920.97</v>
      </c>
      <c r="N862">
        <v>0</v>
      </c>
      <c r="Q862">
        <v>100</v>
      </c>
      <c r="R862">
        <v>100</v>
      </c>
      <c r="S862">
        <v>100</v>
      </c>
      <c r="W862" t="s">
        <v>681</v>
      </c>
    </row>
    <row r="863" spans="1:23" x14ac:dyDescent="0.25">
      <c r="A863" t="s">
        <v>1349</v>
      </c>
      <c r="B863" t="str">
        <f t="shared" si="13"/>
        <v>GA2A00000217</v>
      </c>
      <c r="C863" t="s">
        <v>227</v>
      </c>
      <c r="D863" t="s">
        <v>85</v>
      </c>
      <c r="E863" t="s">
        <v>496</v>
      </c>
      <c r="F863">
        <v>55000</v>
      </c>
      <c r="G863" s="13">
        <v>45707</v>
      </c>
      <c r="H863" s="13">
        <v>45709</v>
      </c>
      <c r="I863">
        <v>46168</v>
      </c>
      <c r="J863">
        <v>8232</v>
      </c>
      <c r="K863">
        <v>54400</v>
      </c>
      <c r="N863">
        <v>14.285714285714285</v>
      </c>
      <c r="O863">
        <v>92</v>
      </c>
      <c r="P863">
        <v>98.909099999999995</v>
      </c>
      <c r="Q863">
        <v>92</v>
      </c>
      <c r="R863">
        <v>92</v>
      </c>
      <c r="S863">
        <v>92</v>
      </c>
      <c r="T863">
        <v>9.49</v>
      </c>
      <c r="U863">
        <v>5</v>
      </c>
      <c r="W863" t="s">
        <v>875</v>
      </c>
    </row>
    <row r="864" spans="1:23" x14ac:dyDescent="0.25">
      <c r="A864" t="s">
        <v>767</v>
      </c>
      <c r="B864" t="str">
        <f t="shared" si="13"/>
        <v>GA2B00000083</v>
      </c>
      <c r="C864" t="s">
        <v>227</v>
      </c>
      <c r="D864" t="s">
        <v>85</v>
      </c>
      <c r="E864" t="s">
        <v>507</v>
      </c>
      <c r="F864">
        <v>25000</v>
      </c>
      <c r="G864" s="13">
        <v>45707</v>
      </c>
      <c r="H864" s="13">
        <v>45709</v>
      </c>
      <c r="I864">
        <v>17265</v>
      </c>
      <c r="J864">
        <v>7735</v>
      </c>
      <c r="K864">
        <v>25000</v>
      </c>
      <c r="N864">
        <v>14.285714285714285</v>
      </c>
      <c r="O864">
        <v>99.287700000000001</v>
      </c>
      <c r="P864">
        <v>100</v>
      </c>
      <c r="Q864">
        <v>96</v>
      </c>
      <c r="R864">
        <v>96</v>
      </c>
      <c r="S864">
        <v>96</v>
      </c>
      <c r="T864">
        <v>7</v>
      </c>
      <c r="U864">
        <v>6.25</v>
      </c>
      <c r="W864" t="s">
        <v>875</v>
      </c>
    </row>
    <row r="865" spans="1:23" x14ac:dyDescent="0.25">
      <c r="A865" t="s">
        <v>1350</v>
      </c>
      <c r="B865" t="str">
        <f t="shared" si="13"/>
        <v>GA2B00000182</v>
      </c>
      <c r="C865" t="s">
        <v>227</v>
      </c>
      <c r="D865" t="s">
        <v>85</v>
      </c>
      <c r="E865" t="s">
        <v>507</v>
      </c>
      <c r="F865">
        <v>20000</v>
      </c>
      <c r="G865" s="13">
        <v>45707</v>
      </c>
      <c r="H865" s="13">
        <v>45709</v>
      </c>
      <c r="I865">
        <v>9202.1299999999992</v>
      </c>
      <c r="J865">
        <v>2300</v>
      </c>
      <c r="K865">
        <v>11502.13</v>
      </c>
      <c r="N865">
        <v>14.285714285714285</v>
      </c>
      <c r="O865">
        <v>90</v>
      </c>
      <c r="P865">
        <v>57.510599999999997</v>
      </c>
      <c r="Q865">
        <v>90</v>
      </c>
      <c r="R865">
        <v>90</v>
      </c>
      <c r="S865">
        <v>90</v>
      </c>
      <c r="T865">
        <v>9.3000000000000007</v>
      </c>
      <c r="U865">
        <v>6.75</v>
      </c>
      <c r="W865" t="s">
        <v>875</v>
      </c>
    </row>
    <row r="866" spans="1:23" x14ac:dyDescent="0.25">
      <c r="A866" t="s">
        <v>1351</v>
      </c>
      <c r="B866" t="str">
        <f t="shared" si="13"/>
        <v>GA2C00000066</v>
      </c>
      <c r="C866" t="s">
        <v>227</v>
      </c>
      <c r="D866" t="s">
        <v>85</v>
      </c>
      <c r="E866" t="s">
        <v>549</v>
      </c>
      <c r="F866">
        <v>15000</v>
      </c>
      <c r="G866" s="13">
        <v>45707</v>
      </c>
      <c r="H866" s="13">
        <v>45709</v>
      </c>
      <c r="I866">
        <v>10912.1</v>
      </c>
      <c r="J866">
        <v>277.73999999999978</v>
      </c>
      <c r="K866">
        <v>11189.84</v>
      </c>
      <c r="N866">
        <v>9.5238095238095237</v>
      </c>
      <c r="O866">
        <v>90</v>
      </c>
      <c r="P866">
        <v>74.5989</v>
      </c>
      <c r="Q866">
        <v>90</v>
      </c>
      <c r="R866">
        <v>90</v>
      </c>
      <c r="S866">
        <v>90</v>
      </c>
      <c r="T866">
        <v>10.02</v>
      </c>
      <c r="U866">
        <v>8</v>
      </c>
      <c r="W866" t="s">
        <v>875</v>
      </c>
    </row>
    <row r="867" spans="1:23" x14ac:dyDescent="0.25">
      <c r="A867" t="s">
        <v>1352</v>
      </c>
      <c r="B867" t="str">
        <f t="shared" si="13"/>
        <v>GA2J00000382</v>
      </c>
      <c r="C867" t="s">
        <v>227</v>
      </c>
      <c r="D867" t="s">
        <v>85</v>
      </c>
      <c r="E867" t="s">
        <v>499</v>
      </c>
      <c r="F867">
        <v>65000</v>
      </c>
      <c r="G867" s="13">
        <v>45707</v>
      </c>
      <c r="H867" s="13">
        <v>45709</v>
      </c>
      <c r="I867">
        <v>41202.71</v>
      </c>
      <c r="J867">
        <v>11850</v>
      </c>
      <c r="K867">
        <v>53052.71</v>
      </c>
      <c r="N867">
        <v>14.285714285714285</v>
      </c>
      <c r="O867">
        <v>90.5</v>
      </c>
      <c r="P867">
        <v>81.619600000000005</v>
      </c>
      <c r="Q867">
        <v>90.5</v>
      </c>
      <c r="R867">
        <v>90.5</v>
      </c>
      <c r="S867">
        <v>90.5</v>
      </c>
      <c r="T867">
        <v>9.4600000000000009</v>
      </c>
      <c r="U867">
        <v>5.75</v>
      </c>
      <c r="W867" t="s">
        <v>875</v>
      </c>
    </row>
    <row r="868" spans="1:23" x14ac:dyDescent="0.25">
      <c r="A868" t="s">
        <v>1353</v>
      </c>
      <c r="B868" t="str">
        <f t="shared" si="13"/>
        <v>GA2K00000124</v>
      </c>
      <c r="C868" t="s">
        <v>227</v>
      </c>
      <c r="D868" t="s">
        <v>85</v>
      </c>
      <c r="E868" t="s">
        <v>516</v>
      </c>
      <c r="F868">
        <v>30000</v>
      </c>
      <c r="G868" s="13">
        <v>45707</v>
      </c>
      <c r="H868" s="13">
        <v>45709</v>
      </c>
      <c r="I868">
        <v>29965</v>
      </c>
      <c r="J868">
        <v>15</v>
      </c>
      <c r="K868">
        <v>29980</v>
      </c>
      <c r="N868">
        <v>14.285714285714285</v>
      </c>
      <c r="O868">
        <v>90</v>
      </c>
      <c r="P868">
        <v>99.933329999999998</v>
      </c>
      <c r="Q868">
        <v>90</v>
      </c>
      <c r="R868">
        <v>90</v>
      </c>
      <c r="S868">
        <v>90</v>
      </c>
      <c r="T868">
        <v>9.57</v>
      </c>
      <c r="U868">
        <v>6.5</v>
      </c>
      <c r="W868" t="s">
        <v>875</v>
      </c>
    </row>
    <row r="869" spans="1:23" x14ac:dyDescent="0.25">
      <c r="A869" t="s">
        <v>1354</v>
      </c>
      <c r="B869" t="str">
        <f t="shared" si="13"/>
        <v>GA2L00000016</v>
      </c>
      <c r="C869" t="s">
        <v>227</v>
      </c>
      <c r="D869" t="s">
        <v>85</v>
      </c>
      <c r="E869" t="s">
        <v>547</v>
      </c>
      <c r="F869">
        <v>10000</v>
      </c>
      <c r="G869" s="13">
        <v>45707</v>
      </c>
      <c r="H869" s="13">
        <v>45709</v>
      </c>
      <c r="I869">
        <v>2056</v>
      </c>
      <c r="J869">
        <v>2397</v>
      </c>
      <c r="K869">
        <v>4453</v>
      </c>
      <c r="N869">
        <v>14.285714285714285</v>
      </c>
      <c r="O869">
        <v>90</v>
      </c>
      <c r="P869">
        <v>44.53</v>
      </c>
      <c r="Q869">
        <v>90</v>
      </c>
      <c r="R869">
        <v>90</v>
      </c>
      <c r="S869">
        <v>90</v>
      </c>
      <c r="T869">
        <v>9.74</v>
      </c>
      <c r="U869">
        <v>7.5</v>
      </c>
      <c r="W869" t="s">
        <v>875</v>
      </c>
    </row>
    <row r="870" spans="1:23" x14ac:dyDescent="0.25">
      <c r="A870" t="s">
        <v>1355</v>
      </c>
      <c r="B870" t="str">
        <f t="shared" si="13"/>
        <v>TD2J00000736</v>
      </c>
      <c r="C870" t="s">
        <v>237</v>
      </c>
      <c r="D870" t="s">
        <v>85</v>
      </c>
      <c r="E870" t="s">
        <v>499</v>
      </c>
      <c r="F870">
        <v>15000</v>
      </c>
      <c r="G870" s="13">
        <v>45707</v>
      </c>
      <c r="H870" s="13">
        <v>45709</v>
      </c>
      <c r="I870">
        <v>0</v>
      </c>
      <c r="J870">
        <v>6615.23</v>
      </c>
      <c r="K870">
        <v>6615.23</v>
      </c>
      <c r="N870">
        <v>41.666666666666671</v>
      </c>
      <c r="O870">
        <v>90.061999999999998</v>
      </c>
      <c r="P870">
        <v>44.101500000000001</v>
      </c>
      <c r="Q870">
        <v>90</v>
      </c>
      <c r="R870">
        <v>93</v>
      </c>
      <c r="S870">
        <v>90</v>
      </c>
      <c r="T870">
        <v>10.44</v>
      </c>
      <c r="U870">
        <v>6.5</v>
      </c>
      <c r="W870" t="s">
        <v>497</v>
      </c>
    </row>
    <row r="871" spans="1:23" x14ac:dyDescent="0.25">
      <c r="A871" t="s">
        <v>1356</v>
      </c>
      <c r="B871" t="str">
        <f t="shared" si="13"/>
        <v>TD2B00000148</v>
      </c>
      <c r="C871" t="s">
        <v>237</v>
      </c>
      <c r="D871" t="s">
        <v>85</v>
      </c>
      <c r="E871" t="s">
        <v>507</v>
      </c>
      <c r="F871">
        <v>5000</v>
      </c>
      <c r="G871" s="13">
        <v>45698</v>
      </c>
      <c r="H871" s="13">
        <v>45700</v>
      </c>
      <c r="I871">
        <v>5000</v>
      </c>
      <c r="J871">
        <v>0</v>
      </c>
      <c r="K871">
        <v>5000</v>
      </c>
      <c r="N871">
        <v>8.3333333333333321</v>
      </c>
      <c r="O871">
        <v>100</v>
      </c>
      <c r="P871">
        <v>100</v>
      </c>
      <c r="Q871">
        <v>100</v>
      </c>
      <c r="R871">
        <v>100</v>
      </c>
      <c r="S871">
        <v>100</v>
      </c>
      <c r="T871">
        <v>6.5</v>
      </c>
      <c r="U871">
        <v>6.5</v>
      </c>
      <c r="W871" t="s">
        <v>497</v>
      </c>
    </row>
    <row r="872" spans="1:23" x14ac:dyDescent="0.25">
      <c r="A872" t="s">
        <v>1357</v>
      </c>
      <c r="B872" t="str">
        <f t="shared" si="13"/>
        <v>TD2J00000744</v>
      </c>
      <c r="C872" t="s">
        <v>237</v>
      </c>
      <c r="D872" t="s">
        <v>85</v>
      </c>
      <c r="E872" t="s">
        <v>499</v>
      </c>
      <c r="F872">
        <v>10000</v>
      </c>
      <c r="G872" s="13">
        <v>45714</v>
      </c>
      <c r="H872" s="13">
        <v>45716</v>
      </c>
      <c r="I872">
        <v>0</v>
      </c>
      <c r="J872">
        <v>7984.97</v>
      </c>
      <c r="K872">
        <v>7984.97</v>
      </c>
      <c r="N872">
        <v>41.666666666666671</v>
      </c>
      <c r="O872">
        <v>90.014899999999997</v>
      </c>
      <c r="P872">
        <v>109.94970000000001</v>
      </c>
      <c r="Q872">
        <v>90</v>
      </c>
      <c r="R872">
        <v>92</v>
      </c>
      <c r="S872">
        <v>89</v>
      </c>
      <c r="T872">
        <v>10.46</v>
      </c>
      <c r="U872">
        <v>6.5</v>
      </c>
      <c r="W872" t="s">
        <v>497</v>
      </c>
    </row>
    <row r="873" spans="1:23" x14ac:dyDescent="0.25">
      <c r="A873" t="s">
        <v>1358</v>
      </c>
      <c r="B873" t="str">
        <f t="shared" si="13"/>
        <v>CM2B00000178</v>
      </c>
      <c r="C873" t="s">
        <v>225</v>
      </c>
      <c r="D873" t="s">
        <v>85</v>
      </c>
      <c r="E873" t="s">
        <v>507</v>
      </c>
      <c r="F873">
        <v>25000</v>
      </c>
      <c r="G873" s="13">
        <v>45733</v>
      </c>
      <c r="H873" s="13">
        <v>45735</v>
      </c>
      <c r="J873">
        <v>0</v>
      </c>
      <c r="N873">
        <v>0</v>
      </c>
      <c r="S873" t="s">
        <v>643</v>
      </c>
      <c r="W873" t="s">
        <v>497</v>
      </c>
    </row>
    <row r="874" spans="1:23" x14ac:dyDescent="0.25">
      <c r="A874" t="s">
        <v>1359</v>
      </c>
      <c r="B874" t="str">
        <f t="shared" si="13"/>
        <v>CM2C00000086</v>
      </c>
      <c r="C874" t="s">
        <v>225</v>
      </c>
      <c r="D874" t="s">
        <v>85</v>
      </c>
      <c r="E874" t="s">
        <v>549</v>
      </c>
      <c r="F874">
        <v>20000</v>
      </c>
      <c r="G874" s="13">
        <v>45733</v>
      </c>
      <c r="H874" s="13">
        <v>45735</v>
      </c>
      <c r="I874">
        <v>5584.65</v>
      </c>
      <c r="J874">
        <v>0</v>
      </c>
      <c r="K874">
        <v>5584.65</v>
      </c>
      <c r="N874">
        <v>13.636363636363635</v>
      </c>
      <c r="O874">
        <v>93.6721</v>
      </c>
      <c r="P874">
        <v>27.923200000000001</v>
      </c>
      <c r="Q874">
        <v>93</v>
      </c>
      <c r="R874">
        <v>95</v>
      </c>
      <c r="S874">
        <v>93</v>
      </c>
      <c r="T874">
        <v>8.73</v>
      </c>
      <c r="U874">
        <v>7.5</v>
      </c>
      <c r="W874" t="s">
        <v>497</v>
      </c>
    </row>
    <row r="875" spans="1:23" x14ac:dyDescent="0.25">
      <c r="A875" t="s">
        <v>1360</v>
      </c>
      <c r="B875" t="str">
        <f t="shared" si="13"/>
        <v>CM2J00000147</v>
      </c>
      <c r="C875" t="s">
        <v>225</v>
      </c>
      <c r="D875" t="s">
        <v>85</v>
      </c>
      <c r="E875" t="s">
        <v>499</v>
      </c>
      <c r="F875">
        <v>25000</v>
      </c>
      <c r="G875" s="13">
        <v>45733</v>
      </c>
      <c r="H875" s="13">
        <v>45735</v>
      </c>
      <c r="I875">
        <v>5020</v>
      </c>
      <c r="J875">
        <v>0</v>
      </c>
      <c r="K875">
        <v>5020</v>
      </c>
      <c r="N875">
        <v>31.818181818181817</v>
      </c>
      <c r="O875">
        <v>95</v>
      </c>
      <c r="P875">
        <v>101.28</v>
      </c>
      <c r="Q875">
        <v>95</v>
      </c>
      <c r="R875">
        <v>95</v>
      </c>
      <c r="S875">
        <v>6</v>
      </c>
      <c r="T875">
        <v>7.91</v>
      </c>
      <c r="U875">
        <v>6</v>
      </c>
      <c r="W875" t="s">
        <v>497</v>
      </c>
    </row>
    <row r="876" spans="1:23" x14ac:dyDescent="0.25">
      <c r="A876" t="s">
        <v>1361</v>
      </c>
      <c r="B876" t="str">
        <f t="shared" si="13"/>
        <v>CM2K00000078</v>
      </c>
      <c r="C876" t="s">
        <v>225</v>
      </c>
      <c r="D876" t="s">
        <v>85</v>
      </c>
      <c r="E876" t="s">
        <v>516</v>
      </c>
      <c r="F876">
        <v>25000</v>
      </c>
      <c r="G876" s="13">
        <v>45733</v>
      </c>
      <c r="H876" s="13">
        <v>45735</v>
      </c>
      <c r="J876">
        <v>0</v>
      </c>
      <c r="N876">
        <v>0</v>
      </c>
      <c r="S876" t="s">
        <v>643</v>
      </c>
      <c r="W876" t="s">
        <v>497</v>
      </c>
    </row>
    <row r="877" spans="1:23" x14ac:dyDescent="0.25">
      <c r="A877" t="s">
        <v>1362</v>
      </c>
      <c r="B877" t="str">
        <f t="shared" si="13"/>
        <v>CG2A00000502</v>
      </c>
      <c r="C877" t="s">
        <v>229</v>
      </c>
      <c r="D877" t="s">
        <v>85</v>
      </c>
      <c r="E877" t="s">
        <v>496</v>
      </c>
      <c r="F877">
        <v>4000</v>
      </c>
      <c r="G877" s="13">
        <v>45734</v>
      </c>
      <c r="H877" s="13">
        <v>45736</v>
      </c>
      <c r="I877">
        <v>4000</v>
      </c>
      <c r="J877">
        <v>0</v>
      </c>
      <c r="K877">
        <v>4000</v>
      </c>
      <c r="N877">
        <v>8.3333333333333321</v>
      </c>
      <c r="O877">
        <v>101.8674</v>
      </c>
      <c r="P877">
        <v>149.375</v>
      </c>
      <c r="Q877">
        <v>97</v>
      </c>
      <c r="R877">
        <v>97</v>
      </c>
      <c r="S877">
        <v>5.5</v>
      </c>
      <c r="T877">
        <v>3.48</v>
      </c>
      <c r="U877">
        <v>5.4</v>
      </c>
      <c r="W877" t="s">
        <v>497</v>
      </c>
    </row>
    <row r="878" spans="1:23" x14ac:dyDescent="0.25">
      <c r="A878" t="s">
        <v>1363</v>
      </c>
      <c r="B878" t="str">
        <f t="shared" si="13"/>
        <v>CG2A00000601</v>
      </c>
      <c r="C878" t="s">
        <v>229</v>
      </c>
      <c r="D878" t="s">
        <v>85</v>
      </c>
      <c r="E878" t="s">
        <v>496</v>
      </c>
      <c r="F878">
        <v>25000</v>
      </c>
      <c r="G878" s="13">
        <v>45734</v>
      </c>
      <c r="H878" s="13">
        <v>45736</v>
      </c>
      <c r="I878">
        <v>13314</v>
      </c>
      <c r="J878">
        <v>0</v>
      </c>
      <c r="K878">
        <v>13314</v>
      </c>
      <c r="N878">
        <v>8.3333333333333321</v>
      </c>
      <c r="O878">
        <v>93.5</v>
      </c>
      <c r="P878">
        <v>53.256</v>
      </c>
      <c r="Q878">
        <v>93.5</v>
      </c>
      <c r="R878">
        <v>93.5</v>
      </c>
      <c r="S878">
        <v>93.5</v>
      </c>
      <c r="T878">
        <v>9.39</v>
      </c>
      <c r="U878">
        <v>5.75</v>
      </c>
      <c r="W878" t="s">
        <v>497</v>
      </c>
    </row>
    <row r="879" spans="1:23" x14ac:dyDescent="0.25">
      <c r="A879" t="s">
        <v>1364</v>
      </c>
      <c r="B879" t="str">
        <f t="shared" si="13"/>
        <v>CG2B00000030</v>
      </c>
      <c r="C879" t="s">
        <v>229</v>
      </c>
      <c r="D879" t="s">
        <v>85</v>
      </c>
      <c r="E879" t="s">
        <v>507</v>
      </c>
      <c r="F879">
        <v>5500</v>
      </c>
      <c r="G879" s="13">
        <v>45734</v>
      </c>
      <c r="H879" s="13">
        <v>45736</v>
      </c>
      <c r="I879">
        <v>5459.9</v>
      </c>
      <c r="J879">
        <v>40.100000000000364</v>
      </c>
      <c r="K879">
        <v>5500</v>
      </c>
      <c r="N879">
        <v>12.5</v>
      </c>
      <c r="O879">
        <v>101.3767</v>
      </c>
      <c r="P879">
        <v>338.9982</v>
      </c>
      <c r="Q879">
        <v>93</v>
      </c>
      <c r="R879">
        <v>97</v>
      </c>
      <c r="S879">
        <v>90</v>
      </c>
      <c r="T879">
        <v>5.07</v>
      </c>
      <c r="U879">
        <v>6.5</v>
      </c>
      <c r="W879" t="s">
        <v>497</v>
      </c>
    </row>
    <row r="880" spans="1:23" x14ac:dyDescent="0.25">
      <c r="A880" t="s">
        <v>897</v>
      </c>
      <c r="B880" t="str">
        <f t="shared" si="13"/>
        <v>CG2K00000088</v>
      </c>
      <c r="C880" t="s">
        <v>229</v>
      </c>
      <c r="D880" t="s">
        <v>85</v>
      </c>
      <c r="E880" t="s">
        <v>516</v>
      </c>
      <c r="F880">
        <v>5500</v>
      </c>
      <c r="G880" s="13">
        <v>45734</v>
      </c>
      <c r="H880" s="13">
        <v>45736</v>
      </c>
      <c r="I880">
        <v>3000</v>
      </c>
      <c r="J880">
        <v>15</v>
      </c>
      <c r="K880">
        <v>3015</v>
      </c>
      <c r="N880">
        <v>8.3333333333333321</v>
      </c>
      <c r="O880">
        <v>98.367599999999996</v>
      </c>
      <c r="P880">
        <v>54.818199999999997</v>
      </c>
      <c r="Q880">
        <v>90</v>
      </c>
      <c r="R880">
        <v>96</v>
      </c>
      <c r="S880">
        <v>90</v>
      </c>
      <c r="T880">
        <v>7.19</v>
      </c>
      <c r="U880">
        <v>6.3</v>
      </c>
      <c r="W880" t="s">
        <v>497</v>
      </c>
    </row>
    <row r="881" spans="1:23" x14ac:dyDescent="0.25">
      <c r="A881" t="s">
        <v>1365</v>
      </c>
      <c r="B881" t="str">
        <f t="shared" si="13"/>
        <v>CG2A00000403</v>
      </c>
      <c r="C881" t="s">
        <v>229</v>
      </c>
      <c r="D881" t="s">
        <v>85</v>
      </c>
      <c r="E881" t="s">
        <v>496</v>
      </c>
      <c r="F881">
        <v>20598.900000000001</v>
      </c>
      <c r="G881" s="13">
        <v>45734</v>
      </c>
      <c r="H881" s="13">
        <v>45736</v>
      </c>
      <c r="I881">
        <v>20598.900000000001</v>
      </c>
      <c r="J881">
        <v>0</v>
      </c>
      <c r="K881">
        <v>20598.900000000001</v>
      </c>
      <c r="N881">
        <v>0</v>
      </c>
      <c r="Q881">
        <v>100</v>
      </c>
      <c r="R881">
        <v>100</v>
      </c>
      <c r="S881">
        <v>100</v>
      </c>
      <c r="W881" t="s">
        <v>681</v>
      </c>
    </row>
    <row r="882" spans="1:23" x14ac:dyDescent="0.25">
      <c r="A882" t="s">
        <v>1366</v>
      </c>
      <c r="B882" t="str">
        <f t="shared" si="13"/>
        <v>TD2J00000751</v>
      </c>
      <c r="C882" t="s">
        <v>237</v>
      </c>
      <c r="D882" t="s">
        <v>85</v>
      </c>
      <c r="E882" t="s">
        <v>499</v>
      </c>
      <c r="F882">
        <v>30000</v>
      </c>
      <c r="G882" s="13">
        <v>45728</v>
      </c>
      <c r="H882" s="13">
        <v>45730</v>
      </c>
      <c r="I882">
        <v>14838.27</v>
      </c>
      <c r="J882">
        <v>7580.7999999999993</v>
      </c>
      <c r="K882">
        <v>22419.07</v>
      </c>
      <c r="N882">
        <v>50</v>
      </c>
      <c r="O882">
        <v>90.157300000000006</v>
      </c>
      <c r="P882">
        <v>74.796899999999994</v>
      </c>
      <c r="Q882">
        <v>90</v>
      </c>
      <c r="R882">
        <v>95</v>
      </c>
      <c r="S882">
        <v>89</v>
      </c>
      <c r="T882">
        <v>10.4</v>
      </c>
      <c r="U882">
        <v>6.5</v>
      </c>
      <c r="W882" t="s">
        <v>497</v>
      </c>
    </row>
    <row r="883" spans="1:23" x14ac:dyDescent="0.25">
      <c r="A883" t="s">
        <v>1367</v>
      </c>
      <c r="B883" t="str">
        <f t="shared" si="13"/>
        <v>GA2J00000390</v>
      </c>
      <c r="C883" t="s">
        <v>227</v>
      </c>
      <c r="D883" t="s">
        <v>85</v>
      </c>
      <c r="E883" t="s">
        <v>499</v>
      </c>
      <c r="F883">
        <v>9500</v>
      </c>
      <c r="G883" s="13">
        <v>45735</v>
      </c>
      <c r="H883" s="13">
        <v>45737</v>
      </c>
      <c r="I883">
        <v>0</v>
      </c>
      <c r="J883">
        <v>5000</v>
      </c>
      <c r="K883">
        <v>5000</v>
      </c>
      <c r="N883">
        <v>4.7619047619047619</v>
      </c>
      <c r="O883">
        <v>90</v>
      </c>
      <c r="P883">
        <v>52.631599999999999</v>
      </c>
      <c r="Q883">
        <v>90</v>
      </c>
      <c r="R883">
        <v>90</v>
      </c>
      <c r="S883">
        <v>90</v>
      </c>
      <c r="T883">
        <v>9.67</v>
      </c>
      <c r="U883">
        <v>5.75</v>
      </c>
      <c r="W883" t="s">
        <v>497</v>
      </c>
    </row>
    <row r="884" spans="1:23" x14ac:dyDescent="0.25">
      <c r="A884" t="s">
        <v>1368</v>
      </c>
      <c r="B884" t="str">
        <f t="shared" si="13"/>
        <v>TD2J00000769</v>
      </c>
      <c r="C884" t="s">
        <v>237</v>
      </c>
      <c r="D884" t="s">
        <v>85</v>
      </c>
      <c r="E884" t="s">
        <v>499</v>
      </c>
      <c r="F884">
        <v>20000</v>
      </c>
      <c r="G884" s="13">
        <v>45735</v>
      </c>
      <c r="H884" s="13">
        <v>45737</v>
      </c>
      <c r="I884">
        <v>0</v>
      </c>
      <c r="J884">
        <v>13480.48</v>
      </c>
      <c r="K884">
        <v>13480.48</v>
      </c>
      <c r="N884">
        <v>33.333333333333329</v>
      </c>
      <c r="O884">
        <v>90.014300000000006</v>
      </c>
      <c r="P884">
        <v>67.4024</v>
      </c>
      <c r="Q884">
        <v>90</v>
      </c>
      <c r="R884">
        <v>92</v>
      </c>
      <c r="S884">
        <v>90</v>
      </c>
      <c r="T884">
        <v>10.46</v>
      </c>
      <c r="U884">
        <v>6.5</v>
      </c>
      <c r="W884" t="s">
        <v>497</v>
      </c>
    </row>
    <row r="885" spans="1:23" x14ac:dyDescent="0.25">
      <c r="A885" t="s">
        <v>1369</v>
      </c>
      <c r="B885" t="str">
        <f t="shared" si="13"/>
        <v>CM2K00000086</v>
      </c>
      <c r="C885" t="s">
        <v>225</v>
      </c>
      <c r="D885" t="s">
        <v>85</v>
      </c>
      <c r="E885" t="s">
        <v>516</v>
      </c>
      <c r="F885">
        <v>25000</v>
      </c>
      <c r="G885" s="13">
        <v>45740</v>
      </c>
      <c r="H885" s="13">
        <v>45742</v>
      </c>
      <c r="I885">
        <v>4000</v>
      </c>
      <c r="J885">
        <v>0</v>
      </c>
      <c r="K885">
        <v>4000</v>
      </c>
      <c r="N885">
        <v>9.0909090909090917</v>
      </c>
      <c r="O885">
        <v>95</v>
      </c>
      <c r="P885">
        <v>8.0399999999999991</v>
      </c>
      <c r="Q885">
        <v>95</v>
      </c>
      <c r="R885">
        <v>95</v>
      </c>
      <c r="S885">
        <v>90</v>
      </c>
      <c r="T885">
        <v>7.99</v>
      </c>
      <c r="U885">
        <v>6.5</v>
      </c>
      <c r="W885" t="s">
        <v>497</v>
      </c>
    </row>
    <row r="886" spans="1:23" x14ac:dyDescent="0.25">
      <c r="A886" t="s">
        <v>1370</v>
      </c>
      <c r="B886" t="str">
        <f t="shared" si="13"/>
        <v>CM2K00000094</v>
      </c>
      <c r="C886" t="s">
        <v>225</v>
      </c>
      <c r="D886" t="s">
        <v>85</v>
      </c>
      <c r="E886" t="s">
        <v>516</v>
      </c>
      <c r="F886">
        <v>15000</v>
      </c>
      <c r="G886" s="13">
        <v>45740</v>
      </c>
      <c r="H886" s="13">
        <v>45742</v>
      </c>
      <c r="I886">
        <v>15000</v>
      </c>
      <c r="J886">
        <v>0</v>
      </c>
      <c r="K886">
        <v>15000</v>
      </c>
      <c r="O886">
        <v>100</v>
      </c>
      <c r="P886">
        <v>100</v>
      </c>
      <c r="Q886">
        <v>100</v>
      </c>
      <c r="R886">
        <v>100</v>
      </c>
      <c r="S886">
        <v>100</v>
      </c>
      <c r="T886">
        <v>6.5</v>
      </c>
      <c r="U886">
        <v>6.5</v>
      </c>
      <c r="W886" t="s">
        <v>542</v>
      </c>
    </row>
    <row r="887" spans="1:23" x14ac:dyDescent="0.25">
      <c r="A887" t="s">
        <v>1371</v>
      </c>
      <c r="B887" t="str">
        <f t="shared" si="13"/>
        <v>CM2J00000154</v>
      </c>
      <c r="C887" t="s">
        <v>225</v>
      </c>
      <c r="D887" t="s">
        <v>85</v>
      </c>
      <c r="E887" t="s">
        <v>499</v>
      </c>
      <c r="F887">
        <v>13500</v>
      </c>
      <c r="G887" s="13">
        <v>45740</v>
      </c>
      <c r="H887" s="13">
        <v>45742</v>
      </c>
      <c r="I887">
        <v>13500</v>
      </c>
      <c r="J887">
        <v>0</v>
      </c>
      <c r="K887">
        <v>13500</v>
      </c>
      <c r="O887">
        <v>100</v>
      </c>
      <c r="P887">
        <v>100</v>
      </c>
      <c r="Q887">
        <v>100</v>
      </c>
      <c r="R887">
        <v>100</v>
      </c>
      <c r="S887">
        <v>100</v>
      </c>
      <c r="T887">
        <v>6</v>
      </c>
      <c r="U887">
        <v>6</v>
      </c>
      <c r="W887" t="s">
        <v>542</v>
      </c>
    </row>
    <row r="888" spans="1:23" x14ac:dyDescent="0.25">
      <c r="A888" t="s">
        <v>1372</v>
      </c>
      <c r="B888" t="str">
        <f t="shared" si="13"/>
        <v>CG2A00000619</v>
      </c>
      <c r="C888" t="s">
        <v>229</v>
      </c>
      <c r="D888" t="s">
        <v>85</v>
      </c>
      <c r="E888" t="s">
        <v>496</v>
      </c>
      <c r="F888">
        <v>20000</v>
      </c>
      <c r="G888" s="13">
        <v>45741</v>
      </c>
      <c r="H888" s="13">
        <v>45743</v>
      </c>
      <c r="I888">
        <v>7050</v>
      </c>
      <c r="J888">
        <v>122</v>
      </c>
      <c r="K888">
        <v>7172</v>
      </c>
      <c r="N888">
        <v>12.5</v>
      </c>
      <c r="O888">
        <v>90.065899999999999</v>
      </c>
      <c r="P888">
        <v>35.86</v>
      </c>
      <c r="Q888">
        <v>90</v>
      </c>
      <c r="R888">
        <v>93</v>
      </c>
      <c r="S888">
        <v>90</v>
      </c>
      <c r="T888">
        <v>11.45</v>
      </c>
      <c r="U888">
        <v>5.75</v>
      </c>
      <c r="W888" t="s">
        <v>497</v>
      </c>
    </row>
    <row r="889" spans="1:23" x14ac:dyDescent="0.25">
      <c r="A889" t="s">
        <v>1373</v>
      </c>
      <c r="B889" t="str">
        <f t="shared" si="13"/>
        <v>CG2B00000030</v>
      </c>
      <c r="C889" t="s">
        <v>229</v>
      </c>
      <c r="D889" t="s">
        <v>85</v>
      </c>
      <c r="E889" t="s">
        <v>507</v>
      </c>
      <c r="F889">
        <v>20000</v>
      </c>
      <c r="G889" s="13">
        <v>45741</v>
      </c>
      <c r="H889" s="13">
        <v>45743</v>
      </c>
      <c r="I889">
        <v>0</v>
      </c>
      <c r="J889">
        <v>14160</v>
      </c>
      <c r="K889">
        <v>14160</v>
      </c>
      <c r="N889">
        <v>8.3333333333333321</v>
      </c>
      <c r="O889">
        <v>97.230199999999996</v>
      </c>
      <c r="P889">
        <v>70.8</v>
      </c>
      <c r="Q889">
        <v>92</v>
      </c>
      <c r="R889">
        <v>93</v>
      </c>
      <c r="S889">
        <v>92</v>
      </c>
      <c r="T889">
        <v>9.4700000000000006</v>
      </c>
      <c r="U889">
        <v>6.5</v>
      </c>
      <c r="W889" t="s">
        <v>497</v>
      </c>
    </row>
    <row r="890" spans="1:23" x14ac:dyDescent="0.25">
      <c r="A890" t="s">
        <v>1374</v>
      </c>
      <c r="B890" t="str">
        <f t="shared" si="13"/>
        <v>GA2J00000408</v>
      </c>
      <c r="C890" t="s">
        <v>227</v>
      </c>
      <c r="D890" t="s">
        <v>85</v>
      </c>
      <c r="E890" t="s">
        <v>499</v>
      </c>
      <c r="F890">
        <v>15000</v>
      </c>
      <c r="G890" s="13">
        <v>45742</v>
      </c>
      <c r="H890" s="13">
        <v>45744</v>
      </c>
      <c r="I890">
        <v>2000</v>
      </c>
      <c r="J890">
        <v>7211</v>
      </c>
      <c r="K890">
        <v>9211</v>
      </c>
      <c r="N890">
        <v>19.047619047619047</v>
      </c>
      <c r="O890">
        <v>90.466300000000004</v>
      </c>
      <c r="P890">
        <v>61.406700000000001</v>
      </c>
      <c r="Q890">
        <v>90</v>
      </c>
      <c r="R890">
        <v>90.5</v>
      </c>
      <c r="S890">
        <v>90</v>
      </c>
      <c r="T890">
        <v>9.48</v>
      </c>
      <c r="U890">
        <v>5.75</v>
      </c>
      <c r="W890" t="s">
        <v>497</v>
      </c>
    </row>
    <row r="891" spans="1:23" x14ac:dyDescent="0.25">
      <c r="A891" t="s">
        <v>1300</v>
      </c>
      <c r="B891" t="str">
        <f t="shared" si="13"/>
        <v>GA2K00000116</v>
      </c>
      <c r="C891" t="s">
        <v>227</v>
      </c>
      <c r="D891" t="s">
        <v>85</v>
      </c>
      <c r="E891" t="s">
        <v>516</v>
      </c>
      <c r="G891" s="13">
        <v>45742</v>
      </c>
      <c r="H891" s="13">
        <v>45744</v>
      </c>
      <c r="J891">
        <v>0</v>
      </c>
      <c r="N891">
        <v>0</v>
      </c>
      <c r="S891" t="s">
        <v>643</v>
      </c>
      <c r="W891" t="s">
        <v>497</v>
      </c>
    </row>
    <row r="892" spans="1:23" x14ac:dyDescent="0.25">
      <c r="A892" t="s">
        <v>1375</v>
      </c>
      <c r="B892" t="str">
        <f t="shared" si="13"/>
        <v>GA2K00000132</v>
      </c>
      <c r="C892" t="s">
        <v>227</v>
      </c>
      <c r="D892" t="s">
        <v>85</v>
      </c>
      <c r="E892" t="s">
        <v>516</v>
      </c>
      <c r="F892">
        <v>15000</v>
      </c>
      <c r="G892" s="13">
        <v>45742</v>
      </c>
      <c r="H892" s="13">
        <v>45744</v>
      </c>
      <c r="I892">
        <v>0</v>
      </c>
      <c r="J892">
        <v>8617.5</v>
      </c>
      <c r="K892">
        <v>8617.5</v>
      </c>
      <c r="N892">
        <v>23.809523809523807</v>
      </c>
      <c r="O892">
        <v>90</v>
      </c>
      <c r="P892">
        <v>57.45</v>
      </c>
      <c r="Q892">
        <v>90</v>
      </c>
      <c r="R892">
        <v>90</v>
      </c>
      <c r="S892">
        <v>89.05</v>
      </c>
      <c r="T892">
        <v>9.57</v>
      </c>
      <c r="U892">
        <v>6.5</v>
      </c>
      <c r="W892" t="s">
        <v>497</v>
      </c>
    </row>
    <row r="893" spans="1:23" x14ac:dyDescent="0.25">
      <c r="A893" t="s">
        <v>1376</v>
      </c>
      <c r="B893" t="str">
        <f t="shared" si="13"/>
        <v>GA2C00000058</v>
      </c>
      <c r="C893" t="s">
        <v>227</v>
      </c>
      <c r="D893" t="s">
        <v>85</v>
      </c>
      <c r="E893" t="s">
        <v>549</v>
      </c>
      <c r="F893">
        <v>7000</v>
      </c>
      <c r="G893" s="13">
        <v>45742</v>
      </c>
      <c r="H893" s="13">
        <v>45744</v>
      </c>
      <c r="I893">
        <v>0</v>
      </c>
      <c r="J893">
        <v>1675</v>
      </c>
      <c r="K893">
        <v>1675</v>
      </c>
      <c r="N893">
        <v>23.809523809523807</v>
      </c>
      <c r="O893">
        <v>92.405699999999996</v>
      </c>
      <c r="P893">
        <v>24.078600000000002</v>
      </c>
      <c r="Q893">
        <v>90</v>
      </c>
      <c r="R893">
        <v>90.05</v>
      </c>
      <c r="S893">
        <v>89</v>
      </c>
      <c r="T893">
        <v>9.17</v>
      </c>
      <c r="U893">
        <v>7.5</v>
      </c>
      <c r="W893" t="s">
        <v>497</v>
      </c>
    </row>
    <row r="894" spans="1:23" x14ac:dyDescent="0.25">
      <c r="A894" t="s">
        <v>1377</v>
      </c>
      <c r="B894" t="str">
        <f t="shared" si="13"/>
        <v>GA2A00000225</v>
      </c>
      <c r="C894" t="s">
        <v>227</v>
      </c>
      <c r="D894" t="s">
        <v>85</v>
      </c>
      <c r="E894" t="s">
        <v>496</v>
      </c>
      <c r="F894">
        <v>104757.5</v>
      </c>
      <c r="G894" s="13">
        <v>45742</v>
      </c>
      <c r="H894" s="13">
        <v>45744</v>
      </c>
      <c r="K894">
        <v>104757.5</v>
      </c>
      <c r="P894">
        <v>100</v>
      </c>
      <c r="Q894">
        <v>100</v>
      </c>
      <c r="R894">
        <v>100</v>
      </c>
      <c r="S894">
        <v>100</v>
      </c>
      <c r="T894">
        <v>6.99</v>
      </c>
      <c r="U894">
        <v>6.99</v>
      </c>
      <c r="W894" t="s">
        <v>542</v>
      </c>
    </row>
    <row r="895" spans="1:23" x14ac:dyDescent="0.25">
      <c r="A895" t="s">
        <v>1378</v>
      </c>
      <c r="B895" t="str">
        <f t="shared" si="13"/>
        <v>GA2J00000416</v>
      </c>
      <c r="C895" t="s">
        <v>227</v>
      </c>
      <c r="D895" t="s">
        <v>85</v>
      </c>
      <c r="E895" t="s">
        <v>499</v>
      </c>
      <c r="F895">
        <v>104757.5</v>
      </c>
      <c r="G895" s="13">
        <v>45742</v>
      </c>
      <c r="H895" s="13">
        <v>45744</v>
      </c>
      <c r="K895">
        <v>104757.5</v>
      </c>
      <c r="P895">
        <v>100</v>
      </c>
      <c r="Q895">
        <v>100</v>
      </c>
      <c r="R895">
        <v>100</v>
      </c>
      <c r="S895">
        <v>100</v>
      </c>
      <c r="T895">
        <v>6.99</v>
      </c>
      <c r="U895">
        <v>6.99</v>
      </c>
      <c r="W895" t="s">
        <v>542</v>
      </c>
    </row>
    <row r="896" spans="1:23" x14ac:dyDescent="0.25">
      <c r="A896" t="s">
        <v>1379</v>
      </c>
      <c r="B896" t="str">
        <f t="shared" si="13"/>
        <v>GA2K00000140</v>
      </c>
      <c r="C896" t="s">
        <v>227</v>
      </c>
      <c r="D896" t="s">
        <v>85</v>
      </c>
      <c r="E896" t="s">
        <v>516</v>
      </c>
      <c r="F896">
        <v>104757.5</v>
      </c>
      <c r="G896" s="13">
        <v>45742</v>
      </c>
      <c r="H896" s="13">
        <v>45744</v>
      </c>
      <c r="K896">
        <v>104757.5</v>
      </c>
      <c r="P896">
        <v>100</v>
      </c>
      <c r="Q896">
        <v>100</v>
      </c>
      <c r="R896">
        <v>100</v>
      </c>
      <c r="S896">
        <v>100</v>
      </c>
      <c r="T896">
        <v>6.99</v>
      </c>
      <c r="U896">
        <v>6.99</v>
      </c>
      <c r="W896" t="s">
        <v>542</v>
      </c>
    </row>
    <row r="897" spans="1:23" x14ac:dyDescent="0.25">
      <c r="A897" t="s">
        <v>1380</v>
      </c>
      <c r="B897" t="str">
        <f t="shared" si="13"/>
        <v>GA2B00000190</v>
      </c>
      <c r="C897" t="s">
        <v>227</v>
      </c>
      <c r="D897" t="s">
        <v>85</v>
      </c>
      <c r="E897" t="s">
        <v>507</v>
      </c>
      <c r="F897">
        <v>104757.5</v>
      </c>
      <c r="G897" s="13">
        <v>45742</v>
      </c>
      <c r="H897" s="13">
        <v>45744</v>
      </c>
      <c r="K897">
        <v>104757.5</v>
      </c>
      <c r="P897">
        <v>100</v>
      </c>
      <c r="Q897">
        <v>100</v>
      </c>
      <c r="R897">
        <v>100</v>
      </c>
      <c r="S897">
        <v>100</v>
      </c>
      <c r="T897">
        <v>6.99</v>
      </c>
      <c r="U897">
        <v>6.99</v>
      </c>
      <c r="W897" t="s">
        <v>542</v>
      </c>
    </row>
    <row r="898" spans="1:23" x14ac:dyDescent="0.25">
      <c r="A898" t="s">
        <v>1381</v>
      </c>
      <c r="B898" t="str">
        <f t="shared" si="13"/>
        <v>GA2L00000024</v>
      </c>
      <c r="C898" t="s">
        <v>227</v>
      </c>
      <c r="D898" t="s">
        <v>85</v>
      </c>
      <c r="E898" t="s">
        <v>547</v>
      </c>
      <c r="F898">
        <v>104757.5</v>
      </c>
      <c r="G898" s="13">
        <v>45742</v>
      </c>
      <c r="H898" s="13">
        <v>45744</v>
      </c>
      <c r="K898">
        <v>104757.5</v>
      </c>
      <c r="P898">
        <v>100</v>
      </c>
      <c r="Q898">
        <v>100</v>
      </c>
      <c r="R898">
        <v>100</v>
      </c>
      <c r="S898">
        <v>100</v>
      </c>
      <c r="T898">
        <v>6.99</v>
      </c>
      <c r="U898">
        <v>6.99</v>
      </c>
      <c r="W898" t="s">
        <v>542</v>
      </c>
    </row>
    <row r="899" spans="1:23" x14ac:dyDescent="0.25">
      <c r="A899" t="s">
        <v>1382</v>
      </c>
      <c r="B899" t="str">
        <f t="shared" si="13"/>
        <v>GA2C00000074</v>
      </c>
      <c r="C899" t="s">
        <v>227</v>
      </c>
      <c r="D899" t="s">
        <v>85</v>
      </c>
      <c r="E899" t="s">
        <v>549</v>
      </c>
      <c r="F899">
        <v>104757.5</v>
      </c>
      <c r="G899" s="13">
        <v>45742</v>
      </c>
      <c r="H899" s="13">
        <v>45744</v>
      </c>
      <c r="K899">
        <v>104757.5</v>
      </c>
      <c r="P899">
        <v>100</v>
      </c>
      <c r="Q899">
        <v>100</v>
      </c>
      <c r="R899">
        <v>100</v>
      </c>
      <c r="S899">
        <v>100</v>
      </c>
      <c r="T899">
        <v>6.99</v>
      </c>
      <c r="U899">
        <v>6.99</v>
      </c>
      <c r="W899" t="s">
        <v>542</v>
      </c>
    </row>
    <row r="900" spans="1:23" x14ac:dyDescent="0.25">
      <c r="A900" t="s">
        <v>1383</v>
      </c>
      <c r="B900" t="str">
        <f t="shared" si="13"/>
        <v>GA2M00000023</v>
      </c>
      <c r="C900" t="s">
        <v>227</v>
      </c>
      <c r="D900" t="s">
        <v>85</v>
      </c>
      <c r="E900" t="s">
        <v>551</v>
      </c>
      <c r="F900">
        <v>48562.5</v>
      </c>
      <c r="G900" s="13">
        <v>45742</v>
      </c>
      <c r="H900" s="13">
        <v>45744</v>
      </c>
      <c r="K900">
        <v>48562.5</v>
      </c>
      <c r="P900">
        <v>100</v>
      </c>
      <c r="Q900">
        <v>100</v>
      </c>
      <c r="R900">
        <v>100</v>
      </c>
      <c r="S900">
        <v>100</v>
      </c>
      <c r="T900">
        <v>6.99</v>
      </c>
      <c r="U900">
        <v>6.99</v>
      </c>
      <c r="W900" t="s">
        <v>542</v>
      </c>
    </row>
    <row r="901" spans="1:23" x14ac:dyDescent="0.25">
      <c r="A901" t="s">
        <v>1384</v>
      </c>
      <c r="B901" t="str">
        <f t="shared" ref="B901:B964" si="14">MID(A901,1,12)</f>
        <v>GA2N00000014</v>
      </c>
      <c r="C901" t="s">
        <v>227</v>
      </c>
      <c r="D901" t="s">
        <v>85</v>
      </c>
      <c r="E901" t="s">
        <v>553</v>
      </c>
      <c r="F901">
        <v>48562.5</v>
      </c>
      <c r="G901" s="13">
        <v>45742</v>
      </c>
      <c r="H901" s="13">
        <v>45744</v>
      </c>
      <c r="K901">
        <v>48562.5</v>
      </c>
      <c r="P901">
        <v>100</v>
      </c>
      <c r="Q901">
        <v>100</v>
      </c>
      <c r="R901">
        <v>100</v>
      </c>
      <c r="S901">
        <v>100</v>
      </c>
      <c r="T901">
        <v>6.99</v>
      </c>
      <c r="U901">
        <v>6.99</v>
      </c>
      <c r="W901" t="s">
        <v>542</v>
      </c>
    </row>
    <row r="902" spans="1:23" x14ac:dyDescent="0.25">
      <c r="A902" t="s">
        <v>1385</v>
      </c>
      <c r="B902" t="str">
        <f t="shared" si="14"/>
        <v>CG2B00000030</v>
      </c>
      <c r="C902" t="s">
        <v>229</v>
      </c>
      <c r="D902" t="s">
        <v>85</v>
      </c>
      <c r="E902" t="s">
        <v>507</v>
      </c>
      <c r="G902" s="13">
        <v>45748</v>
      </c>
      <c r="H902" s="13">
        <v>45750</v>
      </c>
      <c r="J902">
        <v>0</v>
      </c>
      <c r="N902">
        <v>0</v>
      </c>
      <c r="S902" t="s">
        <v>643</v>
      </c>
      <c r="W902" t="s">
        <v>497</v>
      </c>
    </row>
    <row r="903" spans="1:23" x14ac:dyDescent="0.25">
      <c r="A903" t="s">
        <v>1386</v>
      </c>
      <c r="B903" t="str">
        <f t="shared" si="14"/>
        <v>GQ2A00000031</v>
      </c>
      <c r="C903" t="s">
        <v>528</v>
      </c>
      <c r="D903" t="s">
        <v>85</v>
      </c>
      <c r="E903" t="s">
        <v>496</v>
      </c>
      <c r="F903">
        <v>50000</v>
      </c>
      <c r="G903" s="13">
        <v>45748</v>
      </c>
      <c r="H903" s="13">
        <v>45750</v>
      </c>
      <c r="I903">
        <v>42992</v>
      </c>
      <c r="J903">
        <v>7008</v>
      </c>
      <c r="K903">
        <v>50000</v>
      </c>
      <c r="N903">
        <v>23.076923076923077</v>
      </c>
      <c r="O903">
        <v>92.535399999999996</v>
      </c>
      <c r="P903">
        <v>114.636</v>
      </c>
      <c r="Q903">
        <v>92.5</v>
      </c>
      <c r="R903">
        <v>95</v>
      </c>
      <c r="S903">
        <v>91</v>
      </c>
      <c r="T903">
        <v>10.75</v>
      </c>
      <c r="U903">
        <v>6.5</v>
      </c>
      <c r="W903" t="s">
        <v>497</v>
      </c>
    </row>
    <row r="904" spans="1:23" x14ac:dyDescent="0.25">
      <c r="A904" t="s">
        <v>1387</v>
      </c>
      <c r="B904" t="str">
        <f t="shared" si="14"/>
        <v>TD2J00000777</v>
      </c>
      <c r="C904" t="s">
        <v>237</v>
      </c>
      <c r="D904" t="s">
        <v>85</v>
      </c>
      <c r="E904" t="s">
        <v>499</v>
      </c>
      <c r="F904">
        <v>15000</v>
      </c>
      <c r="G904" s="13">
        <v>45749</v>
      </c>
      <c r="H904" s="13">
        <v>45751</v>
      </c>
      <c r="I904">
        <v>0</v>
      </c>
      <c r="J904">
        <v>4896</v>
      </c>
      <c r="K904">
        <v>4896</v>
      </c>
      <c r="N904">
        <v>25</v>
      </c>
      <c r="O904">
        <v>90.004099999999994</v>
      </c>
      <c r="P904">
        <v>32.64</v>
      </c>
      <c r="Q904">
        <v>90</v>
      </c>
      <c r="R904">
        <v>91</v>
      </c>
      <c r="S904">
        <v>90</v>
      </c>
      <c r="T904">
        <v>10.47</v>
      </c>
      <c r="U904">
        <v>6.5</v>
      </c>
      <c r="W904" t="s">
        <v>497</v>
      </c>
    </row>
    <row r="905" spans="1:23" x14ac:dyDescent="0.25">
      <c r="A905" t="s">
        <v>1388</v>
      </c>
      <c r="B905" t="str">
        <f t="shared" si="14"/>
        <v>CM2J00000162</v>
      </c>
      <c r="C905" t="s">
        <v>225</v>
      </c>
      <c r="D905" t="s">
        <v>85</v>
      </c>
      <c r="E905" t="s">
        <v>499</v>
      </c>
      <c r="F905">
        <v>25000</v>
      </c>
      <c r="G905" s="13">
        <v>45754</v>
      </c>
      <c r="H905" s="13">
        <v>45756</v>
      </c>
      <c r="I905">
        <v>9005</v>
      </c>
      <c r="J905">
        <v>0</v>
      </c>
      <c r="K905">
        <v>9005</v>
      </c>
      <c r="N905">
        <v>13.636363636363635</v>
      </c>
      <c r="O905">
        <v>95.002799999999993</v>
      </c>
      <c r="P905">
        <v>56.02</v>
      </c>
      <c r="Q905">
        <v>95</v>
      </c>
      <c r="R905">
        <v>100</v>
      </c>
      <c r="S905">
        <v>93</v>
      </c>
      <c r="T905">
        <v>7.9</v>
      </c>
      <c r="U905">
        <v>6</v>
      </c>
      <c r="W905" t="s">
        <v>497</v>
      </c>
    </row>
    <row r="906" spans="1:23" x14ac:dyDescent="0.25">
      <c r="A906" t="s">
        <v>1389</v>
      </c>
      <c r="B906" t="str">
        <f t="shared" si="14"/>
        <v>CG2A00000635</v>
      </c>
      <c r="C906" t="s">
        <v>229</v>
      </c>
      <c r="D906" t="s">
        <v>85</v>
      </c>
      <c r="E906" t="s">
        <v>496</v>
      </c>
      <c r="F906">
        <v>25000</v>
      </c>
      <c r="G906" s="13">
        <v>45755</v>
      </c>
      <c r="H906" s="13">
        <v>45757</v>
      </c>
      <c r="I906">
        <v>400</v>
      </c>
      <c r="J906">
        <v>9120</v>
      </c>
      <c r="K906">
        <v>9520</v>
      </c>
      <c r="N906">
        <v>20.833333333333336</v>
      </c>
      <c r="O906">
        <v>90.605000000000004</v>
      </c>
      <c r="P906">
        <v>38.119999999999997</v>
      </c>
      <c r="Q906">
        <v>90</v>
      </c>
      <c r="R906">
        <v>92</v>
      </c>
      <c r="S906">
        <v>89</v>
      </c>
      <c r="T906">
        <v>10.85</v>
      </c>
      <c r="U906">
        <v>5.5</v>
      </c>
      <c r="W906" t="s">
        <v>497</v>
      </c>
    </row>
    <row r="907" spans="1:23" x14ac:dyDescent="0.25">
      <c r="A907" t="s">
        <v>1390</v>
      </c>
      <c r="B907" t="str">
        <f t="shared" si="14"/>
        <v>GA2A00000233</v>
      </c>
      <c r="C907" t="s">
        <v>227</v>
      </c>
      <c r="D907" t="s">
        <v>85</v>
      </c>
      <c r="E907" t="s">
        <v>496</v>
      </c>
      <c r="F907">
        <v>17986.29</v>
      </c>
      <c r="G907" s="13">
        <v>45390</v>
      </c>
      <c r="H907" s="13">
        <v>45392</v>
      </c>
      <c r="I907">
        <v>8738.69</v>
      </c>
      <c r="J907">
        <v>9247.6</v>
      </c>
      <c r="K907">
        <v>17986.29</v>
      </c>
      <c r="P907">
        <v>100</v>
      </c>
      <c r="W907" t="s">
        <v>1391</v>
      </c>
    </row>
    <row r="908" spans="1:23" x14ac:dyDescent="0.25">
      <c r="A908" t="s">
        <v>1392</v>
      </c>
      <c r="B908" t="str">
        <f t="shared" si="14"/>
        <v>GA2J00000424</v>
      </c>
      <c r="C908" t="s">
        <v>227</v>
      </c>
      <c r="D908" t="s">
        <v>85</v>
      </c>
      <c r="E908" t="s">
        <v>499</v>
      </c>
      <c r="F908">
        <v>18200.810000000001</v>
      </c>
      <c r="G908" s="13">
        <v>45755</v>
      </c>
      <c r="H908" s="13">
        <v>45757</v>
      </c>
      <c r="J908">
        <v>18200.810000000001</v>
      </c>
      <c r="K908">
        <v>18200.810000000001</v>
      </c>
      <c r="P908">
        <v>100</v>
      </c>
      <c r="W908" t="s">
        <v>1391</v>
      </c>
    </row>
    <row r="909" spans="1:23" x14ac:dyDescent="0.25">
      <c r="A909" t="s">
        <v>1393</v>
      </c>
      <c r="B909" t="str">
        <f t="shared" si="14"/>
        <v>CG2B00000030</v>
      </c>
      <c r="C909" t="s">
        <v>229</v>
      </c>
      <c r="D909" t="s">
        <v>85</v>
      </c>
      <c r="E909" t="s">
        <v>507</v>
      </c>
      <c r="F909">
        <v>20000</v>
      </c>
      <c r="G909" s="13">
        <v>45755</v>
      </c>
      <c r="H909" s="13">
        <v>45757</v>
      </c>
      <c r="I909">
        <v>9000</v>
      </c>
      <c r="J909">
        <v>11000</v>
      </c>
      <c r="K909">
        <v>20000</v>
      </c>
      <c r="N909">
        <v>25</v>
      </c>
      <c r="O909">
        <v>97.129000000000005</v>
      </c>
      <c r="P909">
        <v>107.04649999999999</v>
      </c>
      <c r="Q909">
        <v>91.5</v>
      </c>
      <c r="R909">
        <v>94</v>
      </c>
      <c r="S909">
        <v>91.5</v>
      </c>
      <c r="T909">
        <v>9.58</v>
      </c>
      <c r="U909">
        <v>6.5</v>
      </c>
      <c r="W909" t="s">
        <v>497</v>
      </c>
    </row>
    <row r="910" spans="1:23" x14ac:dyDescent="0.25">
      <c r="A910" t="s">
        <v>1394</v>
      </c>
      <c r="B910" t="str">
        <f t="shared" si="14"/>
        <v>CM2J00000170</v>
      </c>
      <c r="C910" t="s">
        <v>225</v>
      </c>
      <c r="D910" t="s">
        <v>85</v>
      </c>
      <c r="E910" t="s">
        <v>499</v>
      </c>
      <c r="G910" s="13">
        <v>45761</v>
      </c>
      <c r="H910" s="13">
        <v>45763</v>
      </c>
      <c r="J910">
        <v>0</v>
      </c>
      <c r="N910">
        <v>0</v>
      </c>
      <c r="S910" t="s">
        <v>643</v>
      </c>
      <c r="W910" t="s">
        <v>497</v>
      </c>
    </row>
    <row r="911" spans="1:23" x14ac:dyDescent="0.25">
      <c r="A911" t="s">
        <v>1184</v>
      </c>
      <c r="B911" t="str">
        <f t="shared" si="14"/>
        <v>CM2J00000113</v>
      </c>
      <c r="C911" t="s">
        <v>225</v>
      </c>
      <c r="D911" t="s">
        <v>85</v>
      </c>
      <c r="E911" t="s">
        <v>499</v>
      </c>
      <c r="F911">
        <v>15000</v>
      </c>
      <c r="G911" s="13">
        <v>45761</v>
      </c>
      <c r="H911" s="13">
        <v>45763</v>
      </c>
      <c r="I911">
        <v>3500</v>
      </c>
      <c r="J911">
        <v>0</v>
      </c>
      <c r="K911">
        <v>3500</v>
      </c>
      <c r="N911">
        <v>4.5454545454545459</v>
      </c>
      <c r="O911">
        <v>101.5137</v>
      </c>
      <c r="P911">
        <v>23.333300000000001</v>
      </c>
      <c r="Q911">
        <v>96</v>
      </c>
      <c r="R911">
        <v>96</v>
      </c>
      <c r="S911">
        <v>96</v>
      </c>
      <c r="T911">
        <v>5.44</v>
      </c>
      <c r="U911">
        <v>6.25</v>
      </c>
      <c r="W911" t="s">
        <v>497</v>
      </c>
    </row>
    <row r="912" spans="1:23" x14ac:dyDescent="0.25">
      <c r="A912" t="s">
        <v>1395</v>
      </c>
      <c r="B912" t="str">
        <f t="shared" si="14"/>
        <v>CM2J00000089</v>
      </c>
      <c r="C912" t="s">
        <v>225</v>
      </c>
      <c r="D912" t="s">
        <v>85</v>
      </c>
      <c r="E912" t="s">
        <v>499</v>
      </c>
      <c r="F912">
        <v>15000</v>
      </c>
      <c r="G912" s="13">
        <v>45761</v>
      </c>
      <c r="H912" s="13">
        <v>45763</v>
      </c>
      <c r="I912">
        <v>3001</v>
      </c>
      <c r="J912">
        <v>0</v>
      </c>
      <c r="K912">
        <v>3001</v>
      </c>
      <c r="N912">
        <v>9.0909090909090917</v>
      </c>
      <c r="O912">
        <v>99.634399999999999</v>
      </c>
      <c r="P912">
        <v>20.006699999999999</v>
      </c>
      <c r="Q912">
        <v>96.5</v>
      </c>
      <c r="R912">
        <v>97</v>
      </c>
      <c r="S912">
        <v>96.5</v>
      </c>
      <c r="T912">
        <v>5.88</v>
      </c>
      <c r="U912">
        <v>5.5</v>
      </c>
      <c r="W912" t="s">
        <v>497</v>
      </c>
    </row>
    <row r="913" spans="1:23" x14ac:dyDescent="0.25">
      <c r="A913" t="s">
        <v>1396</v>
      </c>
      <c r="B913" t="str">
        <f t="shared" si="14"/>
        <v>CM2C00000037</v>
      </c>
      <c r="C913" t="s">
        <v>225</v>
      </c>
      <c r="D913" t="s">
        <v>85</v>
      </c>
      <c r="E913" t="s">
        <v>549</v>
      </c>
      <c r="F913">
        <v>15000</v>
      </c>
      <c r="G913" s="13">
        <v>45761</v>
      </c>
      <c r="H913" s="13">
        <v>45763</v>
      </c>
      <c r="I913">
        <v>13422</v>
      </c>
      <c r="J913">
        <v>0</v>
      </c>
      <c r="K913">
        <v>13422</v>
      </c>
      <c r="N913">
        <v>18.181818181818183</v>
      </c>
      <c r="O913">
        <v>100.8849</v>
      </c>
      <c r="P913">
        <v>89.48</v>
      </c>
      <c r="Q913">
        <v>95</v>
      </c>
      <c r="R913">
        <v>97</v>
      </c>
      <c r="S913">
        <v>95</v>
      </c>
      <c r="T913">
        <v>6.02</v>
      </c>
      <c r="U913">
        <v>6.5</v>
      </c>
      <c r="W913" t="s">
        <v>497</v>
      </c>
    </row>
    <row r="914" spans="1:23" x14ac:dyDescent="0.25">
      <c r="A914" t="s">
        <v>1397</v>
      </c>
      <c r="B914" t="str">
        <f t="shared" si="14"/>
        <v>CM2D00000085</v>
      </c>
      <c r="C914" t="s">
        <v>225</v>
      </c>
      <c r="D914" t="s">
        <v>85</v>
      </c>
      <c r="E914" t="s">
        <v>555</v>
      </c>
      <c r="F914">
        <v>10000</v>
      </c>
      <c r="G914" s="13">
        <v>45761</v>
      </c>
      <c r="H914" s="13">
        <v>45763</v>
      </c>
      <c r="I914">
        <v>10000</v>
      </c>
      <c r="J914">
        <v>0</v>
      </c>
      <c r="K914">
        <v>10000</v>
      </c>
      <c r="N914">
        <v>13.636363636363635</v>
      </c>
      <c r="O914">
        <v>91.072999999999993</v>
      </c>
      <c r="P914">
        <v>114.81399999999999</v>
      </c>
      <c r="Q914">
        <v>91</v>
      </c>
      <c r="R914">
        <v>95</v>
      </c>
      <c r="S914">
        <v>91</v>
      </c>
      <c r="T914">
        <v>9.4</v>
      </c>
      <c r="U914">
        <v>8</v>
      </c>
      <c r="W914" t="s">
        <v>497</v>
      </c>
    </row>
    <row r="915" spans="1:23" x14ac:dyDescent="0.25">
      <c r="A915" t="s">
        <v>1398</v>
      </c>
      <c r="B915" t="str">
        <f t="shared" si="14"/>
        <v>CG2J00000701</v>
      </c>
      <c r="C915" t="s">
        <v>229</v>
      </c>
      <c r="D915" t="s">
        <v>85</v>
      </c>
      <c r="E915" t="s">
        <v>499</v>
      </c>
      <c r="G915" s="13">
        <v>45762</v>
      </c>
      <c r="H915" s="13">
        <v>45764</v>
      </c>
      <c r="J915">
        <v>0</v>
      </c>
      <c r="N915">
        <v>0</v>
      </c>
      <c r="T915" t="s">
        <v>946</v>
      </c>
      <c r="W915" t="s">
        <v>497</v>
      </c>
    </row>
    <row r="916" spans="1:23" x14ac:dyDescent="0.25">
      <c r="A916" t="s">
        <v>1399</v>
      </c>
      <c r="B916" t="str">
        <f t="shared" si="14"/>
        <v>CG2K00000302</v>
      </c>
      <c r="C916" t="s">
        <v>229</v>
      </c>
      <c r="D916" t="s">
        <v>85</v>
      </c>
      <c r="E916" t="s">
        <v>516</v>
      </c>
      <c r="G916" s="13">
        <v>45762</v>
      </c>
      <c r="H916" s="13">
        <v>45764</v>
      </c>
      <c r="J916">
        <v>0</v>
      </c>
      <c r="N916">
        <v>0</v>
      </c>
      <c r="T916" t="s">
        <v>946</v>
      </c>
      <c r="W916" t="s">
        <v>497</v>
      </c>
    </row>
    <row r="917" spans="1:23" x14ac:dyDescent="0.25">
      <c r="A917" t="s">
        <v>1400</v>
      </c>
      <c r="B917" t="str">
        <f t="shared" si="14"/>
        <v>CG2B00000022</v>
      </c>
      <c r="C917" t="s">
        <v>229</v>
      </c>
      <c r="D917" t="s">
        <v>85</v>
      </c>
      <c r="E917" t="s">
        <v>507</v>
      </c>
      <c r="F917">
        <v>25000</v>
      </c>
      <c r="G917" s="13">
        <v>45762</v>
      </c>
      <c r="H917" s="13">
        <v>45764</v>
      </c>
      <c r="I917">
        <v>0</v>
      </c>
      <c r="J917">
        <v>22089.9</v>
      </c>
      <c r="K917">
        <v>22089.9</v>
      </c>
      <c r="N917">
        <v>20.833333333333336</v>
      </c>
      <c r="O917">
        <v>98.553799999999995</v>
      </c>
      <c r="P917">
        <v>88.3596</v>
      </c>
      <c r="Q917">
        <v>90.5</v>
      </c>
      <c r="R917">
        <v>95</v>
      </c>
      <c r="S917">
        <v>90.5</v>
      </c>
      <c r="T917">
        <v>8.0299999999999994</v>
      </c>
      <c r="U917">
        <v>6.5</v>
      </c>
      <c r="W917" t="s">
        <v>497</v>
      </c>
    </row>
    <row r="918" spans="1:23" x14ac:dyDescent="0.25">
      <c r="A918" t="s">
        <v>1332</v>
      </c>
      <c r="B918" t="str">
        <f t="shared" si="14"/>
        <v>GA2A00000209</v>
      </c>
      <c r="C918" t="s">
        <v>227</v>
      </c>
      <c r="D918" t="s">
        <v>85</v>
      </c>
      <c r="E918" t="s">
        <v>496</v>
      </c>
      <c r="G918" s="13">
        <v>45763</v>
      </c>
      <c r="H918" s="13">
        <v>45765</v>
      </c>
      <c r="J918">
        <v>0</v>
      </c>
      <c r="N918">
        <v>0</v>
      </c>
      <c r="S918" t="s">
        <v>643</v>
      </c>
      <c r="W918" t="s">
        <v>1391</v>
      </c>
    </row>
    <row r="919" spans="1:23" x14ac:dyDescent="0.25">
      <c r="A919" t="s">
        <v>973</v>
      </c>
      <c r="B919" t="str">
        <f t="shared" si="14"/>
        <v>GA2B00000158</v>
      </c>
      <c r="C919" t="s">
        <v>227</v>
      </c>
      <c r="D919" t="s">
        <v>85</v>
      </c>
      <c r="E919" t="s">
        <v>507</v>
      </c>
      <c r="F919">
        <v>10000</v>
      </c>
      <c r="G919" s="13">
        <v>45770</v>
      </c>
      <c r="H919" s="13">
        <v>45772</v>
      </c>
      <c r="I919">
        <v>2500</v>
      </c>
      <c r="J919">
        <v>60</v>
      </c>
      <c r="K919">
        <v>2560</v>
      </c>
      <c r="N919">
        <v>14.285714285714285</v>
      </c>
      <c r="O919">
        <v>96.675200000000004</v>
      </c>
      <c r="P919">
        <v>25.7</v>
      </c>
      <c r="Q919">
        <v>90</v>
      </c>
      <c r="R919">
        <v>91</v>
      </c>
      <c r="S919">
        <v>89</v>
      </c>
      <c r="T919">
        <v>7.76</v>
      </c>
      <c r="U919">
        <v>6.5</v>
      </c>
      <c r="W919" t="s">
        <v>497</v>
      </c>
    </row>
    <row r="920" spans="1:23" x14ac:dyDescent="0.25">
      <c r="A920" t="s">
        <v>1401</v>
      </c>
      <c r="B920" t="str">
        <f t="shared" si="14"/>
        <v>TD2J00000785</v>
      </c>
      <c r="C920" t="s">
        <v>237</v>
      </c>
      <c r="D920" t="s">
        <v>85</v>
      </c>
      <c r="E920" t="s">
        <v>499</v>
      </c>
      <c r="F920">
        <v>15000</v>
      </c>
      <c r="G920" s="13">
        <v>45770</v>
      </c>
      <c r="H920" s="13">
        <v>45772</v>
      </c>
      <c r="I920">
        <v>6947.14</v>
      </c>
      <c r="J920">
        <v>8052.86</v>
      </c>
      <c r="K920">
        <v>15000</v>
      </c>
      <c r="N920">
        <v>33.333333333333329</v>
      </c>
      <c r="O920">
        <v>90.392899999999997</v>
      </c>
      <c r="P920">
        <v>150.4563</v>
      </c>
      <c r="Q920">
        <v>90</v>
      </c>
      <c r="R920">
        <v>95</v>
      </c>
      <c r="S920">
        <v>90</v>
      </c>
      <c r="T920">
        <v>10.3</v>
      </c>
      <c r="U920">
        <v>6.5</v>
      </c>
      <c r="W920" t="s">
        <v>497</v>
      </c>
    </row>
    <row r="921" spans="1:23" x14ac:dyDescent="0.25">
      <c r="A921" t="s">
        <v>1402</v>
      </c>
      <c r="B921" t="str">
        <f t="shared" si="14"/>
        <v>CF2A00000066</v>
      </c>
      <c r="C921" t="s">
        <v>634</v>
      </c>
      <c r="D921" t="s">
        <v>85</v>
      </c>
      <c r="E921" t="s">
        <v>496</v>
      </c>
      <c r="F921">
        <v>15000</v>
      </c>
      <c r="G921" s="13">
        <v>45775</v>
      </c>
      <c r="H921" s="13">
        <v>45777</v>
      </c>
      <c r="I921">
        <v>5730</v>
      </c>
      <c r="J921">
        <v>9270</v>
      </c>
      <c r="K921">
        <v>15000</v>
      </c>
      <c r="N921">
        <v>55.555555555555557</v>
      </c>
      <c r="O921">
        <v>92</v>
      </c>
      <c r="P921">
        <v>100</v>
      </c>
      <c r="Q921">
        <v>92</v>
      </c>
      <c r="R921">
        <v>92</v>
      </c>
      <c r="S921">
        <v>92</v>
      </c>
      <c r="T921">
        <v>10.54</v>
      </c>
      <c r="U921">
        <v>6</v>
      </c>
      <c r="W921" t="s">
        <v>875</v>
      </c>
    </row>
    <row r="922" spans="1:23" x14ac:dyDescent="0.25">
      <c r="A922" t="s">
        <v>1403</v>
      </c>
      <c r="B922" t="str">
        <f t="shared" si="14"/>
        <v>CF2J00000133</v>
      </c>
      <c r="C922" t="s">
        <v>634</v>
      </c>
      <c r="D922" t="s">
        <v>85</v>
      </c>
      <c r="E922" t="s">
        <v>499</v>
      </c>
      <c r="F922">
        <v>15000</v>
      </c>
      <c r="G922" s="13">
        <v>45775</v>
      </c>
      <c r="H922" s="13">
        <v>45777</v>
      </c>
      <c r="I922">
        <v>10705</v>
      </c>
      <c r="J922">
        <v>4295</v>
      </c>
      <c r="K922">
        <v>15000</v>
      </c>
      <c r="N922">
        <v>55.555555555555557</v>
      </c>
      <c r="O922">
        <v>91</v>
      </c>
      <c r="P922">
        <v>100</v>
      </c>
      <c r="Q922">
        <v>91</v>
      </c>
      <c r="R922">
        <v>91</v>
      </c>
      <c r="S922">
        <v>91</v>
      </c>
      <c r="T922">
        <v>9.7799999999999994</v>
      </c>
      <c r="U922">
        <v>6.25</v>
      </c>
      <c r="W922" t="s">
        <v>875</v>
      </c>
    </row>
    <row r="923" spans="1:23" x14ac:dyDescent="0.25">
      <c r="A923" t="s">
        <v>1404</v>
      </c>
      <c r="B923" t="str">
        <f t="shared" si="14"/>
        <v>CF2K00000098</v>
      </c>
      <c r="C923" t="s">
        <v>634</v>
      </c>
      <c r="D923" t="s">
        <v>85</v>
      </c>
      <c r="E923" t="s">
        <v>516</v>
      </c>
      <c r="F923">
        <v>10000</v>
      </c>
      <c r="G923" s="13">
        <v>45775</v>
      </c>
      <c r="H923" s="13">
        <v>45777</v>
      </c>
      <c r="I923">
        <v>10000</v>
      </c>
      <c r="J923">
        <v>0</v>
      </c>
      <c r="K923">
        <v>10000</v>
      </c>
      <c r="N923">
        <v>22.222222222222221</v>
      </c>
      <c r="O923">
        <v>90</v>
      </c>
      <c r="P923">
        <v>100</v>
      </c>
      <c r="Q923">
        <v>90</v>
      </c>
      <c r="R923">
        <v>90</v>
      </c>
      <c r="S923">
        <v>90</v>
      </c>
      <c r="T923">
        <v>9.83</v>
      </c>
      <c r="U923">
        <v>6.75</v>
      </c>
      <c r="W923" t="s">
        <v>875</v>
      </c>
    </row>
    <row r="924" spans="1:23" x14ac:dyDescent="0.25">
      <c r="A924" t="s">
        <v>1405</v>
      </c>
      <c r="B924" t="str">
        <f t="shared" si="14"/>
        <v>CF2B00000065</v>
      </c>
      <c r="C924" t="s">
        <v>634</v>
      </c>
      <c r="D924" t="s">
        <v>85</v>
      </c>
      <c r="E924" t="s">
        <v>507</v>
      </c>
      <c r="F924">
        <v>5000</v>
      </c>
      <c r="G924" s="13">
        <v>45775</v>
      </c>
      <c r="H924" s="13">
        <v>45777</v>
      </c>
      <c r="I924">
        <v>2007.01</v>
      </c>
      <c r="J924">
        <v>2992.99</v>
      </c>
      <c r="K924">
        <v>5000</v>
      </c>
      <c r="N924">
        <v>44.444444444444443</v>
      </c>
      <c r="O924">
        <v>89</v>
      </c>
      <c r="P924">
        <v>100</v>
      </c>
      <c r="Q924">
        <v>89</v>
      </c>
      <c r="R924">
        <v>89</v>
      </c>
      <c r="S924">
        <v>89</v>
      </c>
      <c r="T924">
        <v>9.84</v>
      </c>
      <c r="U924">
        <v>7</v>
      </c>
      <c r="W924" t="s">
        <v>875</v>
      </c>
    </row>
    <row r="925" spans="1:23" x14ac:dyDescent="0.25">
      <c r="A925" t="s">
        <v>1406</v>
      </c>
      <c r="B925" t="str">
        <f t="shared" si="14"/>
        <v>CF2C00000023</v>
      </c>
      <c r="C925" t="s">
        <v>634</v>
      </c>
      <c r="D925" t="s">
        <v>85</v>
      </c>
      <c r="E925" t="s">
        <v>549</v>
      </c>
      <c r="F925">
        <v>5000</v>
      </c>
      <c r="G925" s="13">
        <v>45775</v>
      </c>
      <c r="H925" s="13">
        <v>45777</v>
      </c>
      <c r="I925">
        <v>5000</v>
      </c>
      <c r="J925">
        <v>0</v>
      </c>
      <c r="K925">
        <v>5000</v>
      </c>
      <c r="N925">
        <v>11.111111111111111</v>
      </c>
      <c r="O925">
        <v>88</v>
      </c>
      <c r="P925">
        <v>100</v>
      </c>
      <c r="Q925">
        <v>88</v>
      </c>
      <c r="R925">
        <v>88</v>
      </c>
      <c r="S925">
        <v>88</v>
      </c>
      <c r="T925">
        <v>9.92</v>
      </c>
      <c r="U925">
        <v>7.5</v>
      </c>
      <c r="W925" t="s">
        <v>875</v>
      </c>
    </row>
    <row r="926" spans="1:23" x14ac:dyDescent="0.25">
      <c r="A926" t="s">
        <v>1407</v>
      </c>
      <c r="B926" t="str">
        <f t="shared" si="14"/>
        <v>CF2J00000042</v>
      </c>
      <c r="C926" t="s">
        <v>634</v>
      </c>
      <c r="D926" t="s">
        <v>85</v>
      </c>
      <c r="E926" t="s">
        <v>499</v>
      </c>
      <c r="G926" s="13">
        <v>45775</v>
      </c>
      <c r="H926" s="13">
        <v>45777</v>
      </c>
      <c r="J926">
        <v>0</v>
      </c>
      <c r="N926">
        <v>0</v>
      </c>
      <c r="W926" t="s">
        <v>681</v>
      </c>
    </row>
    <row r="927" spans="1:23" x14ac:dyDescent="0.25">
      <c r="A927" t="s">
        <v>881</v>
      </c>
      <c r="B927" t="str">
        <f t="shared" si="14"/>
        <v>CF2J00000059</v>
      </c>
      <c r="C927" t="s">
        <v>634</v>
      </c>
      <c r="D927" t="s">
        <v>85</v>
      </c>
      <c r="E927" t="s">
        <v>499</v>
      </c>
      <c r="G927" s="13">
        <v>45775</v>
      </c>
      <c r="H927" s="13">
        <v>45777</v>
      </c>
      <c r="J927">
        <v>0</v>
      </c>
      <c r="N927">
        <v>0</v>
      </c>
      <c r="W927" t="s">
        <v>681</v>
      </c>
    </row>
    <row r="928" spans="1:23" x14ac:dyDescent="0.25">
      <c r="A928" t="s">
        <v>891</v>
      </c>
      <c r="B928" t="str">
        <f t="shared" si="14"/>
        <v>CF2J00000067</v>
      </c>
      <c r="C928" t="s">
        <v>634</v>
      </c>
      <c r="D928" t="s">
        <v>85</v>
      </c>
      <c r="E928" t="s">
        <v>499</v>
      </c>
      <c r="G928" s="13">
        <v>45775</v>
      </c>
      <c r="H928" s="13">
        <v>45777</v>
      </c>
      <c r="J928">
        <v>0</v>
      </c>
      <c r="N928">
        <v>0</v>
      </c>
      <c r="W928" t="s">
        <v>681</v>
      </c>
    </row>
    <row r="929" spans="1:23" x14ac:dyDescent="0.25">
      <c r="A929" t="s">
        <v>1408</v>
      </c>
      <c r="B929" t="str">
        <f t="shared" si="14"/>
        <v>GA2A00000316</v>
      </c>
      <c r="C929" t="s">
        <v>227</v>
      </c>
      <c r="D929" t="s">
        <v>85</v>
      </c>
      <c r="E929" t="s">
        <v>496</v>
      </c>
      <c r="F929">
        <v>10835</v>
      </c>
      <c r="G929" s="13">
        <v>45777</v>
      </c>
      <c r="H929" s="13">
        <v>45779</v>
      </c>
      <c r="K929">
        <v>10835</v>
      </c>
      <c r="P929">
        <v>100</v>
      </c>
      <c r="Q929">
        <v>100</v>
      </c>
      <c r="R929">
        <v>100</v>
      </c>
      <c r="S929">
        <v>100</v>
      </c>
      <c r="T929">
        <v>6.25</v>
      </c>
      <c r="U929">
        <v>6.25</v>
      </c>
      <c r="W929" t="s">
        <v>542</v>
      </c>
    </row>
    <row r="930" spans="1:23" x14ac:dyDescent="0.25">
      <c r="A930" t="s">
        <v>1409</v>
      </c>
      <c r="B930" t="str">
        <f t="shared" si="14"/>
        <v>GA2B00000208</v>
      </c>
      <c r="C930" t="s">
        <v>227</v>
      </c>
      <c r="D930" t="s">
        <v>85</v>
      </c>
      <c r="E930" t="s">
        <v>507</v>
      </c>
      <c r="F930">
        <v>16250</v>
      </c>
      <c r="G930" s="13">
        <v>45777</v>
      </c>
      <c r="H930" s="13">
        <v>45779</v>
      </c>
      <c r="K930">
        <v>16250</v>
      </c>
      <c r="P930">
        <v>100</v>
      </c>
      <c r="Q930">
        <v>100</v>
      </c>
      <c r="R930">
        <v>100</v>
      </c>
      <c r="S930">
        <v>100</v>
      </c>
      <c r="T930">
        <v>6.75</v>
      </c>
      <c r="U930">
        <v>6.75</v>
      </c>
      <c r="W930" t="s">
        <v>542</v>
      </c>
    </row>
    <row r="931" spans="1:23" x14ac:dyDescent="0.25">
      <c r="A931" t="s">
        <v>1410</v>
      </c>
      <c r="B931" t="str">
        <f t="shared" si="14"/>
        <v>GA2C00000108</v>
      </c>
      <c r="C931" t="s">
        <v>227</v>
      </c>
      <c r="D931" t="s">
        <v>85</v>
      </c>
      <c r="E931" t="s">
        <v>549</v>
      </c>
      <c r="F931">
        <v>10800</v>
      </c>
      <c r="G931" s="13">
        <v>45777</v>
      </c>
      <c r="H931" s="13">
        <v>45779</v>
      </c>
      <c r="K931">
        <v>10800</v>
      </c>
      <c r="P931">
        <v>100</v>
      </c>
      <c r="Q931">
        <v>100</v>
      </c>
      <c r="R931">
        <v>100</v>
      </c>
      <c r="S931">
        <v>100</v>
      </c>
      <c r="T931">
        <v>6.75</v>
      </c>
      <c r="U931">
        <v>6.75</v>
      </c>
      <c r="W931" t="s">
        <v>542</v>
      </c>
    </row>
    <row r="932" spans="1:23" x14ac:dyDescent="0.25">
      <c r="A932" t="s">
        <v>1411</v>
      </c>
      <c r="B932" t="str">
        <f t="shared" si="14"/>
        <v>GA2A00000308</v>
      </c>
      <c r="C932" t="s">
        <v>227</v>
      </c>
      <c r="D932" t="s">
        <v>85</v>
      </c>
      <c r="E932" t="s">
        <v>496</v>
      </c>
      <c r="G932" s="13">
        <v>45777</v>
      </c>
      <c r="H932" s="13">
        <v>45779</v>
      </c>
      <c r="J932">
        <v>0</v>
      </c>
      <c r="N932">
        <v>0</v>
      </c>
      <c r="S932" t="s">
        <v>643</v>
      </c>
      <c r="W932" t="s">
        <v>497</v>
      </c>
    </row>
    <row r="933" spans="1:23" x14ac:dyDescent="0.25">
      <c r="A933" t="s">
        <v>1350</v>
      </c>
      <c r="B933" t="str">
        <f t="shared" si="14"/>
        <v>GA2B00000182</v>
      </c>
      <c r="C933" t="s">
        <v>227</v>
      </c>
      <c r="D933" t="s">
        <v>85</v>
      </c>
      <c r="E933" t="s">
        <v>507</v>
      </c>
      <c r="G933" s="13">
        <v>45807</v>
      </c>
      <c r="H933" s="13">
        <v>45809</v>
      </c>
      <c r="J933">
        <v>0</v>
      </c>
      <c r="N933">
        <v>0</v>
      </c>
      <c r="S933" t="s">
        <v>643</v>
      </c>
      <c r="W933" t="s">
        <v>497</v>
      </c>
    </row>
    <row r="934" spans="1:23" x14ac:dyDescent="0.25">
      <c r="A934" t="s">
        <v>1412</v>
      </c>
      <c r="B934" t="str">
        <f t="shared" si="14"/>
        <v>GA2J00000507</v>
      </c>
      <c r="C934" t="s">
        <v>227</v>
      </c>
      <c r="D934" t="s">
        <v>85</v>
      </c>
      <c r="E934" t="s">
        <v>499</v>
      </c>
      <c r="G934" s="13">
        <v>45777</v>
      </c>
      <c r="H934" s="13">
        <v>45779</v>
      </c>
      <c r="J934">
        <v>0</v>
      </c>
      <c r="N934">
        <v>0</v>
      </c>
      <c r="S934" t="s">
        <v>643</v>
      </c>
      <c r="W934" t="s">
        <v>497</v>
      </c>
    </row>
    <row r="935" spans="1:23" x14ac:dyDescent="0.25">
      <c r="A935" t="s">
        <v>1413</v>
      </c>
      <c r="B935" t="str">
        <f t="shared" si="14"/>
        <v>TD2A00000941</v>
      </c>
      <c r="C935" t="s">
        <v>237</v>
      </c>
      <c r="D935" t="s">
        <v>85</v>
      </c>
      <c r="E935" t="s">
        <v>496</v>
      </c>
      <c r="F935">
        <v>15000</v>
      </c>
      <c r="G935" s="13">
        <v>45777</v>
      </c>
      <c r="H935" s="13">
        <v>45779</v>
      </c>
      <c r="I935">
        <v>9494.31</v>
      </c>
      <c r="J935">
        <v>5505.6900000000005</v>
      </c>
      <c r="K935">
        <v>15000</v>
      </c>
      <c r="N935">
        <v>75</v>
      </c>
      <c r="O935">
        <v>91.422200000000004</v>
      </c>
      <c r="P935">
        <v>126.40130000000001</v>
      </c>
      <c r="Q935">
        <v>90</v>
      </c>
      <c r="R935">
        <v>94</v>
      </c>
      <c r="S935">
        <v>90</v>
      </c>
      <c r="T935">
        <v>11.42</v>
      </c>
      <c r="U935">
        <v>6.5</v>
      </c>
      <c r="W935" t="s">
        <v>497</v>
      </c>
    </row>
    <row r="936" spans="1:23" x14ac:dyDescent="0.25">
      <c r="A936" t="s">
        <v>1414</v>
      </c>
      <c r="B936" t="str">
        <f t="shared" si="14"/>
        <v>CF2C00000023</v>
      </c>
      <c r="C936" t="s">
        <v>634</v>
      </c>
      <c r="D936" t="s">
        <v>85</v>
      </c>
      <c r="E936" t="s">
        <v>549</v>
      </c>
      <c r="F936">
        <v>10000</v>
      </c>
      <c r="G936" s="13">
        <v>45782</v>
      </c>
      <c r="H936" s="13">
        <v>45784</v>
      </c>
      <c r="I936">
        <v>8534.83</v>
      </c>
      <c r="J936">
        <v>1465.17</v>
      </c>
      <c r="K936">
        <v>10000</v>
      </c>
      <c r="N936">
        <v>22.222222222222221</v>
      </c>
      <c r="O936">
        <v>88.143799999999999</v>
      </c>
      <c r="P936">
        <v>100</v>
      </c>
      <c r="Q936">
        <v>88</v>
      </c>
      <c r="R936">
        <v>88</v>
      </c>
      <c r="S936">
        <v>88</v>
      </c>
      <c r="T936">
        <v>9.89</v>
      </c>
      <c r="U936">
        <v>7.5</v>
      </c>
      <c r="W936" t="s">
        <v>497</v>
      </c>
    </row>
    <row r="937" spans="1:23" x14ac:dyDescent="0.25">
      <c r="A937" t="s">
        <v>1415</v>
      </c>
      <c r="B937" t="str">
        <f t="shared" si="14"/>
        <v>CF2J00000133</v>
      </c>
      <c r="C937" t="s">
        <v>634</v>
      </c>
      <c r="D937" t="s">
        <v>85</v>
      </c>
      <c r="E937" t="s">
        <v>499</v>
      </c>
      <c r="F937">
        <v>7500</v>
      </c>
      <c r="G937" s="13">
        <v>45782</v>
      </c>
      <c r="H937" s="13">
        <v>45784</v>
      </c>
      <c r="I937">
        <v>4500</v>
      </c>
      <c r="J937">
        <v>500</v>
      </c>
      <c r="K937">
        <v>5000</v>
      </c>
      <c r="N937">
        <v>22.222222222222221</v>
      </c>
      <c r="O937">
        <v>91.119900000000001</v>
      </c>
      <c r="P937">
        <v>66.666700000000006</v>
      </c>
      <c r="Q937">
        <v>91</v>
      </c>
      <c r="R937">
        <v>91</v>
      </c>
      <c r="S937">
        <v>91</v>
      </c>
      <c r="T937">
        <v>9.73</v>
      </c>
      <c r="U937">
        <v>6.25</v>
      </c>
      <c r="W937" t="s">
        <v>497</v>
      </c>
    </row>
    <row r="938" spans="1:23" x14ac:dyDescent="0.25">
      <c r="A938" t="s">
        <v>891</v>
      </c>
      <c r="B938" t="str">
        <f t="shared" si="14"/>
        <v>CF2J00000067</v>
      </c>
      <c r="C938" t="s">
        <v>634</v>
      </c>
      <c r="D938" t="s">
        <v>85</v>
      </c>
      <c r="E938" t="s">
        <v>499</v>
      </c>
      <c r="G938" s="13">
        <v>45782</v>
      </c>
      <c r="H938" s="13">
        <v>45784</v>
      </c>
      <c r="J938">
        <v>0</v>
      </c>
      <c r="N938">
        <v>0</v>
      </c>
      <c r="W938" t="s">
        <v>681</v>
      </c>
    </row>
    <row r="939" spans="1:23" x14ac:dyDescent="0.25">
      <c r="A939" t="s">
        <v>1395</v>
      </c>
      <c r="B939" t="str">
        <f t="shared" si="14"/>
        <v>CM2J00000089</v>
      </c>
      <c r="C939" t="s">
        <v>225</v>
      </c>
      <c r="D939" t="s">
        <v>85</v>
      </c>
      <c r="E939" t="s">
        <v>499</v>
      </c>
      <c r="F939">
        <v>10000</v>
      </c>
      <c r="G939" s="13">
        <v>45782</v>
      </c>
      <c r="H939" s="13">
        <v>45784</v>
      </c>
      <c r="I939">
        <v>9000</v>
      </c>
      <c r="J939">
        <v>0</v>
      </c>
      <c r="K939">
        <v>9000</v>
      </c>
      <c r="N939">
        <v>9.0909090909090917</v>
      </c>
      <c r="O939">
        <v>99.950699999999998</v>
      </c>
      <c r="P939">
        <v>90.1</v>
      </c>
      <c r="Q939">
        <v>96.5</v>
      </c>
      <c r="R939">
        <v>96.5</v>
      </c>
      <c r="S939">
        <v>89</v>
      </c>
      <c r="T939">
        <v>5.55</v>
      </c>
      <c r="U939">
        <v>5.5</v>
      </c>
      <c r="W939" t="s">
        <v>497</v>
      </c>
    </row>
    <row r="940" spans="1:23" x14ac:dyDescent="0.25">
      <c r="A940" t="s">
        <v>1416</v>
      </c>
      <c r="B940" t="str">
        <f t="shared" si="14"/>
        <v>CM2J00000113</v>
      </c>
      <c r="C940" t="s">
        <v>225</v>
      </c>
      <c r="D940" t="s">
        <v>85</v>
      </c>
      <c r="E940" t="s">
        <v>499</v>
      </c>
      <c r="F940">
        <v>10000</v>
      </c>
      <c r="G940" s="13">
        <v>45782</v>
      </c>
      <c r="H940" s="13">
        <v>45784</v>
      </c>
      <c r="I940">
        <v>9000</v>
      </c>
      <c r="J940">
        <v>0</v>
      </c>
      <c r="K940">
        <v>9000</v>
      </c>
      <c r="N940">
        <v>13.636363636363635</v>
      </c>
      <c r="O940">
        <v>102.3733</v>
      </c>
      <c r="P940">
        <v>110.1</v>
      </c>
      <c r="Q940">
        <v>96.5</v>
      </c>
      <c r="R940">
        <v>96.5</v>
      </c>
      <c r="S940">
        <v>89</v>
      </c>
      <c r="T940">
        <v>4.99</v>
      </c>
      <c r="U940">
        <v>6.25</v>
      </c>
      <c r="W940" t="s">
        <v>497</v>
      </c>
    </row>
    <row r="941" spans="1:23" x14ac:dyDescent="0.25">
      <c r="A941" t="s">
        <v>1396</v>
      </c>
      <c r="B941" t="str">
        <f t="shared" si="14"/>
        <v>CM2C00000037</v>
      </c>
      <c r="C941" t="s">
        <v>225</v>
      </c>
      <c r="D941" t="s">
        <v>85</v>
      </c>
      <c r="E941" t="s">
        <v>549</v>
      </c>
      <c r="F941">
        <v>10000</v>
      </c>
      <c r="G941" s="13">
        <v>45782</v>
      </c>
      <c r="H941" s="13">
        <v>45784</v>
      </c>
      <c r="I941">
        <v>10000</v>
      </c>
      <c r="J941">
        <v>0</v>
      </c>
      <c r="K941">
        <v>10000</v>
      </c>
      <c r="N941">
        <v>9.0909090909090917</v>
      </c>
      <c r="O941">
        <v>102.2936</v>
      </c>
      <c r="P941">
        <v>133.50540000000001</v>
      </c>
      <c r="Q941">
        <v>96.55</v>
      </c>
      <c r="R941">
        <v>96.6</v>
      </c>
      <c r="S941">
        <v>89</v>
      </c>
      <c r="T941">
        <v>5.28</v>
      </c>
      <c r="U941">
        <v>6.5</v>
      </c>
      <c r="W941" t="s">
        <v>497</v>
      </c>
    </row>
    <row r="942" spans="1:23" x14ac:dyDescent="0.25">
      <c r="A942" t="s">
        <v>1417</v>
      </c>
      <c r="B942" t="str">
        <f t="shared" si="14"/>
        <v>CG2A00000650</v>
      </c>
      <c r="C942" t="s">
        <v>229</v>
      </c>
      <c r="D942" t="s">
        <v>85</v>
      </c>
      <c r="E942" t="s">
        <v>496</v>
      </c>
      <c r="G942" s="13">
        <v>45783</v>
      </c>
      <c r="H942" s="13">
        <v>45785</v>
      </c>
      <c r="J942">
        <v>0</v>
      </c>
      <c r="N942">
        <v>0</v>
      </c>
      <c r="S942" t="s">
        <v>1418</v>
      </c>
      <c r="W942" t="s">
        <v>497</v>
      </c>
    </row>
    <row r="943" spans="1:23" x14ac:dyDescent="0.25">
      <c r="A943" t="s">
        <v>1419</v>
      </c>
      <c r="B943" t="str">
        <f t="shared" si="14"/>
        <v>CG2J00000446</v>
      </c>
      <c r="C943" t="s">
        <v>229</v>
      </c>
      <c r="D943" t="s">
        <v>85</v>
      </c>
      <c r="E943" t="s">
        <v>499</v>
      </c>
      <c r="F943">
        <v>15000</v>
      </c>
      <c r="G943" s="13">
        <v>45783</v>
      </c>
      <c r="H943" s="13">
        <v>45785</v>
      </c>
      <c r="I943">
        <v>0</v>
      </c>
      <c r="J943">
        <v>5000</v>
      </c>
      <c r="K943">
        <v>5000</v>
      </c>
      <c r="N943">
        <v>4.1666666666666661</v>
      </c>
      <c r="O943">
        <v>93.635900000000007</v>
      </c>
      <c r="P943">
        <v>33.333300000000001</v>
      </c>
      <c r="Q943">
        <v>90.5</v>
      </c>
      <c r="R943">
        <v>90.5</v>
      </c>
      <c r="S943">
        <v>90.5</v>
      </c>
      <c r="T943">
        <v>12.89</v>
      </c>
      <c r="U943">
        <v>5.9</v>
      </c>
      <c r="W943" t="s">
        <v>497</v>
      </c>
    </row>
    <row r="944" spans="1:23" x14ac:dyDescent="0.25">
      <c r="A944" t="s">
        <v>1420</v>
      </c>
      <c r="B944" t="str">
        <f t="shared" si="14"/>
        <v>CG2J00000719</v>
      </c>
      <c r="C944" t="s">
        <v>229</v>
      </c>
      <c r="D944" t="s">
        <v>85</v>
      </c>
      <c r="E944" t="s">
        <v>499</v>
      </c>
      <c r="F944">
        <v>20000</v>
      </c>
      <c r="G944" s="13">
        <v>45783</v>
      </c>
      <c r="H944" s="13">
        <v>45785</v>
      </c>
      <c r="I944">
        <v>10000</v>
      </c>
      <c r="J944">
        <v>37.190000000000509</v>
      </c>
      <c r="K944">
        <v>10037.19</v>
      </c>
      <c r="N944">
        <v>16.666666666666664</v>
      </c>
      <c r="O944">
        <v>90.000500000000002</v>
      </c>
      <c r="P944">
        <v>50.186</v>
      </c>
      <c r="Q944">
        <v>90</v>
      </c>
      <c r="R944">
        <v>95</v>
      </c>
      <c r="S944">
        <v>90</v>
      </c>
      <c r="T944">
        <v>9.94</v>
      </c>
      <c r="U944">
        <v>6</v>
      </c>
      <c r="W944" t="s">
        <v>497</v>
      </c>
    </row>
    <row r="945" spans="1:23" x14ac:dyDescent="0.25">
      <c r="A945" t="s">
        <v>1300</v>
      </c>
      <c r="B945" t="str">
        <f t="shared" si="14"/>
        <v>GA2K00000116</v>
      </c>
      <c r="C945" t="s">
        <v>227</v>
      </c>
      <c r="D945" t="s">
        <v>85</v>
      </c>
      <c r="E945" t="s">
        <v>516</v>
      </c>
      <c r="G945" s="13">
        <v>45784</v>
      </c>
      <c r="H945" s="13">
        <v>45786</v>
      </c>
      <c r="J945">
        <v>0</v>
      </c>
      <c r="N945">
        <v>0</v>
      </c>
      <c r="S945" t="s">
        <v>1418</v>
      </c>
      <c r="W945" t="s">
        <v>497</v>
      </c>
    </row>
    <row r="946" spans="1:23" x14ac:dyDescent="0.25">
      <c r="A946" t="s">
        <v>1421</v>
      </c>
      <c r="B946" t="str">
        <f t="shared" si="14"/>
        <v>CG2J00000446</v>
      </c>
      <c r="C946" t="s">
        <v>229</v>
      </c>
      <c r="D946" t="s">
        <v>85</v>
      </c>
      <c r="E946" t="s">
        <v>499</v>
      </c>
      <c r="G946" s="13">
        <v>45790</v>
      </c>
      <c r="H946" s="13">
        <v>45792</v>
      </c>
      <c r="J946">
        <v>0</v>
      </c>
      <c r="N946">
        <v>0</v>
      </c>
      <c r="S946" t="s">
        <v>1418</v>
      </c>
      <c r="W946" t="s">
        <v>497</v>
      </c>
    </row>
    <row r="947" spans="1:23" x14ac:dyDescent="0.25">
      <c r="A947" t="s">
        <v>1422</v>
      </c>
      <c r="B947" t="str">
        <f t="shared" si="14"/>
        <v>CG2B00000097</v>
      </c>
      <c r="C947" t="s">
        <v>229</v>
      </c>
      <c r="D947" t="s">
        <v>85</v>
      </c>
      <c r="E947" t="s">
        <v>507</v>
      </c>
      <c r="G947" s="13">
        <v>45790</v>
      </c>
      <c r="H947" s="13">
        <v>45792</v>
      </c>
      <c r="J947">
        <v>0</v>
      </c>
      <c r="N947">
        <v>0</v>
      </c>
      <c r="S947" t="s">
        <v>1418</v>
      </c>
      <c r="W947" t="s">
        <v>497</v>
      </c>
    </row>
    <row r="948" spans="1:23" x14ac:dyDescent="0.25">
      <c r="A948" t="s">
        <v>1423</v>
      </c>
      <c r="B948" t="str">
        <f t="shared" si="14"/>
        <v>GA2B00000141</v>
      </c>
      <c r="C948" t="s">
        <v>227</v>
      </c>
      <c r="D948" t="s">
        <v>85</v>
      </c>
      <c r="E948" t="s">
        <v>507</v>
      </c>
      <c r="F948">
        <v>10000</v>
      </c>
      <c r="G948" s="13">
        <v>45791</v>
      </c>
      <c r="H948" s="13">
        <v>45793</v>
      </c>
      <c r="I948">
        <v>450</v>
      </c>
      <c r="J948">
        <v>3292.5</v>
      </c>
      <c r="K948">
        <v>3742.5</v>
      </c>
      <c r="N948">
        <v>14.285714285714285</v>
      </c>
      <c r="O948">
        <v>91.412999999999997</v>
      </c>
      <c r="P948">
        <v>12.475</v>
      </c>
      <c r="Q948">
        <v>90</v>
      </c>
      <c r="R948">
        <v>95</v>
      </c>
      <c r="S948">
        <v>90</v>
      </c>
      <c r="T948">
        <v>10.14</v>
      </c>
      <c r="U948">
        <v>6.75</v>
      </c>
      <c r="W948" t="s">
        <v>497</v>
      </c>
    </row>
    <row r="949" spans="1:23" x14ac:dyDescent="0.25">
      <c r="A949" t="s">
        <v>1424</v>
      </c>
      <c r="B949" t="str">
        <f t="shared" si="14"/>
        <v>GA2B00000182</v>
      </c>
      <c r="C949" t="s">
        <v>227</v>
      </c>
      <c r="D949" t="s">
        <v>85</v>
      </c>
      <c r="E949" t="s">
        <v>507</v>
      </c>
      <c r="G949" s="13">
        <v>45791</v>
      </c>
      <c r="H949" s="13">
        <v>45793</v>
      </c>
      <c r="J949">
        <v>0</v>
      </c>
      <c r="N949">
        <v>0</v>
      </c>
      <c r="S949" t="s">
        <v>1418</v>
      </c>
      <c r="W949" t="s">
        <v>497</v>
      </c>
    </row>
    <row r="950" spans="1:23" x14ac:dyDescent="0.25">
      <c r="A950" t="s">
        <v>1425</v>
      </c>
      <c r="B950" t="str">
        <f t="shared" si="14"/>
        <v>GA2A00000308</v>
      </c>
      <c r="C950" t="s">
        <v>227</v>
      </c>
      <c r="D950" t="s">
        <v>85</v>
      </c>
      <c r="E950" t="s">
        <v>496</v>
      </c>
      <c r="F950">
        <v>30000</v>
      </c>
      <c r="G950" s="13">
        <v>45791</v>
      </c>
      <c r="H950" s="13">
        <v>45793</v>
      </c>
      <c r="I950">
        <v>3000</v>
      </c>
      <c r="J950">
        <v>10036.06</v>
      </c>
      <c r="K950">
        <v>13036.06</v>
      </c>
      <c r="N950">
        <v>9.5238095238095237</v>
      </c>
      <c r="O950">
        <v>91.191800000000001</v>
      </c>
      <c r="P950">
        <v>43.453499999999998</v>
      </c>
      <c r="Q950">
        <v>91</v>
      </c>
      <c r="R950">
        <v>91</v>
      </c>
      <c r="S950">
        <v>91</v>
      </c>
      <c r="T950">
        <v>9.9700000000000006</v>
      </c>
      <c r="U950">
        <v>5</v>
      </c>
      <c r="W950" t="s">
        <v>497</v>
      </c>
    </row>
    <row r="951" spans="1:23" x14ac:dyDescent="0.25">
      <c r="A951" t="s">
        <v>1426</v>
      </c>
      <c r="B951" t="str">
        <f t="shared" si="14"/>
        <v>GA2J00000507</v>
      </c>
      <c r="C951" t="s">
        <v>227</v>
      </c>
      <c r="D951" t="s">
        <v>85</v>
      </c>
      <c r="E951" t="s">
        <v>499</v>
      </c>
      <c r="G951" s="13">
        <v>45791</v>
      </c>
      <c r="H951" s="13">
        <v>45793</v>
      </c>
      <c r="J951">
        <v>0</v>
      </c>
      <c r="N951">
        <v>0</v>
      </c>
      <c r="S951" t="s">
        <v>1418</v>
      </c>
      <c r="W951" t="s">
        <v>497</v>
      </c>
    </row>
    <row r="952" spans="1:23" x14ac:dyDescent="0.25">
      <c r="A952" t="s">
        <v>1427</v>
      </c>
      <c r="B952" t="str">
        <f t="shared" si="14"/>
        <v>CG2B00000089</v>
      </c>
      <c r="C952" t="s">
        <v>229</v>
      </c>
      <c r="D952" t="s">
        <v>85</v>
      </c>
      <c r="E952" t="s">
        <v>507</v>
      </c>
      <c r="F952">
        <v>10000</v>
      </c>
      <c r="G952" s="13">
        <v>45797</v>
      </c>
      <c r="H952" s="13">
        <v>45799</v>
      </c>
      <c r="I952">
        <v>102</v>
      </c>
      <c r="J952">
        <v>9898</v>
      </c>
      <c r="K952">
        <v>10000</v>
      </c>
      <c r="N952">
        <v>12.5</v>
      </c>
      <c r="O952">
        <v>90.251199999999997</v>
      </c>
      <c r="P952">
        <v>103.37</v>
      </c>
      <c r="Q952">
        <v>90</v>
      </c>
      <c r="R952">
        <v>96</v>
      </c>
      <c r="S952">
        <v>90</v>
      </c>
      <c r="T952">
        <v>12.14</v>
      </c>
      <c r="U952">
        <v>6.5</v>
      </c>
      <c r="W952" t="s">
        <v>497</v>
      </c>
    </row>
    <row r="953" spans="1:23" x14ac:dyDescent="0.25">
      <c r="A953" t="s">
        <v>1428</v>
      </c>
      <c r="B953" t="str">
        <f t="shared" si="14"/>
        <v>TD2J00000793</v>
      </c>
      <c r="C953" t="s">
        <v>237</v>
      </c>
      <c r="D953" t="s">
        <v>85</v>
      </c>
      <c r="E953" t="s">
        <v>499</v>
      </c>
      <c r="F953">
        <v>20000</v>
      </c>
      <c r="G953" s="13">
        <v>45798</v>
      </c>
      <c r="H953" s="13">
        <v>45800</v>
      </c>
      <c r="I953">
        <v>1500</v>
      </c>
      <c r="J953">
        <v>12866.99</v>
      </c>
      <c r="K953">
        <v>14366.99</v>
      </c>
      <c r="N953">
        <v>50</v>
      </c>
      <c r="O953">
        <v>90.0458</v>
      </c>
      <c r="P953">
        <v>71.834900000000005</v>
      </c>
      <c r="Q953">
        <v>90</v>
      </c>
      <c r="R953">
        <v>93</v>
      </c>
      <c r="S953">
        <v>90</v>
      </c>
      <c r="T953">
        <v>10.45</v>
      </c>
      <c r="U953">
        <v>6.5</v>
      </c>
      <c r="W953" t="s">
        <v>497</v>
      </c>
    </row>
    <row r="954" spans="1:23" x14ac:dyDescent="0.25">
      <c r="A954" t="s">
        <v>1429</v>
      </c>
      <c r="B954" t="str">
        <f t="shared" si="14"/>
        <v>CM2B00000186</v>
      </c>
      <c r="C954" t="s">
        <v>225</v>
      </c>
      <c r="D954" t="s">
        <v>85</v>
      </c>
      <c r="E954" t="s">
        <v>507</v>
      </c>
      <c r="G954" s="13">
        <v>45803</v>
      </c>
      <c r="H954" s="13">
        <v>45805</v>
      </c>
      <c r="J954">
        <v>0</v>
      </c>
      <c r="N954">
        <v>0</v>
      </c>
      <c r="W954" t="s">
        <v>497</v>
      </c>
    </row>
    <row r="955" spans="1:23" x14ac:dyDescent="0.25">
      <c r="A955" t="s">
        <v>1430</v>
      </c>
      <c r="B955" t="str">
        <f t="shared" si="14"/>
        <v>CG2A00000411</v>
      </c>
      <c r="C955" t="s">
        <v>229</v>
      </c>
      <c r="D955" t="s">
        <v>85</v>
      </c>
      <c r="E955" t="s">
        <v>496</v>
      </c>
      <c r="F955">
        <v>11200.56</v>
      </c>
      <c r="G955" s="13">
        <v>45804</v>
      </c>
      <c r="H955" s="13">
        <v>45806</v>
      </c>
      <c r="J955">
        <v>0</v>
      </c>
      <c r="N955">
        <v>0</v>
      </c>
      <c r="W955" t="s">
        <v>681</v>
      </c>
    </row>
    <row r="956" spans="1:23" x14ac:dyDescent="0.25">
      <c r="A956" t="s">
        <v>1036</v>
      </c>
      <c r="B956" t="str">
        <f t="shared" si="14"/>
        <v>CG2A00000445</v>
      </c>
      <c r="C956" t="s">
        <v>229</v>
      </c>
      <c r="D956" t="s">
        <v>85</v>
      </c>
      <c r="E956" t="s">
        <v>496</v>
      </c>
      <c r="G956" s="13">
        <v>45804</v>
      </c>
      <c r="H956" s="13">
        <v>45806</v>
      </c>
      <c r="J956">
        <v>0</v>
      </c>
      <c r="N956">
        <v>0</v>
      </c>
      <c r="W956" t="s">
        <v>681</v>
      </c>
    </row>
    <row r="957" spans="1:23" x14ac:dyDescent="0.25">
      <c r="A957" t="s">
        <v>1016</v>
      </c>
      <c r="B957" t="str">
        <f t="shared" si="14"/>
        <v>CG2A00000437</v>
      </c>
      <c r="C957" t="s">
        <v>229</v>
      </c>
      <c r="D957" t="s">
        <v>85</v>
      </c>
      <c r="E957" t="s">
        <v>499</v>
      </c>
      <c r="F957">
        <v>9217.74</v>
      </c>
      <c r="G957" s="13">
        <v>45804</v>
      </c>
      <c r="H957" s="13">
        <v>45806</v>
      </c>
      <c r="K957">
        <v>9217.74</v>
      </c>
      <c r="Q957">
        <v>100</v>
      </c>
      <c r="R957">
        <v>100</v>
      </c>
      <c r="S957">
        <v>100</v>
      </c>
      <c r="W957" t="s">
        <v>681</v>
      </c>
    </row>
    <row r="958" spans="1:23" x14ac:dyDescent="0.25">
      <c r="A958" t="s">
        <v>850</v>
      </c>
      <c r="B958" t="str">
        <f t="shared" si="14"/>
        <v>CG2J00000263</v>
      </c>
      <c r="C958" t="s">
        <v>229</v>
      </c>
      <c r="D958" t="s">
        <v>85</v>
      </c>
      <c r="E958" t="s">
        <v>499</v>
      </c>
      <c r="G958" s="13">
        <v>45804</v>
      </c>
      <c r="H958" s="13">
        <v>45806</v>
      </c>
      <c r="J958">
        <v>0</v>
      </c>
      <c r="N958">
        <v>0</v>
      </c>
      <c r="W958" t="s">
        <v>681</v>
      </c>
    </row>
    <row r="959" spans="1:23" x14ac:dyDescent="0.25">
      <c r="A959" t="s">
        <v>896</v>
      </c>
      <c r="B959" t="str">
        <f t="shared" si="14"/>
        <v>CG2J00000297</v>
      </c>
      <c r="C959" t="s">
        <v>229</v>
      </c>
      <c r="D959" t="s">
        <v>85</v>
      </c>
      <c r="E959" t="s">
        <v>499</v>
      </c>
      <c r="G959" s="13">
        <v>45804</v>
      </c>
      <c r="H959" s="13">
        <v>45806</v>
      </c>
      <c r="J959">
        <v>0</v>
      </c>
      <c r="N959">
        <v>0</v>
      </c>
      <c r="W959" t="s">
        <v>681</v>
      </c>
    </row>
    <row r="960" spans="1:23" x14ac:dyDescent="0.25">
      <c r="A960" t="s">
        <v>1431</v>
      </c>
      <c r="B960" t="str">
        <f t="shared" si="14"/>
        <v>CG2J00000305</v>
      </c>
      <c r="C960" t="s">
        <v>229</v>
      </c>
      <c r="D960" t="s">
        <v>85</v>
      </c>
      <c r="E960" t="s">
        <v>499</v>
      </c>
      <c r="F960">
        <v>376.35</v>
      </c>
      <c r="G960" s="13">
        <v>45804</v>
      </c>
      <c r="H960" s="13">
        <v>45806</v>
      </c>
      <c r="I960">
        <v>376.35</v>
      </c>
      <c r="J960">
        <v>0</v>
      </c>
      <c r="K960">
        <v>376.35</v>
      </c>
      <c r="N960">
        <v>4.1666666666666661</v>
      </c>
      <c r="O960">
        <v>10.270960000000001</v>
      </c>
      <c r="P960">
        <v>100</v>
      </c>
      <c r="Q960">
        <v>100</v>
      </c>
      <c r="R960">
        <v>100</v>
      </c>
      <c r="S960">
        <v>100</v>
      </c>
      <c r="T960">
        <v>2.98</v>
      </c>
      <c r="U960">
        <v>5.75</v>
      </c>
      <c r="W960" t="s">
        <v>681</v>
      </c>
    </row>
    <row r="961" spans="1:23" x14ac:dyDescent="0.25">
      <c r="A961" t="s">
        <v>1432</v>
      </c>
      <c r="B961" t="str">
        <f t="shared" si="14"/>
        <v>CG2K00000062</v>
      </c>
      <c r="C961" t="s">
        <v>229</v>
      </c>
      <c r="D961" t="s">
        <v>85</v>
      </c>
      <c r="E961" t="s">
        <v>516</v>
      </c>
      <c r="F961">
        <v>20041.080000000002</v>
      </c>
      <c r="G961" s="13">
        <v>45804</v>
      </c>
      <c r="H961" s="13">
        <v>45806</v>
      </c>
      <c r="I961">
        <v>20041.080000000002</v>
      </c>
      <c r="K961">
        <v>20041.080000000002</v>
      </c>
      <c r="O961">
        <v>10.09699</v>
      </c>
      <c r="P961">
        <v>100</v>
      </c>
      <c r="Q961">
        <v>100</v>
      </c>
      <c r="R961">
        <v>100</v>
      </c>
      <c r="S961">
        <v>100</v>
      </c>
      <c r="T961">
        <v>4.99</v>
      </c>
      <c r="U961">
        <v>6</v>
      </c>
      <c r="W961" t="s">
        <v>681</v>
      </c>
    </row>
    <row r="962" spans="1:23" x14ac:dyDescent="0.25">
      <c r="A962" t="s">
        <v>1433</v>
      </c>
      <c r="B962" t="str">
        <f t="shared" si="14"/>
        <v>CG2B00000014</v>
      </c>
      <c r="C962" t="s">
        <v>229</v>
      </c>
      <c r="D962" t="s">
        <v>85</v>
      </c>
      <c r="E962" t="s">
        <v>507</v>
      </c>
      <c r="G962" s="13">
        <v>45804</v>
      </c>
      <c r="H962" s="13">
        <v>45806</v>
      </c>
      <c r="J962">
        <v>0</v>
      </c>
      <c r="N962">
        <v>0</v>
      </c>
      <c r="W962" t="s">
        <v>681</v>
      </c>
    </row>
    <row r="963" spans="1:23" x14ac:dyDescent="0.25">
      <c r="A963" t="s">
        <v>1434</v>
      </c>
      <c r="B963" t="str">
        <f t="shared" si="14"/>
        <v>CG2B00000063</v>
      </c>
      <c r="C963" t="s">
        <v>229</v>
      </c>
      <c r="D963" t="s">
        <v>85</v>
      </c>
      <c r="E963" t="s">
        <v>507</v>
      </c>
      <c r="F963">
        <v>25152</v>
      </c>
      <c r="G963" s="13">
        <v>45804</v>
      </c>
      <c r="H963" s="13">
        <v>45806</v>
      </c>
      <c r="I963">
        <v>25152</v>
      </c>
      <c r="J963">
        <v>0</v>
      </c>
      <c r="K963">
        <v>25152</v>
      </c>
      <c r="N963">
        <v>4.1666666666666661</v>
      </c>
      <c r="O963">
        <v>10.09699</v>
      </c>
      <c r="P963">
        <v>100</v>
      </c>
      <c r="Q963">
        <v>100</v>
      </c>
      <c r="R963">
        <v>100</v>
      </c>
      <c r="S963">
        <v>100</v>
      </c>
      <c r="T963">
        <v>5.48</v>
      </c>
      <c r="U963">
        <v>6</v>
      </c>
      <c r="W963" t="s">
        <v>681</v>
      </c>
    </row>
    <row r="964" spans="1:23" x14ac:dyDescent="0.25">
      <c r="A964" t="s">
        <v>1435</v>
      </c>
      <c r="B964" t="str">
        <f t="shared" si="14"/>
        <v>CG2L00000012</v>
      </c>
      <c r="C964" t="s">
        <v>229</v>
      </c>
      <c r="D964" t="s">
        <v>85</v>
      </c>
      <c r="E964" t="s">
        <v>547</v>
      </c>
      <c r="F964">
        <v>24745</v>
      </c>
      <c r="G964" s="13">
        <v>45804</v>
      </c>
      <c r="H964" s="13">
        <v>45806</v>
      </c>
      <c r="I964">
        <v>24745</v>
      </c>
      <c r="J964">
        <v>0</v>
      </c>
      <c r="K964">
        <v>24745</v>
      </c>
      <c r="N964">
        <v>4.1666666666666661</v>
      </c>
      <c r="O964">
        <v>10.09699</v>
      </c>
      <c r="P964">
        <v>100</v>
      </c>
      <c r="Q964">
        <v>100</v>
      </c>
      <c r="R964">
        <v>100</v>
      </c>
      <c r="S964">
        <v>100</v>
      </c>
      <c r="T964">
        <v>5.64</v>
      </c>
      <c r="U964">
        <v>6</v>
      </c>
      <c r="W964" t="s">
        <v>681</v>
      </c>
    </row>
    <row r="965" spans="1:23" x14ac:dyDescent="0.25">
      <c r="A965" t="s">
        <v>1436</v>
      </c>
      <c r="B965" t="str">
        <f t="shared" ref="B965:B1028" si="15">MID(A965,1,12)</f>
        <v>CG2A00000544</v>
      </c>
      <c r="C965" t="s">
        <v>229</v>
      </c>
      <c r="D965" t="s">
        <v>85</v>
      </c>
      <c r="E965" t="s">
        <v>496</v>
      </c>
      <c r="F965">
        <v>17000</v>
      </c>
      <c r="G965" s="13">
        <v>45804</v>
      </c>
      <c r="H965" s="13">
        <v>45806</v>
      </c>
      <c r="I965">
        <v>17000</v>
      </c>
      <c r="J965">
        <v>0</v>
      </c>
      <c r="K965">
        <v>17000</v>
      </c>
      <c r="N965">
        <v>4.1666666666666661</v>
      </c>
      <c r="O965">
        <v>10.043010000000001</v>
      </c>
      <c r="P965">
        <v>100</v>
      </c>
      <c r="Q965">
        <v>96</v>
      </c>
      <c r="R965">
        <v>96</v>
      </c>
      <c r="S965">
        <v>96</v>
      </c>
      <c r="T965">
        <v>5.05</v>
      </c>
      <c r="U965">
        <v>5.5</v>
      </c>
      <c r="W965" t="s">
        <v>497</v>
      </c>
    </row>
    <row r="966" spans="1:23" x14ac:dyDescent="0.25">
      <c r="A966" t="s">
        <v>1437</v>
      </c>
      <c r="B966" t="str">
        <f t="shared" si="15"/>
        <v>CG2A00000668</v>
      </c>
      <c r="C966" t="s">
        <v>229</v>
      </c>
      <c r="D966" t="s">
        <v>85</v>
      </c>
      <c r="E966" t="s">
        <v>496</v>
      </c>
      <c r="F966">
        <v>23621.39</v>
      </c>
      <c r="G966" s="13">
        <v>45804</v>
      </c>
      <c r="H966" s="13">
        <v>45806</v>
      </c>
      <c r="I966">
        <v>23621</v>
      </c>
      <c r="J966">
        <v>0.38999999999941792</v>
      </c>
      <c r="K966">
        <v>23621.39</v>
      </c>
      <c r="N966">
        <v>4.1666666666666661</v>
      </c>
      <c r="O966">
        <v>9.3000000000000007</v>
      </c>
      <c r="P966">
        <v>100</v>
      </c>
      <c r="Q966">
        <v>93</v>
      </c>
      <c r="R966">
        <v>93</v>
      </c>
      <c r="S966">
        <v>93</v>
      </c>
      <c r="T966">
        <v>9.42</v>
      </c>
      <c r="U966">
        <v>5.5</v>
      </c>
      <c r="W966" t="s">
        <v>497</v>
      </c>
    </row>
    <row r="967" spans="1:23" x14ac:dyDescent="0.25">
      <c r="A967" t="s">
        <v>1438</v>
      </c>
      <c r="B967" t="str">
        <f t="shared" si="15"/>
        <v>CG2B00000089</v>
      </c>
      <c r="C967" t="s">
        <v>229</v>
      </c>
      <c r="D967" t="s">
        <v>85</v>
      </c>
      <c r="E967" t="s">
        <v>507</v>
      </c>
      <c r="F967">
        <v>20000</v>
      </c>
      <c r="G967" s="13">
        <v>45804</v>
      </c>
      <c r="H967" s="13">
        <v>45806</v>
      </c>
      <c r="I967">
        <v>0</v>
      </c>
      <c r="J967">
        <v>383.45</v>
      </c>
      <c r="K967">
        <v>383.45</v>
      </c>
      <c r="N967">
        <v>16.666666666666664</v>
      </c>
      <c r="O967">
        <v>9.0369100000000007</v>
      </c>
      <c r="P967">
        <v>1.9172</v>
      </c>
      <c r="Q967">
        <v>90</v>
      </c>
      <c r="R967">
        <v>91</v>
      </c>
      <c r="S967">
        <v>90</v>
      </c>
      <c r="T967">
        <v>12.06</v>
      </c>
      <c r="U967">
        <v>6.5</v>
      </c>
      <c r="W967" t="s">
        <v>497</v>
      </c>
    </row>
    <row r="968" spans="1:23" x14ac:dyDescent="0.25">
      <c r="A968" t="s">
        <v>1439</v>
      </c>
      <c r="B968" t="str">
        <f t="shared" si="15"/>
        <v>CG2B00000519</v>
      </c>
      <c r="C968" t="s">
        <v>229</v>
      </c>
      <c r="D968" t="s">
        <v>85</v>
      </c>
      <c r="E968" t="s">
        <v>507</v>
      </c>
      <c r="F968">
        <v>15000</v>
      </c>
      <c r="G968" s="13">
        <v>45804</v>
      </c>
      <c r="H968" s="13">
        <v>45806</v>
      </c>
      <c r="I968">
        <v>14940.24</v>
      </c>
      <c r="J968">
        <v>59.760000000000218</v>
      </c>
      <c r="K968">
        <v>15000</v>
      </c>
      <c r="N968">
        <v>8.3333333333333321</v>
      </c>
      <c r="O968">
        <v>9.1</v>
      </c>
      <c r="P968">
        <v>100</v>
      </c>
      <c r="Q968">
        <v>91</v>
      </c>
      <c r="R968">
        <v>91</v>
      </c>
      <c r="S968">
        <v>91</v>
      </c>
      <c r="T968">
        <v>9.56</v>
      </c>
      <c r="U968">
        <v>7.25</v>
      </c>
      <c r="W968" t="s">
        <v>497</v>
      </c>
    </row>
    <row r="969" spans="1:23" x14ac:dyDescent="0.25">
      <c r="A969" t="s">
        <v>1440</v>
      </c>
      <c r="B969" t="str">
        <f t="shared" si="15"/>
        <v>CG2J00000727</v>
      </c>
      <c r="C969" t="s">
        <v>229</v>
      </c>
      <c r="D969" t="s">
        <v>85</v>
      </c>
      <c r="E969" t="s">
        <v>499</v>
      </c>
      <c r="F969">
        <v>30041.08</v>
      </c>
      <c r="G969" s="13">
        <v>45804</v>
      </c>
      <c r="H969" s="13">
        <v>45806</v>
      </c>
      <c r="I969">
        <v>30041.08</v>
      </c>
      <c r="J969">
        <v>0</v>
      </c>
      <c r="K969">
        <v>30041.08</v>
      </c>
      <c r="N969">
        <v>4.1666666666666661</v>
      </c>
      <c r="O969">
        <v>9.15</v>
      </c>
      <c r="P969">
        <v>100</v>
      </c>
      <c r="Q969">
        <v>91.5</v>
      </c>
      <c r="R969">
        <v>91.5</v>
      </c>
      <c r="S969">
        <v>91.5</v>
      </c>
      <c r="T969">
        <v>9.58</v>
      </c>
      <c r="U969">
        <v>6.25</v>
      </c>
      <c r="W969" t="s">
        <v>497</v>
      </c>
    </row>
    <row r="970" spans="1:23" x14ac:dyDescent="0.25">
      <c r="A970" t="s">
        <v>1441</v>
      </c>
      <c r="B970" t="str">
        <f t="shared" si="15"/>
        <v>CG2K00000310</v>
      </c>
      <c r="C970" t="s">
        <v>229</v>
      </c>
      <c r="D970" t="s">
        <v>85</v>
      </c>
      <c r="E970" t="s">
        <v>516</v>
      </c>
      <c r="F970">
        <v>29897</v>
      </c>
      <c r="G970" s="13">
        <v>45804</v>
      </c>
      <c r="H970" s="13">
        <v>45806</v>
      </c>
      <c r="I970">
        <v>29897</v>
      </c>
      <c r="J970">
        <v>0</v>
      </c>
      <c r="K970">
        <v>29897</v>
      </c>
      <c r="N970">
        <v>4.1666666666666661</v>
      </c>
      <c r="O970">
        <v>9</v>
      </c>
      <c r="P970">
        <v>100</v>
      </c>
      <c r="Q970">
        <v>90</v>
      </c>
      <c r="R970">
        <v>90</v>
      </c>
      <c r="S970">
        <v>90</v>
      </c>
      <c r="T970">
        <v>9.6199999999999992</v>
      </c>
      <c r="U970">
        <v>6.55</v>
      </c>
      <c r="W970" t="s">
        <v>497</v>
      </c>
    </row>
    <row r="971" spans="1:23" x14ac:dyDescent="0.25">
      <c r="A971" t="s">
        <v>1442</v>
      </c>
      <c r="B971" t="str">
        <f t="shared" si="15"/>
        <v>CG2J00000479</v>
      </c>
      <c r="C971" t="s">
        <v>229</v>
      </c>
      <c r="D971" t="s">
        <v>85</v>
      </c>
      <c r="E971" t="s">
        <v>499</v>
      </c>
      <c r="G971" s="13">
        <v>45811</v>
      </c>
      <c r="H971" s="13">
        <v>45813</v>
      </c>
      <c r="J971">
        <v>0</v>
      </c>
      <c r="N971">
        <v>0</v>
      </c>
      <c r="T971" t="s">
        <v>946</v>
      </c>
      <c r="W971" t="s">
        <v>497</v>
      </c>
    </row>
    <row r="972" spans="1:23" x14ac:dyDescent="0.25">
      <c r="A972" t="s">
        <v>1443</v>
      </c>
      <c r="B972" t="str">
        <f t="shared" si="15"/>
        <v>TD2J00000801</v>
      </c>
      <c r="C972" t="s">
        <v>237</v>
      </c>
      <c r="D972" t="s">
        <v>85</v>
      </c>
      <c r="E972" t="s">
        <v>499</v>
      </c>
      <c r="F972">
        <v>20000</v>
      </c>
      <c r="G972" s="13">
        <v>45812</v>
      </c>
      <c r="H972" s="13">
        <v>45814</v>
      </c>
      <c r="I972">
        <v>0</v>
      </c>
      <c r="J972">
        <v>8174.85</v>
      </c>
      <c r="K972">
        <v>8174.85</v>
      </c>
      <c r="N972">
        <v>50</v>
      </c>
      <c r="O972">
        <v>90.146900000000002</v>
      </c>
      <c r="P972">
        <v>41.174300000000002</v>
      </c>
      <c r="Q972">
        <v>90</v>
      </c>
      <c r="R972">
        <v>95</v>
      </c>
      <c r="S972">
        <v>90</v>
      </c>
      <c r="T972">
        <v>10.41</v>
      </c>
      <c r="U972">
        <v>6.5</v>
      </c>
      <c r="W972" t="s">
        <v>497</v>
      </c>
    </row>
    <row r="973" spans="1:23" x14ac:dyDescent="0.25">
      <c r="A973" t="s">
        <v>897</v>
      </c>
      <c r="B973" t="str">
        <f t="shared" si="15"/>
        <v>CG2K00000088</v>
      </c>
      <c r="C973" t="s">
        <v>229</v>
      </c>
      <c r="D973" t="s">
        <v>85</v>
      </c>
      <c r="E973" t="s">
        <v>516</v>
      </c>
      <c r="F973">
        <v>15000</v>
      </c>
      <c r="G973" s="13">
        <v>45818</v>
      </c>
      <c r="H973" s="13">
        <v>45820</v>
      </c>
      <c r="I973">
        <v>0</v>
      </c>
      <c r="J973">
        <v>6010</v>
      </c>
      <c r="K973">
        <v>6010</v>
      </c>
      <c r="N973">
        <v>8.3333333333333321</v>
      </c>
      <c r="O973">
        <v>94.206900000000005</v>
      </c>
      <c r="P973">
        <v>40.066699999999997</v>
      </c>
      <c r="Q973">
        <v>90</v>
      </c>
      <c r="R973">
        <v>94</v>
      </c>
      <c r="S973">
        <v>90</v>
      </c>
      <c r="T973">
        <v>12.65</v>
      </c>
      <c r="U973">
        <v>6.3</v>
      </c>
      <c r="W973" t="s">
        <v>497</v>
      </c>
    </row>
    <row r="974" spans="1:23" x14ac:dyDescent="0.25">
      <c r="A974" t="s">
        <v>1425</v>
      </c>
      <c r="B974" t="str">
        <f t="shared" si="15"/>
        <v>GA2A00000308</v>
      </c>
      <c r="C974" t="s">
        <v>227</v>
      </c>
      <c r="D974" t="s">
        <v>85</v>
      </c>
      <c r="E974" t="s">
        <v>496</v>
      </c>
      <c r="F974">
        <v>10000</v>
      </c>
      <c r="G974" s="13">
        <v>45819</v>
      </c>
      <c r="H974" s="13">
        <v>45821</v>
      </c>
      <c r="I974">
        <v>2000</v>
      </c>
      <c r="J974">
        <v>6500</v>
      </c>
      <c r="K974">
        <v>8500</v>
      </c>
      <c r="N974">
        <v>19.047619047619047</v>
      </c>
      <c r="O974">
        <v>91.575299999999999</v>
      </c>
      <c r="P974">
        <v>85</v>
      </c>
      <c r="Q974">
        <v>91</v>
      </c>
      <c r="R974">
        <v>91</v>
      </c>
      <c r="S974">
        <v>91</v>
      </c>
      <c r="T974">
        <v>9.74</v>
      </c>
      <c r="U974">
        <v>5</v>
      </c>
      <c r="W974" t="s">
        <v>497</v>
      </c>
    </row>
    <row r="975" spans="1:23" x14ac:dyDescent="0.25">
      <c r="A975" t="s">
        <v>1444</v>
      </c>
      <c r="B975" t="str">
        <f t="shared" si="15"/>
        <v>GA2J00000507</v>
      </c>
      <c r="C975" t="s">
        <v>227</v>
      </c>
      <c r="D975" t="s">
        <v>85</v>
      </c>
      <c r="E975" t="s">
        <v>499</v>
      </c>
      <c r="F975">
        <v>20000</v>
      </c>
      <c r="G975" s="13">
        <v>45819</v>
      </c>
      <c r="H975" s="13">
        <v>45821</v>
      </c>
      <c r="J975">
        <v>1000</v>
      </c>
      <c r="K975">
        <v>1000</v>
      </c>
      <c r="N975">
        <v>4.7619047619047619</v>
      </c>
      <c r="O975">
        <v>90.661600000000007</v>
      </c>
      <c r="P975">
        <v>5</v>
      </c>
      <c r="Q975">
        <v>90</v>
      </c>
      <c r="R975">
        <v>90</v>
      </c>
      <c r="S975">
        <v>90</v>
      </c>
      <c r="T975">
        <v>9.39</v>
      </c>
      <c r="U975">
        <v>5.75</v>
      </c>
      <c r="W975" t="s">
        <v>497</v>
      </c>
    </row>
    <row r="976" spans="1:23" x14ac:dyDescent="0.25">
      <c r="A976" t="s">
        <v>1353</v>
      </c>
      <c r="B976" t="str">
        <f t="shared" si="15"/>
        <v>GA2K00000124</v>
      </c>
      <c r="C976" t="s">
        <v>227</v>
      </c>
      <c r="D976" t="s">
        <v>85</v>
      </c>
      <c r="E976" t="s">
        <v>516</v>
      </c>
      <c r="G976" s="13">
        <v>45819</v>
      </c>
      <c r="H976" s="13">
        <v>45821</v>
      </c>
      <c r="J976">
        <v>0</v>
      </c>
      <c r="N976">
        <v>0</v>
      </c>
      <c r="S976" t="s">
        <v>1418</v>
      </c>
      <c r="T976" t="s">
        <v>946</v>
      </c>
      <c r="W976" t="s">
        <v>497</v>
      </c>
    </row>
    <row r="977" spans="1:23" x14ac:dyDescent="0.25">
      <c r="A977" t="s">
        <v>1445</v>
      </c>
      <c r="B977" t="str">
        <f t="shared" si="15"/>
        <v>GA2B00000125</v>
      </c>
      <c r="C977" t="s">
        <v>227</v>
      </c>
      <c r="D977" t="s">
        <v>85</v>
      </c>
      <c r="E977" t="s">
        <v>507</v>
      </c>
      <c r="F977">
        <v>10000</v>
      </c>
      <c r="G977" s="13">
        <v>45819</v>
      </c>
      <c r="H977" s="13">
        <v>45821</v>
      </c>
      <c r="I977">
        <v>5000</v>
      </c>
      <c r="J977">
        <v>0</v>
      </c>
      <c r="K977">
        <v>5000</v>
      </c>
      <c r="N977">
        <v>4.7619047619047619</v>
      </c>
      <c r="O977">
        <v>94.561599999999999</v>
      </c>
      <c r="P977">
        <v>50</v>
      </c>
      <c r="Q977">
        <v>91</v>
      </c>
      <c r="R977">
        <v>91</v>
      </c>
      <c r="S977">
        <v>91</v>
      </c>
      <c r="T977">
        <v>9.5500000000000007</v>
      </c>
      <c r="U977">
        <v>6.5</v>
      </c>
      <c r="W977" t="s">
        <v>497</v>
      </c>
    </row>
    <row r="978" spans="1:23" x14ac:dyDescent="0.25">
      <c r="A978" t="s">
        <v>1446</v>
      </c>
      <c r="B978" t="str">
        <f t="shared" si="15"/>
        <v>TD2A00000958</v>
      </c>
      <c r="C978" t="s">
        <v>237</v>
      </c>
      <c r="D978" t="s">
        <v>85</v>
      </c>
      <c r="E978" t="s">
        <v>496</v>
      </c>
      <c r="F978">
        <v>40000</v>
      </c>
      <c r="G978" s="13">
        <v>45819</v>
      </c>
      <c r="H978" s="13">
        <v>45821</v>
      </c>
      <c r="I978">
        <v>2000</v>
      </c>
      <c r="J978">
        <v>11136.7</v>
      </c>
      <c r="K978">
        <v>13136.7</v>
      </c>
      <c r="N978">
        <v>50</v>
      </c>
      <c r="O978">
        <v>94.561599999999999</v>
      </c>
      <c r="P978">
        <v>32.841799999999999</v>
      </c>
      <c r="Q978">
        <v>90</v>
      </c>
      <c r="R978">
        <v>95</v>
      </c>
      <c r="S978">
        <v>90</v>
      </c>
      <c r="T978">
        <v>12</v>
      </c>
      <c r="U978">
        <v>6.5</v>
      </c>
      <c r="W978" t="s">
        <v>497</v>
      </c>
    </row>
    <row r="979" spans="1:23" x14ac:dyDescent="0.25">
      <c r="A979" t="s">
        <v>1004</v>
      </c>
      <c r="B979" t="str">
        <f t="shared" si="15"/>
        <v>CG2J00000404</v>
      </c>
      <c r="C979" t="s">
        <v>229</v>
      </c>
      <c r="D979" t="s">
        <v>85</v>
      </c>
      <c r="E979" t="s">
        <v>499</v>
      </c>
      <c r="G979" s="13">
        <v>45825</v>
      </c>
      <c r="H979" s="13">
        <v>45827</v>
      </c>
      <c r="J979">
        <v>0</v>
      </c>
      <c r="N979">
        <v>0</v>
      </c>
      <c r="T979" t="s">
        <v>946</v>
      </c>
      <c r="W979" t="s">
        <v>497</v>
      </c>
    </row>
    <row r="980" spans="1:23" x14ac:dyDescent="0.25">
      <c r="A980" t="s">
        <v>1354</v>
      </c>
      <c r="B980" t="str">
        <f t="shared" si="15"/>
        <v>GA2L00000016</v>
      </c>
      <c r="C980" t="s">
        <v>227</v>
      </c>
      <c r="D980" t="s">
        <v>85</v>
      </c>
      <c r="E980" t="s">
        <v>547</v>
      </c>
      <c r="G980" s="13">
        <v>45826</v>
      </c>
      <c r="H980" s="13">
        <v>45828</v>
      </c>
      <c r="J980">
        <v>0</v>
      </c>
      <c r="N980">
        <v>0</v>
      </c>
      <c r="S980" t="s">
        <v>1418</v>
      </c>
      <c r="T980" t="s">
        <v>946</v>
      </c>
      <c r="W980" t="s">
        <v>497</v>
      </c>
    </row>
    <row r="981" spans="1:23" x14ac:dyDescent="0.25">
      <c r="A981" t="s">
        <v>1447</v>
      </c>
      <c r="B981" t="str">
        <f t="shared" si="15"/>
        <v>TD2A00000966</v>
      </c>
      <c r="C981" t="s">
        <v>237</v>
      </c>
      <c r="D981" t="s">
        <v>85</v>
      </c>
      <c r="E981" t="s">
        <v>496</v>
      </c>
      <c r="F981">
        <v>40000</v>
      </c>
      <c r="G981" s="13">
        <v>45826</v>
      </c>
      <c r="H981" s="13">
        <v>45828</v>
      </c>
      <c r="I981">
        <v>10000</v>
      </c>
      <c r="J981">
        <v>14812</v>
      </c>
      <c r="K981">
        <v>24812</v>
      </c>
      <c r="N981">
        <v>50</v>
      </c>
      <c r="O981">
        <v>90.815899999999999</v>
      </c>
      <c r="P981">
        <v>62.03</v>
      </c>
      <c r="Q981">
        <v>90</v>
      </c>
      <c r="R981">
        <v>95</v>
      </c>
      <c r="S981">
        <v>90</v>
      </c>
      <c r="T981">
        <v>11.79</v>
      </c>
      <c r="U981">
        <v>6.5</v>
      </c>
      <c r="W981" t="s">
        <v>497</v>
      </c>
    </row>
    <row r="982" spans="1:23" x14ac:dyDescent="0.25">
      <c r="A982" t="s">
        <v>1448</v>
      </c>
      <c r="B982" t="str">
        <f t="shared" si="15"/>
        <v>CG2A00000676</v>
      </c>
      <c r="C982" t="s">
        <v>229</v>
      </c>
      <c r="D982" t="s">
        <v>85</v>
      </c>
      <c r="E982" t="s">
        <v>496</v>
      </c>
      <c r="F982">
        <v>20000</v>
      </c>
      <c r="G982" s="13">
        <v>45832</v>
      </c>
      <c r="H982" s="13">
        <v>45834</v>
      </c>
      <c r="I982">
        <v>2327.04</v>
      </c>
      <c r="J982">
        <v>105</v>
      </c>
      <c r="K982">
        <v>2432.04</v>
      </c>
      <c r="N982">
        <v>20.833333333333336</v>
      </c>
      <c r="O982">
        <v>90.810900000000004</v>
      </c>
      <c r="P982">
        <v>12.1602</v>
      </c>
      <c r="Q982">
        <v>90.05</v>
      </c>
      <c r="R982">
        <v>94</v>
      </c>
      <c r="S982">
        <v>90.05</v>
      </c>
      <c r="T982">
        <v>10.73</v>
      </c>
      <c r="U982">
        <v>5.5</v>
      </c>
      <c r="W982" t="s">
        <v>497</v>
      </c>
    </row>
    <row r="983" spans="1:23" x14ac:dyDescent="0.25">
      <c r="A983" t="s">
        <v>1064</v>
      </c>
      <c r="B983" t="str">
        <f t="shared" si="15"/>
        <v>GA2C00000058</v>
      </c>
      <c r="C983" t="s">
        <v>227</v>
      </c>
      <c r="D983" t="s">
        <v>85</v>
      </c>
      <c r="E983" t="s">
        <v>549</v>
      </c>
      <c r="G983" s="13">
        <v>45833</v>
      </c>
      <c r="H983" s="13">
        <v>45835</v>
      </c>
      <c r="J983">
        <v>0</v>
      </c>
      <c r="N983">
        <v>0</v>
      </c>
      <c r="S983" t="s">
        <v>1418</v>
      </c>
      <c r="T983" t="s">
        <v>946</v>
      </c>
      <c r="W983" t="s">
        <v>497</v>
      </c>
    </row>
    <row r="984" spans="1:23" x14ac:dyDescent="0.25">
      <c r="A984" t="s">
        <v>1449</v>
      </c>
      <c r="B984" t="str">
        <f t="shared" si="15"/>
        <v>TD2J00000819</v>
      </c>
      <c r="C984" t="s">
        <v>237</v>
      </c>
      <c r="D984" t="s">
        <v>85</v>
      </c>
      <c r="E984" t="s">
        <v>499</v>
      </c>
      <c r="F984">
        <v>15000</v>
      </c>
      <c r="G984" s="13">
        <v>45833</v>
      </c>
      <c r="H984" s="13">
        <v>45835</v>
      </c>
      <c r="I984">
        <v>1052.83</v>
      </c>
      <c r="J984">
        <v>13947.17</v>
      </c>
      <c r="K984">
        <v>15000</v>
      </c>
      <c r="N984">
        <v>66.666666666666657</v>
      </c>
      <c r="O984">
        <v>90.123699999999999</v>
      </c>
      <c r="P984">
        <v>137.858</v>
      </c>
      <c r="Q984">
        <v>90</v>
      </c>
      <c r="R984">
        <v>94</v>
      </c>
      <c r="S984">
        <v>90</v>
      </c>
      <c r="T984">
        <v>10.42</v>
      </c>
      <c r="U984">
        <v>6.5</v>
      </c>
      <c r="W984" t="s">
        <v>497</v>
      </c>
    </row>
    <row r="985" spans="1:23" x14ac:dyDescent="0.25">
      <c r="A985" t="s">
        <v>1450</v>
      </c>
      <c r="B985" t="str">
        <f t="shared" si="15"/>
        <v>CM2J00000188</v>
      </c>
      <c r="C985" t="s">
        <v>225</v>
      </c>
      <c r="D985" t="s">
        <v>85</v>
      </c>
      <c r="E985" t="s">
        <v>499</v>
      </c>
      <c r="F985">
        <v>40000</v>
      </c>
      <c r="G985" s="13">
        <v>45838</v>
      </c>
      <c r="H985" s="13">
        <v>45840</v>
      </c>
      <c r="I985">
        <v>40000</v>
      </c>
      <c r="J985">
        <v>0</v>
      </c>
      <c r="K985">
        <v>40000</v>
      </c>
      <c r="N985">
        <v>18.181818181818183</v>
      </c>
      <c r="O985">
        <v>94</v>
      </c>
      <c r="P985">
        <v>100</v>
      </c>
      <c r="Q985">
        <v>94</v>
      </c>
      <c r="R985">
        <v>94</v>
      </c>
      <c r="S985">
        <v>94</v>
      </c>
      <c r="T985">
        <v>8.82</v>
      </c>
      <c r="U985">
        <v>6.5</v>
      </c>
      <c r="W985" t="s">
        <v>497</v>
      </c>
    </row>
    <row r="986" spans="1:23" x14ac:dyDescent="0.25">
      <c r="A986" t="s">
        <v>1451</v>
      </c>
      <c r="B986" t="str">
        <f t="shared" si="15"/>
        <v>CM2K00000102</v>
      </c>
      <c r="C986" t="s">
        <v>225</v>
      </c>
      <c r="D986" t="s">
        <v>85</v>
      </c>
      <c r="E986" t="s">
        <v>516</v>
      </c>
      <c r="F986">
        <v>40000</v>
      </c>
      <c r="G986" s="13">
        <v>45839</v>
      </c>
      <c r="H986" s="13">
        <v>45841</v>
      </c>
      <c r="I986">
        <v>40000</v>
      </c>
      <c r="J986">
        <v>0</v>
      </c>
      <c r="K986">
        <v>40000</v>
      </c>
      <c r="N986">
        <v>18.181818181818183</v>
      </c>
      <c r="O986">
        <v>94</v>
      </c>
      <c r="P986">
        <v>100</v>
      </c>
      <c r="Q986">
        <v>94</v>
      </c>
      <c r="R986">
        <v>94</v>
      </c>
      <c r="S986">
        <v>94</v>
      </c>
      <c r="T986">
        <v>8.2899999999999991</v>
      </c>
      <c r="U986">
        <v>6.5</v>
      </c>
      <c r="W986" t="s">
        <v>497</v>
      </c>
    </row>
    <row r="987" spans="1:23" x14ac:dyDescent="0.25">
      <c r="A987" t="s">
        <v>1452</v>
      </c>
      <c r="B987" t="str">
        <f t="shared" si="15"/>
        <v>CM2B00000194</v>
      </c>
      <c r="C987" t="s">
        <v>225</v>
      </c>
      <c r="D987" t="s">
        <v>85</v>
      </c>
      <c r="E987" t="s">
        <v>507</v>
      </c>
      <c r="F987">
        <v>40000</v>
      </c>
      <c r="G987" s="13">
        <v>45839</v>
      </c>
      <c r="H987" s="13">
        <v>45841</v>
      </c>
      <c r="I987">
        <v>40000</v>
      </c>
      <c r="J987">
        <v>0</v>
      </c>
      <c r="K987">
        <v>40000</v>
      </c>
      <c r="N987">
        <v>18.181818181818183</v>
      </c>
      <c r="O987">
        <v>94</v>
      </c>
      <c r="P987">
        <v>100</v>
      </c>
      <c r="Q987">
        <v>94</v>
      </c>
      <c r="R987">
        <v>94</v>
      </c>
      <c r="S987">
        <v>94</v>
      </c>
      <c r="T987">
        <v>7.98</v>
      </c>
      <c r="U987">
        <v>6.5</v>
      </c>
      <c r="W987" t="s">
        <v>497</v>
      </c>
    </row>
    <row r="988" spans="1:23" x14ac:dyDescent="0.25">
      <c r="A988" t="s">
        <v>1453</v>
      </c>
      <c r="B988" t="str">
        <f t="shared" si="15"/>
        <v>CM2L00000101</v>
      </c>
      <c r="C988" t="s">
        <v>225</v>
      </c>
      <c r="D988" t="s">
        <v>85</v>
      </c>
      <c r="E988" t="s">
        <v>547</v>
      </c>
      <c r="F988">
        <v>40000</v>
      </c>
      <c r="G988" s="13">
        <v>45839</v>
      </c>
      <c r="H988" s="13">
        <v>45841</v>
      </c>
      <c r="I988">
        <v>40000</v>
      </c>
      <c r="J988">
        <v>0</v>
      </c>
      <c r="K988">
        <v>40000</v>
      </c>
      <c r="N988">
        <v>18.181818181818183</v>
      </c>
      <c r="O988">
        <v>94</v>
      </c>
      <c r="P988">
        <v>100</v>
      </c>
      <c r="Q988">
        <v>94</v>
      </c>
      <c r="R988">
        <v>94</v>
      </c>
      <c r="S988">
        <v>94</v>
      </c>
      <c r="T988">
        <v>8.2899999999999991</v>
      </c>
      <c r="U988">
        <v>7</v>
      </c>
      <c r="W988" t="s">
        <v>497</v>
      </c>
    </row>
    <row r="989" spans="1:23" x14ac:dyDescent="0.25">
      <c r="A989" t="s">
        <v>1454</v>
      </c>
      <c r="B989" t="str">
        <f t="shared" si="15"/>
        <v>CM2C00000094</v>
      </c>
      <c r="C989" t="s">
        <v>225</v>
      </c>
      <c r="D989" t="s">
        <v>85</v>
      </c>
      <c r="E989" t="s">
        <v>549</v>
      </c>
      <c r="F989">
        <v>40000</v>
      </c>
      <c r="G989" s="13">
        <v>45839</v>
      </c>
      <c r="H989" s="13">
        <v>45841</v>
      </c>
      <c r="I989">
        <v>40000</v>
      </c>
      <c r="J989">
        <v>0</v>
      </c>
      <c r="K989">
        <v>40000</v>
      </c>
      <c r="N989">
        <v>18.181818181818183</v>
      </c>
      <c r="O989">
        <v>92.5</v>
      </c>
      <c r="P989">
        <v>100</v>
      </c>
      <c r="Q989">
        <v>92.5</v>
      </c>
      <c r="R989">
        <v>92.5</v>
      </c>
      <c r="S989">
        <v>92.5</v>
      </c>
      <c r="T989">
        <v>8.9700000000000006</v>
      </c>
      <c r="U989">
        <v>7.5</v>
      </c>
      <c r="W989" t="s">
        <v>497</v>
      </c>
    </row>
    <row r="990" spans="1:23" x14ac:dyDescent="0.25">
      <c r="A990" t="s">
        <v>1455</v>
      </c>
      <c r="B990" t="str">
        <f t="shared" si="15"/>
        <v>CG2J00000735</v>
      </c>
      <c r="C990" t="s">
        <v>229</v>
      </c>
      <c r="D990" t="s">
        <v>85</v>
      </c>
      <c r="E990" t="s">
        <v>499</v>
      </c>
      <c r="F990">
        <v>5000</v>
      </c>
      <c r="G990" s="13">
        <v>45839</v>
      </c>
      <c r="H990" s="13">
        <v>45841</v>
      </c>
      <c r="I990">
        <v>150</v>
      </c>
      <c r="J990">
        <v>2500</v>
      </c>
      <c r="K990">
        <v>2650</v>
      </c>
      <c r="N990">
        <v>12.5</v>
      </c>
      <c r="O990">
        <v>91.094300000000004</v>
      </c>
      <c r="P990">
        <v>53</v>
      </c>
      <c r="Q990">
        <v>90.5</v>
      </c>
      <c r="R990">
        <v>92</v>
      </c>
      <c r="S990">
        <v>90.5</v>
      </c>
      <c r="T990">
        <v>9.48</v>
      </c>
      <c r="U990">
        <v>6</v>
      </c>
      <c r="W990" t="s">
        <v>497</v>
      </c>
    </row>
    <row r="991" spans="1:23" x14ac:dyDescent="0.25">
      <c r="A991" t="s">
        <v>1456</v>
      </c>
      <c r="B991" t="str">
        <f t="shared" si="15"/>
        <v>GQ2J00000057</v>
      </c>
      <c r="C991" t="s">
        <v>528</v>
      </c>
      <c r="D991" t="s">
        <v>85</v>
      </c>
      <c r="E991" t="s">
        <v>499</v>
      </c>
      <c r="F991">
        <v>50000</v>
      </c>
      <c r="G991" s="13">
        <v>45839</v>
      </c>
      <c r="H991" s="13">
        <v>45841</v>
      </c>
      <c r="I991">
        <v>17040</v>
      </c>
      <c r="J991">
        <v>32960</v>
      </c>
      <c r="K991">
        <v>50000</v>
      </c>
      <c r="N991">
        <v>53.846153846153847</v>
      </c>
      <c r="O991">
        <v>90.497100000000003</v>
      </c>
      <c r="P991">
        <v>114.55110000000001</v>
      </c>
      <c r="Q991">
        <v>90</v>
      </c>
      <c r="R991">
        <v>93</v>
      </c>
      <c r="S991">
        <v>10</v>
      </c>
      <c r="T991">
        <v>10.79</v>
      </c>
      <c r="U991">
        <v>7</v>
      </c>
      <c r="W991" t="s">
        <v>497</v>
      </c>
    </row>
    <row r="992" spans="1:23" x14ac:dyDescent="0.25">
      <c r="A992" t="s">
        <v>1332</v>
      </c>
      <c r="B992" t="str">
        <f t="shared" si="15"/>
        <v>GA2A00000209</v>
      </c>
      <c r="C992" t="s">
        <v>227</v>
      </c>
      <c r="D992" t="s">
        <v>85</v>
      </c>
      <c r="E992" t="s">
        <v>496</v>
      </c>
      <c r="F992">
        <v>10000</v>
      </c>
      <c r="G992" s="13">
        <v>45840</v>
      </c>
      <c r="H992" s="13">
        <v>45842</v>
      </c>
      <c r="I992">
        <v>3500</v>
      </c>
      <c r="J992">
        <v>6500</v>
      </c>
      <c r="K992">
        <v>10000</v>
      </c>
      <c r="N992">
        <v>14.285714285714285</v>
      </c>
      <c r="O992">
        <v>97.397300000000001</v>
      </c>
      <c r="P992">
        <v>100</v>
      </c>
      <c r="Q992">
        <v>95</v>
      </c>
      <c r="R992">
        <v>95</v>
      </c>
      <c r="S992">
        <v>95</v>
      </c>
      <c r="T992">
        <v>6.41</v>
      </c>
      <c r="U992">
        <v>5</v>
      </c>
      <c r="W992" t="s">
        <v>497</v>
      </c>
    </row>
    <row r="993" spans="1:23" x14ac:dyDescent="0.25">
      <c r="A993" t="s">
        <v>1457</v>
      </c>
      <c r="B993" t="str">
        <f t="shared" si="15"/>
        <v>GA2A00000332</v>
      </c>
      <c r="C993" t="s">
        <v>227</v>
      </c>
      <c r="D993" t="s">
        <v>85</v>
      </c>
      <c r="E993" t="s">
        <v>496</v>
      </c>
      <c r="F993">
        <v>10000</v>
      </c>
      <c r="G993" s="13">
        <v>45840</v>
      </c>
      <c r="H993" s="13">
        <v>45842</v>
      </c>
      <c r="I993">
        <v>0</v>
      </c>
      <c r="J993">
        <v>10000</v>
      </c>
      <c r="K993">
        <v>10000</v>
      </c>
      <c r="N993">
        <v>14.285714285714285</v>
      </c>
      <c r="O993">
        <v>93</v>
      </c>
      <c r="P993">
        <v>100</v>
      </c>
      <c r="Q993">
        <v>93</v>
      </c>
      <c r="R993">
        <v>95</v>
      </c>
      <c r="S993">
        <v>95</v>
      </c>
      <c r="T993">
        <v>6.41</v>
      </c>
      <c r="U993">
        <v>5</v>
      </c>
      <c r="W993" t="s">
        <v>497</v>
      </c>
    </row>
    <row r="994" spans="1:23" x14ac:dyDescent="0.25">
      <c r="A994" t="s">
        <v>1340</v>
      </c>
      <c r="B994" t="str">
        <f t="shared" si="15"/>
        <v>GA2J00000374</v>
      </c>
      <c r="C994" t="s">
        <v>227</v>
      </c>
      <c r="D994" t="s">
        <v>85</v>
      </c>
      <c r="E994" t="s">
        <v>499</v>
      </c>
      <c r="F994">
        <v>10000</v>
      </c>
      <c r="G994" s="13">
        <v>45840</v>
      </c>
      <c r="H994" s="13">
        <v>45842</v>
      </c>
      <c r="I994">
        <v>0</v>
      </c>
      <c r="J994">
        <v>10000</v>
      </c>
      <c r="K994">
        <v>10000</v>
      </c>
      <c r="N994">
        <v>4.7619047619047619</v>
      </c>
      <c r="O994">
        <v>93.7273</v>
      </c>
      <c r="P994">
        <v>100</v>
      </c>
      <c r="Q994">
        <v>91.5</v>
      </c>
      <c r="R994">
        <v>91.5</v>
      </c>
      <c r="S994">
        <v>91.5</v>
      </c>
      <c r="T994">
        <v>7.89</v>
      </c>
      <c r="U994">
        <v>5.5</v>
      </c>
      <c r="W994" t="s">
        <v>497</v>
      </c>
    </row>
    <row r="995" spans="1:23" x14ac:dyDescent="0.25">
      <c r="A995" t="s">
        <v>1458</v>
      </c>
      <c r="B995" t="str">
        <f t="shared" si="15"/>
        <v>GA2J00000523</v>
      </c>
      <c r="C995" t="s">
        <v>227</v>
      </c>
      <c r="D995" t="s">
        <v>85</v>
      </c>
      <c r="E995" t="s">
        <v>499</v>
      </c>
      <c r="F995">
        <v>10000</v>
      </c>
      <c r="G995" s="13">
        <v>45840</v>
      </c>
      <c r="H995" s="13">
        <v>45842</v>
      </c>
      <c r="I995">
        <v>0</v>
      </c>
      <c r="J995">
        <v>10000</v>
      </c>
      <c r="K995">
        <v>10000</v>
      </c>
      <c r="N995">
        <v>4.7619047619047619</v>
      </c>
      <c r="O995">
        <v>90.5</v>
      </c>
      <c r="P995">
        <v>100</v>
      </c>
      <c r="Q995">
        <v>90.5</v>
      </c>
      <c r="R995">
        <v>90.5</v>
      </c>
      <c r="S995">
        <v>90.5</v>
      </c>
      <c r="T995">
        <v>9.4600000000000009</v>
      </c>
      <c r="U995">
        <v>5.75</v>
      </c>
      <c r="W995" t="s">
        <v>497</v>
      </c>
    </row>
    <row r="996" spans="1:23" x14ac:dyDescent="0.25">
      <c r="A996" t="s">
        <v>1459</v>
      </c>
      <c r="B996" t="str">
        <f t="shared" si="15"/>
        <v>CG2J00000362</v>
      </c>
      <c r="C996" t="s">
        <v>229</v>
      </c>
      <c r="D996" t="s">
        <v>85</v>
      </c>
      <c r="E996" t="s">
        <v>499</v>
      </c>
      <c r="F996">
        <v>25000</v>
      </c>
      <c r="G996" s="13">
        <v>45846</v>
      </c>
      <c r="H996" s="13">
        <v>45848</v>
      </c>
      <c r="I996">
        <v>320</v>
      </c>
      <c r="J996">
        <v>17000</v>
      </c>
      <c r="K996">
        <v>17320</v>
      </c>
      <c r="N996">
        <v>12.5</v>
      </c>
      <c r="O996">
        <v>90.755300000000005</v>
      </c>
      <c r="P996">
        <v>69.28</v>
      </c>
      <c r="Q996">
        <v>90</v>
      </c>
      <c r="R996">
        <v>92</v>
      </c>
      <c r="S996">
        <v>90</v>
      </c>
      <c r="T996">
        <v>16.07</v>
      </c>
      <c r="U996">
        <v>5.7</v>
      </c>
      <c r="W996" t="s">
        <v>497</v>
      </c>
    </row>
    <row r="997" spans="1:23" x14ac:dyDescent="0.25">
      <c r="A997" t="s">
        <v>1460</v>
      </c>
      <c r="B997" t="str">
        <f t="shared" si="15"/>
        <v>CG2J00000743</v>
      </c>
      <c r="C997" t="s">
        <v>229</v>
      </c>
      <c r="D997" t="s">
        <v>85</v>
      </c>
      <c r="E997" t="s">
        <v>499</v>
      </c>
      <c r="G997" s="13">
        <v>45846</v>
      </c>
      <c r="H997" s="13">
        <v>45848</v>
      </c>
      <c r="J997">
        <v>0</v>
      </c>
      <c r="N997">
        <v>0</v>
      </c>
      <c r="S997" t="s">
        <v>1418</v>
      </c>
      <c r="T997" t="s">
        <v>946</v>
      </c>
      <c r="W997" t="s">
        <v>497</v>
      </c>
    </row>
    <row r="998" spans="1:23" x14ac:dyDescent="0.25">
      <c r="A998" t="s">
        <v>1367</v>
      </c>
      <c r="B998" t="str">
        <f t="shared" si="15"/>
        <v>GA2J00000390</v>
      </c>
      <c r="C998" t="s">
        <v>227</v>
      </c>
      <c r="D998" t="s">
        <v>85</v>
      </c>
      <c r="E998" t="s">
        <v>499</v>
      </c>
      <c r="F998">
        <v>8500</v>
      </c>
      <c r="G998" s="13">
        <v>45846</v>
      </c>
      <c r="H998" s="13">
        <v>45848</v>
      </c>
      <c r="I998">
        <v>2000</v>
      </c>
      <c r="J998">
        <v>483.67000000000007</v>
      </c>
      <c r="K998">
        <v>2483.67</v>
      </c>
      <c r="N998">
        <v>19.047619047619047</v>
      </c>
      <c r="O998">
        <v>92.182000000000002</v>
      </c>
      <c r="P998">
        <v>29.2196</v>
      </c>
      <c r="Q998">
        <v>90</v>
      </c>
      <c r="R998">
        <v>93</v>
      </c>
      <c r="S998">
        <v>90</v>
      </c>
      <c r="T998">
        <v>8.77</v>
      </c>
      <c r="U998">
        <v>5.75</v>
      </c>
      <c r="W998" t="s">
        <v>497</v>
      </c>
    </row>
    <row r="999" spans="1:23" x14ac:dyDescent="0.25">
      <c r="A999" t="s">
        <v>1461</v>
      </c>
      <c r="B999" t="str">
        <f t="shared" si="15"/>
        <v>TD2A00000974</v>
      </c>
      <c r="C999" t="s">
        <v>237</v>
      </c>
      <c r="D999" t="s">
        <v>85</v>
      </c>
      <c r="E999" t="s">
        <v>496</v>
      </c>
      <c r="F999">
        <v>10000</v>
      </c>
      <c r="G999" s="13">
        <v>45846</v>
      </c>
      <c r="H999" s="13">
        <v>45848</v>
      </c>
      <c r="I999">
        <v>3139.04</v>
      </c>
      <c r="J999">
        <v>6860.96</v>
      </c>
      <c r="K999">
        <v>10000</v>
      </c>
      <c r="N999">
        <v>66.666666666666657</v>
      </c>
      <c r="O999">
        <v>90.382400000000004</v>
      </c>
      <c r="P999">
        <v>130.43690000000001</v>
      </c>
      <c r="Q999">
        <v>90</v>
      </c>
      <c r="R999">
        <v>95</v>
      </c>
      <c r="S999">
        <v>90</v>
      </c>
      <c r="T999">
        <v>12.06</v>
      </c>
      <c r="U999">
        <v>6.5</v>
      </c>
      <c r="W999" t="s">
        <v>497</v>
      </c>
    </row>
    <row r="1000" spans="1:23" x14ac:dyDescent="0.25">
      <c r="A1000" t="s">
        <v>1462</v>
      </c>
      <c r="B1000" t="str">
        <f t="shared" si="15"/>
        <v>CM2D00000093</v>
      </c>
      <c r="C1000" t="s">
        <v>225</v>
      </c>
      <c r="D1000" t="s">
        <v>85</v>
      </c>
      <c r="E1000" t="s">
        <v>555</v>
      </c>
      <c r="F1000">
        <v>10000</v>
      </c>
      <c r="G1000" s="13">
        <v>45852</v>
      </c>
      <c r="H1000" s="13">
        <v>45854</v>
      </c>
      <c r="I1000">
        <v>10000</v>
      </c>
      <c r="J1000">
        <v>0</v>
      </c>
      <c r="K1000">
        <v>10000</v>
      </c>
      <c r="N1000">
        <v>4.5454545454545459</v>
      </c>
      <c r="O1000">
        <v>100</v>
      </c>
      <c r="P1000">
        <v>100</v>
      </c>
      <c r="Q1000">
        <v>100</v>
      </c>
      <c r="R1000">
        <v>100</v>
      </c>
      <c r="S1000">
        <v>100</v>
      </c>
      <c r="T1000">
        <v>6</v>
      </c>
      <c r="U1000">
        <v>6</v>
      </c>
      <c r="W1000" t="s">
        <v>497</v>
      </c>
    </row>
    <row r="1001" spans="1:23" x14ac:dyDescent="0.25">
      <c r="A1001" t="s">
        <v>1463</v>
      </c>
      <c r="B1001" t="str">
        <f t="shared" si="15"/>
        <v>CG2A00000684</v>
      </c>
      <c r="C1001" t="s">
        <v>229</v>
      </c>
      <c r="D1001" t="s">
        <v>85</v>
      </c>
      <c r="E1001" t="s">
        <v>496</v>
      </c>
      <c r="F1001">
        <v>20000</v>
      </c>
      <c r="G1001" s="13">
        <v>45853</v>
      </c>
      <c r="H1001" s="13">
        <v>45855</v>
      </c>
      <c r="I1001">
        <v>100</v>
      </c>
      <c r="J1001">
        <v>14582.22</v>
      </c>
      <c r="K1001">
        <v>14682.22</v>
      </c>
      <c r="N1001">
        <v>12.5</v>
      </c>
      <c r="O1001">
        <v>90</v>
      </c>
      <c r="P1001">
        <v>73.411100000000005</v>
      </c>
      <c r="Q1001">
        <v>90</v>
      </c>
      <c r="R1001">
        <v>90</v>
      </c>
      <c r="S1001">
        <v>90</v>
      </c>
      <c r="T1001">
        <v>11.65</v>
      </c>
      <c r="U1001">
        <v>5.9</v>
      </c>
      <c r="W1001" t="s">
        <v>497</v>
      </c>
    </row>
    <row r="1002" spans="1:23" x14ac:dyDescent="0.25">
      <c r="A1002" t="s">
        <v>1464</v>
      </c>
      <c r="B1002" t="str">
        <f t="shared" si="15"/>
        <v>TD2A00000982</v>
      </c>
      <c r="C1002" t="s">
        <v>237</v>
      </c>
      <c r="D1002" t="s">
        <v>85</v>
      </c>
      <c r="E1002" t="s">
        <v>496</v>
      </c>
      <c r="F1002">
        <v>25000</v>
      </c>
      <c r="G1002" s="13">
        <v>45854</v>
      </c>
      <c r="H1002" s="13">
        <v>45856</v>
      </c>
      <c r="I1002">
        <v>16719.759999999998</v>
      </c>
      <c r="J1002">
        <v>5473.3600000000006</v>
      </c>
      <c r="K1002">
        <v>22193.119999999999</v>
      </c>
      <c r="N1002">
        <v>66.666666666666657</v>
      </c>
      <c r="O1002">
        <v>90.128399999999999</v>
      </c>
      <c r="P1002">
        <v>88.772499999999994</v>
      </c>
      <c r="Q1002">
        <v>90</v>
      </c>
      <c r="R1002">
        <v>95</v>
      </c>
      <c r="S1002">
        <v>90</v>
      </c>
      <c r="T1002">
        <v>12.21</v>
      </c>
      <c r="U1002">
        <v>6.5</v>
      </c>
      <c r="W1002" t="s">
        <v>497</v>
      </c>
    </row>
    <row r="1003" spans="1:23" x14ac:dyDescent="0.25">
      <c r="A1003" t="s">
        <v>1465</v>
      </c>
      <c r="B1003" t="str">
        <f t="shared" si="15"/>
        <v>TD2J00000827</v>
      </c>
      <c r="C1003" t="s">
        <v>237</v>
      </c>
      <c r="D1003" t="s">
        <v>85</v>
      </c>
      <c r="E1003" t="s">
        <v>499</v>
      </c>
      <c r="G1003" s="13">
        <v>45854</v>
      </c>
      <c r="H1003" s="13">
        <v>45856</v>
      </c>
      <c r="J1003">
        <v>0</v>
      </c>
      <c r="N1003">
        <v>0</v>
      </c>
      <c r="S1003" t="s">
        <v>1418</v>
      </c>
      <c r="T1003" t="s">
        <v>946</v>
      </c>
      <c r="W1003" t="s">
        <v>497</v>
      </c>
    </row>
    <row r="1004" spans="1:23" x14ac:dyDescent="0.25">
      <c r="A1004" t="s">
        <v>1466</v>
      </c>
      <c r="B1004" t="str">
        <f t="shared" si="15"/>
        <v>TD2J00000835</v>
      </c>
      <c r="C1004" t="s">
        <v>237</v>
      </c>
      <c r="D1004" t="s">
        <v>85</v>
      </c>
      <c r="E1004" t="s">
        <v>499</v>
      </c>
      <c r="F1004">
        <v>21000</v>
      </c>
      <c r="G1004" s="13">
        <v>45861</v>
      </c>
      <c r="H1004" s="13">
        <v>45863</v>
      </c>
      <c r="I1004">
        <v>1000</v>
      </c>
      <c r="J1004">
        <v>11412.4</v>
      </c>
      <c r="K1004">
        <v>12412.4</v>
      </c>
      <c r="N1004">
        <v>58.333333333333336</v>
      </c>
      <c r="O1004">
        <v>90.171199999999999</v>
      </c>
      <c r="P1004">
        <v>59.106699999999996</v>
      </c>
      <c r="Q1004">
        <v>90</v>
      </c>
      <c r="R1004">
        <v>92</v>
      </c>
      <c r="S1004">
        <v>90</v>
      </c>
      <c r="T1004">
        <v>10.4</v>
      </c>
      <c r="U1004">
        <v>6.5</v>
      </c>
      <c r="W1004" t="s">
        <v>497</v>
      </c>
    </row>
    <row r="1005" spans="1:23" x14ac:dyDescent="0.25">
      <c r="A1005" t="s">
        <v>1467</v>
      </c>
      <c r="B1005" t="str">
        <f t="shared" si="15"/>
        <v>CF2J00000141</v>
      </c>
      <c r="C1005" t="s">
        <v>634</v>
      </c>
      <c r="D1005" t="s">
        <v>85</v>
      </c>
      <c r="E1005" t="s">
        <v>499</v>
      </c>
      <c r="F1005">
        <v>10000</v>
      </c>
      <c r="G1005" s="13">
        <v>45866</v>
      </c>
      <c r="H1005" s="13">
        <v>45868</v>
      </c>
      <c r="I1005">
        <v>4000</v>
      </c>
      <c r="J1005">
        <v>3510</v>
      </c>
      <c r="K1005">
        <v>7510</v>
      </c>
      <c r="N1005">
        <v>33.333333333333329</v>
      </c>
      <c r="O1005">
        <v>91</v>
      </c>
      <c r="P1005">
        <v>75.099999999999994</v>
      </c>
      <c r="Q1005">
        <v>91</v>
      </c>
      <c r="R1005">
        <v>91</v>
      </c>
      <c r="S1005">
        <v>89.85</v>
      </c>
      <c r="T1005">
        <v>9.7799999999999994</v>
      </c>
      <c r="U1005">
        <v>6.25</v>
      </c>
      <c r="W1005" t="s">
        <v>497</v>
      </c>
    </row>
    <row r="1006" spans="1:23" x14ac:dyDescent="0.25">
      <c r="A1006" t="s">
        <v>1468</v>
      </c>
      <c r="B1006" t="str">
        <f t="shared" si="15"/>
        <v>CF2K00000106</v>
      </c>
      <c r="C1006" t="s">
        <v>634</v>
      </c>
      <c r="D1006" t="s">
        <v>85</v>
      </c>
      <c r="E1006" t="s">
        <v>516</v>
      </c>
      <c r="F1006">
        <v>7500</v>
      </c>
      <c r="G1006" s="13">
        <v>45866</v>
      </c>
      <c r="H1006" s="13">
        <v>45868</v>
      </c>
      <c r="I1006">
        <v>4805.53</v>
      </c>
      <c r="J1006">
        <v>2694.4700000000003</v>
      </c>
      <c r="K1006">
        <v>7500</v>
      </c>
      <c r="N1006">
        <v>55.555555555555557</v>
      </c>
      <c r="O1006">
        <v>90.003200000000007</v>
      </c>
      <c r="P1006">
        <v>104.04</v>
      </c>
      <c r="Q1006">
        <v>90</v>
      </c>
      <c r="R1006">
        <v>92</v>
      </c>
      <c r="S1006">
        <v>90</v>
      </c>
      <c r="T1006">
        <v>9.83</v>
      </c>
      <c r="U1006">
        <v>6.75</v>
      </c>
      <c r="W1006" t="s">
        <v>497</v>
      </c>
    </row>
    <row r="1007" spans="1:23" x14ac:dyDescent="0.25">
      <c r="A1007" t="s">
        <v>1469</v>
      </c>
      <c r="B1007" t="str">
        <f t="shared" si="15"/>
        <v>CG2A00000692</v>
      </c>
      <c r="C1007" t="s">
        <v>229</v>
      </c>
      <c r="D1007" t="s">
        <v>85</v>
      </c>
      <c r="E1007" t="s">
        <v>496</v>
      </c>
      <c r="F1007">
        <v>5000</v>
      </c>
      <c r="G1007" s="13">
        <v>45867</v>
      </c>
      <c r="H1007" s="13">
        <v>45869</v>
      </c>
      <c r="I1007">
        <v>1860</v>
      </c>
      <c r="J1007">
        <v>0</v>
      </c>
      <c r="K1007">
        <v>1860</v>
      </c>
      <c r="N1007">
        <v>8.3333333333333321</v>
      </c>
      <c r="O1007">
        <v>90</v>
      </c>
      <c r="P1007">
        <v>37.200000000000003</v>
      </c>
      <c r="Q1007">
        <v>90</v>
      </c>
      <c r="R1007">
        <v>90</v>
      </c>
      <c r="S1007">
        <v>90</v>
      </c>
      <c r="T1007">
        <v>11.65</v>
      </c>
      <c r="U1007">
        <v>5.9</v>
      </c>
      <c r="W1007" t="s">
        <v>497</v>
      </c>
    </row>
    <row r="1008" spans="1:23" x14ac:dyDescent="0.25">
      <c r="A1008" t="s">
        <v>1374</v>
      </c>
      <c r="B1008" t="str">
        <f t="shared" si="15"/>
        <v>GA2J00000408</v>
      </c>
      <c r="C1008" t="s">
        <v>227</v>
      </c>
      <c r="D1008" t="s">
        <v>85</v>
      </c>
      <c r="E1008" t="s">
        <v>499</v>
      </c>
      <c r="G1008" s="13">
        <v>45875</v>
      </c>
      <c r="H1008" s="13">
        <v>45877</v>
      </c>
      <c r="J1008">
        <v>0</v>
      </c>
      <c r="N1008">
        <v>0</v>
      </c>
      <c r="S1008" t="s">
        <v>1418</v>
      </c>
      <c r="T1008" t="s">
        <v>946</v>
      </c>
      <c r="W1008" t="s">
        <v>497</v>
      </c>
    </row>
    <row r="1009" spans="1:23" x14ac:dyDescent="0.25">
      <c r="A1009" t="s">
        <v>1470</v>
      </c>
      <c r="B1009" t="str">
        <f t="shared" si="15"/>
        <v>TD2A00000990</v>
      </c>
      <c r="C1009" t="s">
        <v>237</v>
      </c>
      <c r="D1009" t="s">
        <v>85</v>
      </c>
      <c r="E1009" t="s">
        <v>496</v>
      </c>
      <c r="F1009">
        <v>20000</v>
      </c>
      <c r="G1009" s="13">
        <v>45875</v>
      </c>
      <c r="H1009" s="13">
        <v>45877</v>
      </c>
      <c r="I1009">
        <v>0</v>
      </c>
      <c r="J1009">
        <v>20000</v>
      </c>
      <c r="K1009">
        <v>20000</v>
      </c>
      <c r="N1009">
        <v>58.333333333333336</v>
      </c>
      <c r="O1009">
        <v>90.914100000000005</v>
      </c>
      <c r="P1009">
        <v>175.02510000000001</v>
      </c>
      <c r="Q1009">
        <v>90.5</v>
      </c>
      <c r="R1009">
        <v>94</v>
      </c>
      <c r="S1009">
        <v>90</v>
      </c>
      <c r="T1009">
        <v>11.73</v>
      </c>
      <c r="U1009">
        <v>6.5</v>
      </c>
      <c r="W1009" t="s">
        <v>497</v>
      </c>
    </row>
    <row r="1010" spans="1:23" x14ac:dyDescent="0.25">
      <c r="A1010" t="s">
        <v>1469</v>
      </c>
      <c r="B1010" t="str">
        <f t="shared" si="15"/>
        <v>CG2A00000692</v>
      </c>
      <c r="C1010" t="s">
        <v>229</v>
      </c>
      <c r="D1010" t="s">
        <v>85</v>
      </c>
      <c r="E1010" t="s">
        <v>496</v>
      </c>
      <c r="F1010">
        <v>5000</v>
      </c>
      <c r="G1010" s="13">
        <v>45881</v>
      </c>
      <c r="H1010" s="13">
        <v>45883</v>
      </c>
      <c r="I1010">
        <v>856.94</v>
      </c>
      <c r="J1010">
        <v>4143.0599999999995</v>
      </c>
      <c r="K1010">
        <v>5000</v>
      </c>
      <c r="N1010">
        <v>29.166666666666668</v>
      </c>
      <c r="O1010">
        <v>90.520300000000006</v>
      </c>
      <c r="P1010">
        <v>120.22</v>
      </c>
      <c r="Q1010">
        <v>90</v>
      </c>
      <c r="R1010">
        <v>95</v>
      </c>
      <c r="S1010">
        <v>90</v>
      </c>
      <c r="T1010">
        <v>11.33</v>
      </c>
      <c r="U1010">
        <v>5.9</v>
      </c>
      <c r="W1010" t="s">
        <v>497</v>
      </c>
    </row>
    <row r="1011" spans="1:23" x14ac:dyDescent="0.25">
      <c r="A1011" t="s">
        <v>1471</v>
      </c>
      <c r="B1011" t="str">
        <f t="shared" si="15"/>
        <v>GA2A00000340</v>
      </c>
      <c r="C1011" t="s">
        <v>227</v>
      </c>
      <c r="D1011" t="s">
        <v>85</v>
      </c>
      <c r="E1011" t="s">
        <v>496</v>
      </c>
      <c r="F1011">
        <v>40000</v>
      </c>
      <c r="G1011" s="13">
        <v>45882</v>
      </c>
      <c r="H1011" s="13">
        <v>45884</v>
      </c>
      <c r="I1011">
        <v>0</v>
      </c>
      <c r="J1011">
        <v>6500</v>
      </c>
      <c r="K1011">
        <v>6500</v>
      </c>
      <c r="N1011">
        <v>4.7619047619047619</v>
      </c>
      <c r="O1011">
        <v>92</v>
      </c>
      <c r="P1011">
        <v>16.25</v>
      </c>
      <c r="Q1011">
        <v>92</v>
      </c>
      <c r="R1011">
        <v>92</v>
      </c>
      <c r="S1011">
        <v>92</v>
      </c>
      <c r="T1011">
        <v>11.07</v>
      </c>
      <c r="U1011">
        <v>6.5</v>
      </c>
      <c r="W1011" t="s">
        <v>497</v>
      </c>
    </row>
    <row r="1012" spans="1:23" x14ac:dyDescent="0.25">
      <c r="A1012" t="s">
        <v>1472</v>
      </c>
      <c r="B1012" t="str">
        <f t="shared" si="15"/>
        <v>GA2B00000216</v>
      </c>
      <c r="C1012" t="s">
        <v>227</v>
      </c>
      <c r="D1012" t="s">
        <v>85</v>
      </c>
      <c r="E1012" t="s">
        <v>507</v>
      </c>
      <c r="F1012">
        <v>15000</v>
      </c>
      <c r="G1012" s="13">
        <v>45882</v>
      </c>
      <c r="H1012" s="13">
        <v>45884</v>
      </c>
      <c r="I1012">
        <v>10000</v>
      </c>
      <c r="J1012">
        <v>0</v>
      </c>
      <c r="K1012">
        <v>10000</v>
      </c>
      <c r="N1012">
        <v>4.7619047619047619</v>
      </c>
      <c r="O1012">
        <v>91.5</v>
      </c>
      <c r="P1012">
        <v>66.666700000000006</v>
      </c>
      <c r="Q1012">
        <v>91.5</v>
      </c>
      <c r="R1012">
        <v>91.5</v>
      </c>
      <c r="S1012">
        <v>91.5</v>
      </c>
      <c r="T1012">
        <v>8.89</v>
      </c>
      <c r="U1012">
        <v>6.75</v>
      </c>
      <c r="W1012" t="s">
        <v>497</v>
      </c>
    </row>
    <row r="1013" spans="1:23" x14ac:dyDescent="0.25">
      <c r="A1013" t="s">
        <v>1473</v>
      </c>
      <c r="B1013" t="str">
        <f t="shared" si="15"/>
        <v>GA2C00000157</v>
      </c>
      <c r="C1013" t="s">
        <v>227</v>
      </c>
      <c r="D1013" t="s">
        <v>85</v>
      </c>
      <c r="E1013" t="s">
        <v>549</v>
      </c>
      <c r="G1013" s="13">
        <v>45882</v>
      </c>
      <c r="H1013" s="13">
        <v>45884</v>
      </c>
      <c r="J1013">
        <v>0</v>
      </c>
      <c r="N1013">
        <v>0</v>
      </c>
      <c r="S1013" t="s">
        <v>1418</v>
      </c>
      <c r="T1013" t="s">
        <v>946</v>
      </c>
      <c r="W1013" t="s">
        <v>497</v>
      </c>
    </row>
    <row r="1014" spans="1:23" x14ac:dyDescent="0.25">
      <c r="A1014" t="s">
        <v>1474</v>
      </c>
      <c r="B1014" t="str">
        <f t="shared" si="15"/>
        <v>TD2J00000843</v>
      </c>
      <c r="C1014" t="s">
        <v>237</v>
      </c>
      <c r="D1014" t="s">
        <v>85</v>
      </c>
      <c r="E1014" t="s">
        <v>499</v>
      </c>
      <c r="F1014">
        <v>40000</v>
      </c>
      <c r="G1014" s="13">
        <v>45882</v>
      </c>
      <c r="H1014" s="13">
        <v>45884</v>
      </c>
      <c r="I1014">
        <v>9500</v>
      </c>
      <c r="J1014">
        <v>11679.25</v>
      </c>
      <c r="K1014">
        <v>21179.25</v>
      </c>
      <c r="N1014">
        <v>41.666666666666671</v>
      </c>
      <c r="O1014">
        <v>90.74</v>
      </c>
      <c r="P1014">
        <v>52.948099999999997</v>
      </c>
      <c r="Q1014">
        <v>90</v>
      </c>
      <c r="R1014">
        <v>93</v>
      </c>
      <c r="S1014">
        <v>90</v>
      </c>
      <c r="T1014">
        <v>10.16</v>
      </c>
      <c r="U1014">
        <v>6.5</v>
      </c>
      <c r="W1014" t="s">
        <v>497</v>
      </c>
    </row>
    <row r="1015" spans="1:23" x14ac:dyDescent="0.25">
      <c r="A1015" t="s">
        <v>1475</v>
      </c>
      <c r="B1015" t="str">
        <f t="shared" si="15"/>
        <v>GA2C00000058</v>
      </c>
      <c r="C1015" t="s">
        <v>227</v>
      </c>
      <c r="D1015" t="s">
        <v>85</v>
      </c>
      <c r="E1015" t="s">
        <v>549</v>
      </c>
      <c r="F1015">
        <v>5000</v>
      </c>
      <c r="G1015" s="13">
        <v>45889</v>
      </c>
      <c r="H1015" s="13">
        <v>45891</v>
      </c>
      <c r="S1015" t="s">
        <v>1418</v>
      </c>
      <c r="T1015" t="s">
        <v>946</v>
      </c>
      <c r="W1015" t="s">
        <v>497</v>
      </c>
    </row>
    <row r="1016" spans="1:23" x14ac:dyDescent="0.25">
      <c r="A1016" t="s">
        <v>1375</v>
      </c>
      <c r="B1016" t="str">
        <f t="shared" si="15"/>
        <v>GA2K00000132</v>
      </c>
      <c r="C1016" t="s">
        <v>227</v>
      </c>
      <c r="D1016" t="s">
        <v>85</v>
      </c>
      <c r="E1016" t="s">
        <v>516</v>
      </c>
      <c r="G1016" s="13">
        <v>45889</v>
      </c>
      <c r="H1016" s="13">
        <v>45891</v>
      </c>
      <c r="J1016">
        <v>0</v>
      </c>
      <c r="N1016">
        <v>0</v>
      </c>
      <c r="T1016" t="s">
        <v>946</v>
      </c>
      <c r="W1016" t="s">
        <v>497</v>
      </c>
    </row>
    <row r="1017" spans="1:23" x14ac:dyDescent="0.25">
      <c r="A1017" t="s">
        <v>1476</v>
      </c>
      <c r="B1017" t="str">
        <f t="shared" si="15"/>
        <v>TD2J00000850</v>
      </c>
      <c r="C1017" t="s">
        <v>237</v>
      </c>
      <c r="D1017" t="s">
        <v>85</v>
      </c>
      <c r="E1017" t="s">
        <v>499</v>
      </c>
      <c r="F1017">
        <v>20000</v>
      </c>
      <c r="G1017" s="13">
        <v>45889</v>
      </c>
      <c r="H1017" s="13">
        <v>45891</v>
      </c>
      <c r="I1017">
        <v>9500</v>
      </c>
      <c r="J1017">
        <v>7215</v>
      </c>
      <c r="K1017">
        <v>16715</v>
      </c>
      <c r="N1017">
        <v>33.333333333333329</v>
      </c>
      <c r="O1017">
        <v>90.134900000000002</v>
      </c>
      <c r="P1017">
        <v>83.575000000000003</v>
      </c>
      <c r="Q1017">
        <v>90</v>
      </c>
      <c r="R1017">
        <v>91</v>
      </c>
      <c r="S1017">
        <v>90</v>
      </c>
      <c r="T1017">
        <v>10.41</v>
      </c>
      <c r="U1017">
        <v>6.5</v>
      </c>
      <c r="W1017" t="s">
        <v>497</v>
      </c>
    </row>
    <row r="1018" spans="1:23" x14ac:dyDescent="0.25">
      <c r="A1018" t="s">
        <v>1477</v>
      </c>
      <c r="B1018" t="str">
        <f t="shared" si="15"/>
        <v>CG2A00000551</v>
      </c>
      <c r="C1018" t="s">
        <v>229</v>
      </c>
      <c r="D1018" t="s">
        <v>85</v>
      </c>
      <c r="E1018" t="s">
        <v>496</v>
      </c>
      <c r="G1018" s="13">
        <v>45895</v>
      </c>
      <c r="H1018" s="13">
        <v>45897</v>
      </c>
      <c r="J1018">
        <v>0</v>
      </c>
      <c r="N1018">
        <v>0</v>
      </c>
      <c r="T1018" t="s">
        <v>946</v>
      </c>
      <c r="W1018" t="s">
        <v>497</v>
      </c>
    </row>
    <row r="1019" spans="1:23" x14ac:dyDescent="0.25">
      <c r="A1019" t="s">
        <v>1478</v>
      </c>
      <c r="B1019" t="str">
        <f t="shared" si="15"/>
        <v>GA2C00000157</v>
      </c>
      <c r="C1019" t="s">
        <v>227</v>
      </c>
      <c r="D1019" t="s">
        <v>85</v>
      </c>
      <c r="E1019" t="s">
        <v>549</v>
      </c>
      <c r="F1019">
        <v>2500</v>
      </c>
      <c r="G1019" s="13">
        <v>45896</v>
      </c>
      <c r="H1019" s="13">
        <v>45898</v>
      </c>
      <c r="I1019">
        <v>0</v>
      </c>
      <c r="J1019">
        <v>500</v>
      </c>
      <c r="K1019">
        <v>500</v>
      </c>
      <c r="N1019">
        <v>4.7619047619047619</v>
      </c>
      <c r="O1019">
        <v>89.287700000000001</v>
      </c>
      <c r="P1019">
        <v>20</v>
      </c>
      <c r="Q1019">
        <v>89</v>
      </c>
      <c r="R1019">
        <v>89</v>
      </c>
      <c r="S1019">
        <v>89</v>
      </c>
      <c r="T1019">
        <v>9.64</v>
      </c>
      <c r="U1019">
        <v>7.5</v>
      </c>
      <c r="W1019" t="s">
        <v>497</v>
      </c>
    </row>
    <row r="1020" spans="1:23" x14ac:dyDescent="0.25">
      <c r="A1020" t="s">
        <v>1479</v>
      </c>
      <c r="B1020" t="str">
        <f t="shared" si="15"/>
        <v>GA2A00000357</v>
      </c>
      <c r="C1020" t="s">
        <v>227</v>
      </c>
      <c r="D1020" t="s">
        <v>85</v>
      </c>
      <c r="E1020" t="s">
        <v>496</v>
      </c>
      <c r="F1020">
        <v>10000</v>
      </c>
      <c r="G1020" s="13">
        <v>45896</v>
      </c>
      <c r="H1020" s="13">
        <v>45898</v>
      </c>
      <c r="I1020">
        <v>0</v>
      </c>
      <c r="J1020">
        <v>10000</v>
      </c>
      <c r="K1020">
        <v>10000</v>
      </c>
      <c r="N1020">
        <v>4.7619047619047619</v>
      </c>
      <c r="O1020">
        <v>92.5</v>
      </c>
      <c r="P1020">
        <v>100</v>
      </c>
      <c r="Q1020">
        <v>92.5</v>
      </c>
      <c r="R1020">
        <v>92.5</v>
      </c>
      <c r="S1020">
        <v>92.5</v>
      </c>
      <c r="T1020">
        <v>10.77</v>
      </c>
      <c r="U1020">
        <v>6.5</v>
      </c>
      <c r="W1020" t="s">
        <v>497</v>
      </c>
    </row>
    <row r="1021" spans="1:23" x14ac:dyDescent="0.25">
      <c r="A1021" t="s">
        <v>1480</v>
      </c>
      <c r="B1021" t="str">
        <f t="shared" si="15"/>
        <v>TD2J00000868</v>
      </c>
      <c r="C1021" t="s">
        <v>237</v>
      </c>
      <c r="D1021" t="s">
        <v>85</v>
      </c>
      <c r="E1021" t="s">
        <v>499</v>
      </c>
      <c r="F1021">
        <v>10000</v>
      </c>
      <c r="G1021" s="13">
        <v>45896</v>
      </c>
      <c r="H1021" s="13">
        <v>45898</v>
      </c>
      <c r="I1021">
        <v>0</v>
      </c>
      <c r="J1021">
        <v>8365.35</v>
      </c>
      <c r="K1021">
        <v>8365.35</v>
      </c>
      <c r="N1021">
        <v>33.333333333333329</v>
      </c>
      <c r="O1021">
        <v>91.621600000000001</v>
      </c>
      <c r="P1021">
        <v>83.653499999999994</v>
      </c>
      <c r="Q1021">
        <v>90</v>
      </c>
      <c r="R1021">
        <v>94</v>
      </c>
      <c r="S1021">
        <v>90</v>
      </c>
      <c r="T1021">
        <v>9.7899999999999991</v>
      </c>
      <c r="U1021">
        <v>6.5</v>
      </c>
      <c r="W1021" t="s">
        <v>497</v>
      </c>
    </row>
    <row r="1022" spans="1:23" x14ac:dyDescent="0.25">
      <c r="A1022" t="s">
        <v>1481</v>
      </c>
      <c r="B1022" t="str">
        <f t="shared" si="15"/>
        <v>CG2A00000551</v>
      </c>
      <c r="C1022" t="s">
        <v>229</v>
      </c>
      <c r="D1022" t="s">
        <v>85</v>
      </c>
      <c r="E1022" t="s">
        <v>496</v>
      </c>
      <c r="F1022">
        <v>10000</v>
      </c>
      <c r="G1022" s="13">
        <v>45895</v>
      </c>
      <c r="H1022" s="13">
        <v>45897</v>
      </c>
      <c r="I1022">
        <v>1140</v>
      </c>
      <c r="J1022">
        <v>2105</v>
      </c>
      <c r="K1022">
        <v>3245</v>
      </c>
      <c r="N1022">
        <v>33.333333333333329</v>
      </c>
      <c r="O1022">
        <v>96.158000000000001</v>
      </c>
      <c r="P1022">
        <v>32.450000000000003</v>
      </c>
      <c r="Q1022">
        <v>90</v>
      </c>
      <c r="R1022">
        <v>95</v>
      </c>
      <c r="S1022">
        <v>90</v>
      </c>
      <c r="T1022">
        <v>9.6199999999999992</v>
      </c>
      <c r="U1022">
        <v>5.5</v>
      </c>
      <c r="W1022" t="s">
        <v>497</v>
      </c>
    </row>
    <row r="1023" spans="1:23" x14ac:dyDescent="0.25">
      <c r="A1023" t="s">
        <v>1482</v>
      </c>
      <c r="B1023" t="str">
        <f t="shared" si="15"/>
        <v>CG2A00000551</v>
      </c>
      <c r="C1023" t="s">
        <v>229</v>
      </c>
      <c r="D1023" t="s">
        <v>85</v>
      </c>
      <c r="E1023" t="s">
        <v>496</v>
      </c>
      <c r="F1023">
        <v>15000</v>
      </c>
      <c r="G1023" s="13">
        <v>45902</v>
      </c>
      <c r="H1023" s="13">
        <v>45904</v>
      </c>
      <c r="I1023">
        <v>0</v>
      </c>
      <c r="J1023">
        <v>15000</v>
      </c>
      <c r="K1023">
        <v>15000</v>
      </c>
      <c r="N1023">
        <v>29.166666666666668</v>
      </c>
      <c r="O1023">
        <v>90.824299999999994</v>
      </c>
      <c r="P1023">
        <v>127.8173</v>
      </c>
      <c r="Q1023">
        <v>90</v>
      </c>
      <c r="R1023">
        <v>94</v>
      </c>
      <c r="S1023">
        <v>90</v>
      </c>
      <c r="T1023">
        <v>15.78</v>
      </c>
      <c r="U1023">
        <v>5.5</v>
      </c>
      <c r="W1023" t="s">
        <v>497</v>
      </c>
    </row>
    <row r="1024" spans="1:23" x14ac:dyDescent="0.25">
      <c r="A1024" t="s">
        <v>1483</v>
      </c>
      <c r="B1024" t="str">
        <f t="shared" si="15"/>
        <v>TD2A00001006</v>
      </c>
      <c r="C1024" t="s">
        <v>237</v>
      </c>
      <c r="D1024" t="s">
        <v>85</v>
      </c>
      <c r="E1024" t="s">
        <v>496</v>
      </c>
      <c r="F1024">
        <v>20000</v>
      </c>
      <c r="G1024" s="13">
        <v>45903</v>
      </c>
      <c r="H1024" s="13">
        <v>45905</v>
      </c>
      <c r="I1024">
        <v>500</v>
      </c>
      <c r="J1024">
        <v>19500</v>
      </c>
      <c r="K1024">
        <v>20000</v>
      </c>
      <c r="N1024">
        <v>50</v>
      </c>
      <c r="O1024">
        <v>91.156499999999994</v>
      </c>
      <c r="P1024">
        <v>105.63420000000001</v>
      </c>
      <c r="Q1024">
        <v>90</v>
      </c>
      <c r="R1024">
        <v>94</v>
      </c>
      <c r="S1024">
        <v>90</v>
      </c>
      <c r="T1024">
        <v>11.05</v>
      </c>
      <c r="U1024">
        <v>6</v>
      </c>
      <c r="W1024" t="s">
        <v>497</v>
      </c>
    </row>
    <row r="1025" spans="1:23" x14ac:dyDescent="0.25">
      <c r="A1025" t="s">
        <v>1484</v>
      </c>
      <c r="B1025" t="str">
        <f t="shared" si="15"/>
        <v>CG2J00000404</v>
      </c>
      <c r="C1025" t="s">
        <v>229</v>
      </c>
      <c r="D1025" t="s">
        <v>85</v>
      </c>
      <c r="E1025" t="s">
        <v>499</v>
      </c>
      <c r="F1025">
        <v>15000</v>
      </c>
      <c r="G1025" s="13">
        <v>45909</v>
      </c>
      <c r="H1025" s="13">
        <v>45911</v>
      </c>
      <c r="I1025">
        <v>1832</v>
      </c>
      <c r="J1025">
        <v>13168</v>
      </c>
      <c r="K1025">
        <v>15000</v>
      </c>
      <c r="N1025">
        <v>50</v>
      </c>
      <c r="O1025">
        <v>91.618499999999997</v>
      </c>
      <c r="P1025">
        <v>152.18090000000001</v>
      </c>
      <c r="Q1025">
        <v>90.5</v>
      </c>
      <c r="R1025">
        <v>94</v>
      </c>
      <c r="S1025">
        <v>90.5</v>
      </c>
      <c r="T1025">
        <v>15.36</v>
      </c>
      <c r="U1025">
        <v>6</v>
      </c>
      <c r="W1025" t="s">
        <v>497</v>
      </c>
    </row>
    <row r="1026" spans="1:23" x14ac:dyDescent="0.25">
      <c r="A1026" t="s">
        <v>1485</v>
      </c>
      <c r="B1026" t="str">
        <f t="shared" si="15"/>
        <v>TD2J00000876</v>
      </c>
      <c r="C1026" t="s">
        <v>237</v>
      </c>
      <c r="D1026" t="s">
        <v>85</v>
      </c>
      <c r="E1026" t="s">
        <v>499</v>
      </c>
      <c r="F1026">
        <v>10000</v>
      </c>
      <c r="G1026" s="13">
        <v>45910</v>
      </c>
      <c r="H1026" s="13">
        <v>45912</v>
      </c>
      <c r="I1026">
        <v>0</v>
      </c>
      <c r="J1026">
        <v>2929.4</v>
      </c>
      <c r="K1026">
        <v>2929.4</v>
      </c>
      <c r="N1026">
        <v>41.666666666666671</v>
      </c>
      <c r="O1026">
        <v>90.451300000000003</v>
      </c>
      <c r="P1026">
        <v>29.294</v>
      </c>
      <c r="Q1026">
        <v>90</v>
      </c>
      <c r="R1026">
        <v>93</v>
      </c>
      <c r="S1026">
        <v>90</v>
      </c>
      <c r="T1026">
        <v>10.28</v>
      </c>
      <c r="U1026">
        <v>6.5</v>
      </c>
      <c r="W1026" t="s">
        <v>497</v>
      </c>
    </row>
    <row r="1027" spans="1:23" x14ac:dyDescent="0.25">
      <c r="A1027" t="s">
        <v>1486</v>
      </c>
      <c r="B1027" t="str">
        <f t="shared" si="15"/>
        <v>GA2J00000549</v>
      </c>
      <c r="C1027" t="s">
        <v>227</v>
      </c>
      <c r="D1027" t="s">
        <v>85</v>
      </c>
      <c r="E1027" t="s">
        <v>499</v>
      </c>
      <c r="F1027">
        <v>7500</v>
      </c>
      <c r="G1027" s="13">
        <v>45910</v>
      </c>
      <c r="H1027" s="13">
        <v>45912</v>
      </c>
      <c r="S1027" t="s">
        <v>1418</v>
      </c>
      <c r="T1027" t="s">
        <v>946</v>
      </c>
      <c r="W1027" t="s">
        <v>497</v>
      </c>
    </row>
    <row r="1028" spans="1:23" x14ac:dyDescent="0.25">
      <c r="A1028" t="s">
        <v>1487</v>
      </c>
      <c r="B1028" t="str">
        <f t="shared" si="15"/>
        <v>CM2D00000101</v>
      </c>
      <c r="C1028" t="s">
        <v>225</v>
      </c>
      <c r="D1028" t="s">
        <v>85</v>
      </c>
      <c r="E1028" t="s">
        <v>555</v>
      </c>
      <c r="F1028">
        <v>10000</v>
      </c>
      <c r="G1028" s="13">
        <v>45915</v>
      </c>
      <c r="H1028" s="13">
        <v>45917</v>
      </c>
      <c r="J1028">
        <v>0</v>
      </c>
      <c r="N1028">
        <v>0</v>
      </c>
      <c r="S1028" t="s">
        <v>1418</v>
      </c>
      <c r="T1028" t="s">
        <v>946</v>
      </c>
      <c r="W1028" t="s">
        <v>497</v>
      </c>
    </row>
    <row r="1029" spans="1:23" x14ac:dyDescent="0.25">
      <c r="A1029" t="s">
        <v>1488</v>
      </c>
      <c r="B1029" t="str">
        <f t="shared" ref="B1029:B1092" si="16">MID(A1029,1,12)</f>
        <v>CF2A00000074</v>
      </c>
      <c r="C1029" t="s">
        <v>634</v>
      </c>
      <c r="D1029" t="s">
        <v>85</v>
      </c>
      <c r="E1029" t="s">
        <v>496</v>
      </c>
      <c r="F1029">
        <v>15000</v>
      </c>
      <c r="G1029" s="13">
        <v>45915</v>
      </c>
      <c r="H1029" s="13">
        <v>45917</v>
      </c>
      <c r="I1029">
        <v>0</v>
      </c>
      <c r="J1029">
        <v>15000</v>
      </c>
      <c r="K1029">
        <v>15000</v>
      </c>
      <c r="N1029">
        <v>11.111111111111111</v>
      </c>
      <c r="O1029">
        <v>92</v>
      </c>
      <c r="P1029">
        <v>100</v>
      </c>
      <c r="Q1029">
        <v>92</v>
      </c>
      <c r="R1029">
        <v>92</v>
      </c>
      <c r="S1029">
        <v>92</v>
      </c>
      <c r="T1029">
        <v>10.54</v>
      </c>
      <c r="U1029">
        <v>6</v>
      </c>
      <c r="W1029" t="s">
        <v>497</v>
      </c>
    </row>
    <row r="1030" spans="1:23" x14ac:dyDescent="0.25">
      <c r="A1030" t="s">
        <v>1489</v>
      </c>
      <c r="B1030" t="str">
        <f t="shared" si="16"/>
        <v>CF2J00000158</v>
      </c>
      <c r="C1030" t="s">
        <v>634</v>
      </c>
      <c r="D1030" t="s">
        <v>85</v>
      </c>
      <c r="E1030" t="s">
        <v>499</v>
      </c>
      <c r="F1030">
        <v>5000</v>
      </c>
      <c r="G1030" s="13">
        <v>45915</v>
      </c>
      <c r="H1030" s="13">
        <v>45917</v>
      </c>
      <c r="I1030">
        <v>2500</v>
      </c>
      <c r="J1030">
        <v>2500</v>
      </c>
      <c r="K1030">
        <v>5000</v>
      </c>
      <c r="N1030">
        <v>22.222222222222221</v>
      </c>
      <c r="O1030">
        <v>91</v>
      </c>
      <c r="P1030">
        <v>200</v>
      </c>
      <c r="Q1030">
        <v>91</v>
      </c>
      <c r="R1030">
        <v>91</v>
      </c>
      <c r="S1030">
        <v>91</v>
      </c>
      <c r="T1030">
        <v>9.7799999999999994</v>
      </c>
      <c r="U1030">
        <v>6.25</v>
      </c>
      <c r="W1030" t="s">
        <v>497</v>
      </c>
    </row>
    <row r="1031" spans="1:23" x14ac:dyDescent="0.25">
      <c r="A1031" t="s">
        <v>1490</v>
      </c>
      <c r="B1031" t="str">
        <f t="shared" si="16"/>
        <v>CG2A00000700</v>
      </c>
      <c r="C1031" t="s">
        <v>229</v>
      </c>
      <c r="D1031" t="s">
        <v>85</v>
      </c>
      <c r="E1031" t="s">
        <v>496</v>
      </c>
      <c r="F1031">
        <v>15000</v>
      </c>
      <c r="G1031" s="13">
        <v>45916</v>
      </c>
      <c r="H1031" s="13">
        <v>45918</v>
      </c>
      <c r="I1031">
        <v>5100</v>
      </c>
      <c r="J1031">
        <v>181.21000000000004</v>
      </c>
      <c r="K1031">
        <v>5281.21</v>
      </c>
      <c r="N1031">
        <v>20.833333333333336</v>
      </c>
      <c r="O1031">
        <v>91.928399999999996</v>
      </c>
      <c r="P1031">
        <v>35.208100000000002</v>
      </c>
      <c r="Q1031">
        <v>90</v>
      </c>
      <c r="R1031">
        <v>93</v>
      </c>
      <c r="S1031">
        <v>90</v>
      </c>
      <c r="T1031">
        <v>10.48</v>
      </c>
      <c r="U1031">
        <v>5.9</v>
      </c>
      <c r="W1031" t="s">
        <v>497</v>
      </c>
    </row>
    <row r="1032" spans="1:23" x14ac:dyDescent="0.25">
      <c r="A1032" t="s">
        <v>1058</v>
      </c>
      <c r="B1032" t="str">
        <f t="shared" si="16"/>
        <v>CG2J00000479</v>
      </c>
      <c r="C1032" t="s">
        <v>229</v>
      </c>
      <c r="D1032" t="s">
        <v>85</v>
      </c>
      <c r="E1032" t="s">
        <v>499</v>
      </c>
      <c r="F1032">
        <v>25000</v>
      </c>
      <c r="G1032" s="13">
        <v>45916</v>
      </c>
      <c r="H1032" s="13">
        <v>45918</v>
      </c>
      <c r="I1032">
        <v>20378</v>
      </c>
      <c r="J1032">
        <v>4622</v>
      </c>
      <c r="K1032">
        <v>25000</v>
      </c>
      <c r="N1032">
        <v>41.666666666666671</v>
      </c>
      <c r="O1032">
        <v>96.543700000000001</v>
      </c>
      <c r="P1032">
        <v>109.5198</v>
      </c>
      <c r="Q1032">
        <v>90.5</v>
      </c>
      <c r="R1032">
        <v>98</v>
      </c>
      <c r="S1032">
        <v>90</v>
      </c>
      <c r="T1032">
        <v>9.7100000000000009</v>
      </c>
      <c r="U1032">
        <v>6</v>
      </c>
      <c r="W1032" t="s">
        <v>497</v>
      </c>
    </row>
    <row r="1033" spans="1:23" x14ac:dyDescent="0.25">
      <c r="A1033" t="s">
        <v>1491</v>
      </c>
      <c r="B1033" t="str">
        <f t="shared" si="16"/>
        <v>TD2A00001014</v>
      </c>
      <c r="C1033" t="s">
        <v>237</v>
      </c>
      <c r="D1033" t="s">
        <v>85</v>
      </c>
      <c r="E1033" t="s">
        <v>496</v>
      </c>
      <c r="F1033">
        <v>20000</v>
      </c>
      <c r="G1033" s="13">
        <v>45917</v>
      </c>
      <c r="H1033" s="13">
        <v>45919</v>
      </c>
      <c r="I1033">
        <v>8403.74</v>
      </c>
      <c r="J1033">
        <v>11596.26</v>
      </c>
      <c r="K1033">
        <v>20000</v>
      </c>
      <c r="N1033">
        <v>50</v>
      </c>
      <c r="O1033">
        <v>90.8142</v>
      </c>
      <c r="P1033">
        <v>135.29849999999999</v>
      </c>
      <c r="Q1033">
        <v>90.5</v>
      </c>
      <c r="R1033">
        <v>91</v>
      </c>
      <c r="S1033">
        <v>90</v>
      </c>
      <c r="T1033">
        <v>11.26</v>
      </c>
      <c r="U1033">
        <v>6</v>
      </c>
      <c r="W1033" t="s">
        <v>497</v>
      </c>
    </row>
    <row r="1034" spans="1:23" x14ac:dyDescent="0.25">
      <c r="A1034" t="s">
        <v>1492</v>
      </c>
      <c r="B1034" t="str">
        <f t="shared" si="16"/>
        <v>GA2C00000025</v>
      </c>
      <c r="C1034" t="s">
        <v>227</v>
      </c>
      <c r="D1034" t="s">
        <v>85</v>
      </c>
      <c r="E1034" t="s">
        <v>549</v>
      </c>
      <c r="F1034">
        <v>7500</v>
      </c>
      <c r="G1034" s="13">
        <v>45917</v>
      </c>
      <c r="H1034" s="13">
        <v>45919</v>
      </c>
      <c r="I1034">
        <v>989.75</v>
      </c>
      <c r="J1034">
        <v>6510.25</v>
      </c>
      <c r="K1034">
        <v>7500</v>
      </c>
      <c r="N1034">
        <v>28.571428571428569</v>
      </c>
      <c r="O1034">
        <v>92.530299999999997</v>
      </c>
      <c r="P1034">
        <v>120.1935</v>
      </c>
      <c r="Q1034">
        <v>90</v>
      </c>
      <c r="R1034">
        <v>100</v>
      </c>
      <c r="S1034">
        <v>90</v>
      </c>
      <c r="T1034">
        <v>10.199999999999999</v>
      </c>
      <c r="U1034">
        <v>7.25</v>
      </c>
      <c r="W1034" t="s">
        <v>497</v>
      </c>
    </row>
    <row r="1035" spans="1:23" x14ac:dyDescent="0.25">
      <c r="A1035" t="s">
        <v>1493</v>
      </c>
      <c r="B1035" t="str">
        <f t="shared" si="16"/>
        <v>CM2D00000119</v>
      </c>
      <c r="C1035" t="s">
        <v>225</v>
      </c>
      <c r="D1035" t="s">
        <v>85</v>
      </c>
      <c r="E1035" t="s">
        <v>555</v>
      </c>
      <c r="F1035">
        <v>10000</v>
      </c>
      <c r="G1035" s="13">
        <v>45922</v>
      </c>
      <c r="H1035" s="13">
        <v>45924</v>
      </c>
      <c r="I1035">
        <v>9966.6200000000008</v>
      </c>
      <c r="J1035">
        <v>33.3799999999992</v>
      </c>
      <c r="K1035">
        <v>10000</v>
      </c>
      <c r="N1035">
        <v>27.27272727272727</v>
      </c>
      <c r="O1035">
        <v>95</v>
      </c>
      <c r="P1035">
        <v>123.68</v>
      </c>
      <c r="Q1035">
        <v>91</v>
      </c>
      <c r="R1035">
        <v>95</v>
      </c>
      <c r="S1035">
        <v>91</v>
      </c>
      <c r="T1035">
        <v>8.24</v>
      </c>
      <c r="U1035">
        <v>7.5</v>
      </c>
      <c r="W1035" t="s">
        <v>497</v>
      </c>
    </row>
    <row r="1036" spans="1:23" x14ac:dyDescent="0.25">
      <c r="A1036" t="s">
        <v>1494</v>
      </c>
      <c r="B1036" t="str">
        <f t="shared" si="16"/>
        <v>CF2J00000158</v>
      </c>
      <c r="C1036" t="s">
        <v>634</v>
      </c>
      <c r="D1036" t="s">
        <v>85</v>
      </c>
      <c r="E1036" t="s">
        <v>499</v>
      </c>
      <c r="F1036">
        <v>5000</v>
      </c>
      <c r="G1036" s="13">
        <v>45922</v>
      </c>
      <c r="H1036" s="13">
        <v>45924</v>
      </c>
      <c r="I1036">
        <v>2500</v>
      </c>
      <c r="J1036">
        <v>2500</v>
      </c>
      <c r="K1036">
        <v>5000</v>
      </c>
      <c r="N1036">
        <v>22.222222222222221</v>
      </c>
      <c r="O1036">
        <v>91.119900000000001</v>
      </c>
      <c r="P1036">
        <v>100</v>
      </c>
      <c r="Q1036">
        <v>91</v>
      </c>
      <c r="R1036">
        <v>91</v>
      </c>
      <c r="S1036">
        <v>91</v>
      </c>
      <c r="T1036">
        <v>9.73</v>
      </c>
      <c r="U1036">
        <v>6.25</v>
      </c>
      <c r="W1036" t="s">
        <v>497</v>
      </c>
    </row>
    <row r="1037" spans="1:23" x14ac:dyDescent="0.25">
      <c r="A1037" t="s">
        <v>1495</v>
      </c>
      <c r="B1037" t="str">
        <f t="shared" si="16"/>
        <v>CG2J00000487</v>
      </c>
      <c r="C1037" t="s">
        <v>229</v>
      </c>
      <c r="D1037" t="s">
        <v>85</v>
      </c>
      <c r="E1037" t="s">
        <v>499</v>
      </c>
      <c r="F1037">
        <v>30000</v>
      </c>
      <c r="G1037" s="13">
        <v>45923</v>
      </c>
      <c r="H1037" s="13">
        <v>45925</v>
      </c>
      <c r="I1037">
        <v>51</v>
      </c>
      <c r="J1037">
        <v>16984.91</v>
      </c>
      <c r="K1037">
        <v>17035.91</v>
      </c>
      <c r="N1037">
        <v>33.333333333333329</v>
      </c>
      <c r="O1037">
        <v>95.691299999999998</v>
      </c>
      <c r="P1037">
        <v>56.7864</v>
      </c>
      <c r="Q1037">
        <v>90</v>
      </c>
      <c r="R1037">
        <v>94</v>
      </c>
      <c r="S1037">
        <v>90</v>
      </c>
      <c r="T1037">
        <v>10.66</v>
      </c>
      <c r="U1037">
        <v>6</v>
      </c>
      <c r="W1037" t="s">
        <v>497</v>
      </c>
    </row>
    <row r="1038" spans="1:23" x14ac:dyDescent="0.25">
      <c r="A1038" t="s">
        <v>1496</v>
      </c>
      <c r="B1038" t="str">
        <f t="shared" si="16"/>
        <v>GQ2K00000062</v>
      </c>
      <c r="C1038" t="s">
        <v>528</v>
      </c>
      <c r="D1038" t="s">
        <v>85</v>
      </c>
      <c r="E1038" t="s">
        <v>516</v>
      </c>
      <c r="F1038">
        <v>50000</v>
      </c>
      <c r="G1038" s="13">
        <v>45923</v>
      </c>
      <c r="H1038" s="13">
        <v>45925</v>
      </c>
      <c r="I1038">
        <v>8169.1</v>
      </c>
      <c r="J1038">
        <v>10092.199999999999</v>
      </c>
      <c r="K1038">
        <v>18261.3</v>
      </c>
      <c r="N1038">
        <v>38.461538461538467</v>
      </c>
      <c r="O1038">
        <v>91.280199999999994</v>
      </c>
      <c r="P1038">
        <v>36.522599999999997</v>
      </c>
      <c r="Q1038">
        <v>91</v>
      </c>
      <c r="R1038">
        <v>92.5</v>
      </c>
      <c r="S1038">
        <v>91</v>
      </c>
      <c r="T1038">
        <v>9.68</v>
      </c>
      <c r="U1038">
        <v>7</v>
      </c>
      <c r="W1038" t="s">
        <v>497</v>
      </c>
    </row>
    <row r="1039" spans="1:23" x14ac:dyDescent="0.25">
      <c r="A1039" t="s">
        <v>1497</v>
      </c>
      <c r="B1039" t="str">
        <f t="shared" si="16"/>
        <v>TD2J00000884</v>
      </c>
      <c r="C1039" t="s">
        <v>237</v>
      </c>
      <c r="D1039" t="s">
        <v>85</v>
      </c>
      <c r="E1039" t="s">
        <v>499</v>
      </c>
      <c r="F1039">
        <v>15000</v>
      </c>
      <c r="G1039" s="13">
        <v>45924</v>
      </c>
      <c r="H1039" s="13">
        <v>45926</v>
      </c>
      <c r="I1039">
        <v>0</v>
      </c>
      <c r="J1039">
        <v>13000</v>
      </c>
      <c r="K1039">
        <v>13000</v>
      </c>
      <c r="N1039">
        <v>41.666666666666671</v>
      </c>
      <c r="O1039">
        <v>90.073599999999999</v>
      </c>
      <c r="P1039">
        <v>162.946</v>
      </c>
      <c r="Q1039">
        <v>90</v>
      </c>
      <c r="R1039">
        <v>93</v>
      </c>
      <c r="S1039">
        <v>90</v>
      </c>
      <c r="T1039">
        <v>10.44</v>
      </c>
      <c r="U1039">
        <v>6.5</v>
      </c>
      <c r="W1039" t="s">
        <v>497</v>
      </c>
    </row>
    <row r="1040" spans="1:23" x14ac:dyDescent="0.25">
      <c r="A1040" t="s">
        <v>1498</v>
      </c>
      <c r="B1040" t="str">
        <f t="shared" si="16"/>
        <v>CG2J00000495</v>
      </c>
      <c r="C1040" t="s">
        <v>229</v>
      </c>
      <c r="D1040" t="s">
        <v>85</v>
      </c>
      <c r="E1040" t="s">
        <v>499</v>
      </c>
      <c r="F1040">
        <v>5000</v>
      </c>
      <c r="G1040" s="13">
        <v>45930</v>
      </c>
      <c r="H1040" s="13">
        <v>45932</v>
      </c>
      <c r="I1040">
        <v>2500</v>
      </c>
      <c r="J1040">
        <v>436</v>
      </c>
      <c r="K1040">
        <v>2936</v>
      </c>
      <c r="N1040">
        <v>20.833333333333336</v>
      </c>
      <c r="O1040">
        <v>94.498099999999994</v>
      </c>
      <c r="P1040">
        <v>58.72</v>
      </c>
      <c r="Q1040">
        <v>90.5</v>
      </c>
      <c r="R1040">
        <v>93</v>
      </c>
      <c r="S1040">
        <v>90</v>
      </c>
      <c r="T1040">
        <v>12</v>
      </c>
      <c r="U1040">
        <v>6</v>
      </c>
      <c r="W1040" t="s">
        <v>497</v>
      </c>
    </row>
    <row r="1041" spans="1:23" x14ac:dyDescent="0.25">
      <c r="A1041" t="s">
        <v>1499</v>
      </c>
      <c r="B1041" t="str">
        <f t="shared" si="16"/>
        <v>CG2J00000750</v>
      </c>
      <c r="C1041" t="s">
        <v>229</v>
      </c>
      <c r="D1041" t="s">
        <v>85</v>
      </c>
      <c r="E1041" t="s">
        <v>499</v>
      </c>
      <c r="F1041">
        <v>5000</v>
      </c>
      <c r="G1041" s="13">
        <v>45930</v>
      </c>
      <c r="H1041" s="13">
        <v>45932</v>
      </c>
      <c r="I1041">
        <v>13</v>
      </c>
      <c r="J1041">
        <v>606.5</v>
      </c>
      <c r="K1041">
        <v>619.5</v>
      </c>
      <c r="N1041">
        <v>16.666666666666664</v>
      </c>
      <c r="O1041">
        <v>91.761099999999999</v>
      </c>
      <c r="P1041">
        <v>12.39</v>
      </c>
      <c r="Q1041">
        <v>90</v>
      </c>
      <c r="R1041">
        <v>95</v>
      </c>
      <c r="S1041">
        <v>90</v>
      </c>
      <c r="T1041">
        <v>9.2100000000000009</v>
      </c>
      <c r="U1041">
        <v>6</v>
      </c>
      <c r="W1041" t="s">
        <v>497</v>
      </c>
    </row>
    <row r="1042" spans="1:23" x14ac:dyDescent="0.25">
      <c r="A1042" t="s">
        <v>1500</v>
      </c>
      <c r="B1042" t="str">
        <f t="shared" si="16"/>
        <v>GA2J00000549</v>
      </c>
      <c r="C1042" t="s">
        <v>227</v>
      </c>
      <c r="D1042" t="s">
        <v>85</v>
      </c>
      <c r="E1042" t="s">
        <v>499</v>
      </c>
      <c r="F1042">
        <v>10000</v>
      </c>
      <c r="G1042" s="13">
        <v>45931</v>
      </c>
      <c r="H1042" s="13">
        <v>45933</v>
      </c>
      <c r="J1042">
        <v>0</v>
      </c>
      <c r="T1042" t="s">
        <v>750</v>
      </c>
      <c r="W1042" t="s">
        <v>497</v>
      </c>
    </row>
    <row r="1043" spans="1:23" x14ac:dyDescent="0.25">
      <c r="A1043" t="s">
        <v>1501</v>
      </c>
      <c r="B1043" t="str">
        <f t="shared" si="16"/>
        <v>TD2A00001022</v>
      </c>
      <c r="C1043" t="s">
        <v>237</v>
      </c>
      <c r="D1043" t="s">
        <v>85</v>
      </c>
      <c r="E1043" t="s">
        <v>496</v>
      </c>
      <c r="F1043">
        <v>15000</v>
      </c>
      <c r="G1043" s="13">
        <v>45931</v>
      </c>
      <c r="H1043" s="13">
        <v>45933</v>
      </c>
      <c r="I1043">
        <v>7000</v>
      </c>
      <c r="J1043">
        <v>2590.7399999999998</v>
      </c>
      <c r="K1043">
        <v>9590.74</v>
      </c>
      <c r="N1043">
        <v>66.666666666666657</v>
      </c>
      <c r="O1043">
        <v>90.995900000000006</v>
      </c>
      <c r="P1043">
        <v>63.938299999999998</v>
      </c>
      <c r="Q1043">
        <v>90</v>
      </c>
      <c r="R1043">
        <v>93</v>
      </c>
      <c r="S1043">
        <v>90</v>
      </c>
      <c r="T1043">
        <v>11.15</v>
      </c>
      <c r="U1043">
        <v>6</v>
      </c>
      <c r="W1043" t="s">
        <v>497</v>
      </c>
    </row>
    <row r="1044" spans="1:23" x14ac:dyDescent="0.25">
      <c r="A1044" t="s">
        <v>1502</v>
      </c>
      <c r="B1044" t="str">
        <f t="shared" si="16"/>
        <v>CG2J00000479</v>
      </c>
      <c r="C1044" t="s">
        <v>229</v>
      </c>
      <c r="D1044" t="s">
        <v>85</v>
      </c>
      <c r="E1044" t="s">
        <v>499</v>
      </c>
      <c r="F1044">
        <v>10000</v>
      </c>
      <c r="G1044" s="13">
        <v>45937</v>
      </c>
      <c r="H1044" s="13">
        <v>45939</v>
      </c>
      <c r="I1044">
        <v>0</v>
      </c>
      <c r="J1044">
        <v>378</v>
      </c>
      <c r="K1044">
        <v>378</v>
      </c>
      <c r="N1044">
        <v>20.833333333333336</v>
      </c>
      <c r="O1044">
        <v>96.953400000000002</v>
      </c>
      <c r="P1044">
        <v>3.88</v>
      </c>
      <c r="Q1044">
        <v>90.5</v>
      </c>
      <c r="R1044">
        <v>96</v>
      </c>
      <c r="S1044">
        <v>90.5</v>
      </c>
      <c r="T1044">
        <v>9.26</v>
      </c>
      <c r="U1044">
        <v>6</v>
      </c>
      <c r="W1044" t="s">
        <v>497</v>
      </c>
    </row>
    <row r="1045" spans="1:23" x14ac:dyDescent="0.25">
      <c r="A1045" t="s">
        <v>1503</v>
      </c>
      <c r="B1045" t="str">
        <f t="shared" si="16"/>
        <v>CG2K00000328</v>
      </c>
      <c r="C1045" t="s">
        <v>229</v>
      </c>
      <c r="D1045" t="s">
        <v>85</v>
      </c>
      <c r="E1045" t="s">
        <v>516</v>
      </c>
      <c r="F1045">
        <v>35000</v>
      </c>
      <c r="G1045" s="13">
        <v>45937</v>
      </c>
      <c r="H1045" s="13">
        <v>45939</v>
      </c>
      <c r="I1045">
        <v>21000</v>
      </c>
      <c r="J1045">
        <v>9000</v>
      </c>
      <c r="K1045">
        <v>30000</v>
      </c>
      <c r="N1045">
        <v>16.666666666666664</v>
      </c>
      <c r="O1045">
        <v>92</v>
      </c>
      <c r="P1045">
        <v>85.714299999999994</v>
      </c>
      <c r="Q1045">
        <v>92</v>
      </c>
      <c r="R1045">
        <v>92</v>
      </c>
      <c r="S1045">
        <v>92</v>
      </c>
      <c r="T1045">
        <v>10.45</v>
      </c>
      <c r="U1045">
        <v>7.95</v>
      </c>
      <c r="W1045" t="s">
        <v>497</v>
      </c>
    </row>
    <row r="1046" spans="1:23" x14ac:dyDescent="0.25">
      <c r="A1046" t="s">
        <v>1504</v>
      </c>
      <c r="B1046" t="str">
        <f t="shared" si="16"/>
        <v>GA2K00000256</v>
      </c>
      <c r="C1046" t="s">
        <v>227</v>
      </c>
      <c r="D1046" t="s">
        <v>85</v>
      </c>
      <c r="E1046" t="s">
        <v>516</v>
      </c>
      <c r="G1046" s="13">
        <v>45938</v>
      </c>
      <c r="H1046" s="13">
        <v>45940</v>
      </c>
      <c r="J1046">
        <v>0</v>
      </c>
      <c r="T1046" t="s">
        <v>750</v>
      </c>
      <c r="W1046" t="s">
        <v>497</v>
      </c>
    </row>
    <row r="1047" spans="1:23" x14ac:dyDescent="0.25">
      <c r="A1047" t="s">
        <v>1300</v>
      </c>
      <c r="B1047" t="str">
        <f t="shared" si="16"/>
        <v>GA2K00000116</v>
      </c>
      <c r="C1047" t="s">
        <v>227</v>
      </c>
      <c r="D1047" t="s">
        <v>85</v>
      </c>
      <c r="E1047" t="s">
        <v>516</v>
      </c>
      <c r="F1047">
        <v>19725.330000000002</v>
      </c>
      <c r="G1047" s="13">
        <v>45938</v>
      </c>
      <c r="H1047" s="13">
        <v>45940</v>
      </c>
      <c r="K1047">
        <v>19725.330000000002</v>
      </c>
      <c r="T1047" t="s">
        <v>542</v>
      </c>
      <c r="U1047">
        <v>5.75</v>
      </c>
      <c r="W1047" t="s">
        <v>542</v>
      </c>
    </row>
    <row r="1048" spans="1:23" x14ac:dyDescent="0.25">
      <c r="A1048" t="s">
        <v>1505</v>
      </c>
      <c r="B1048" t="str">
        <f t="shared" si="16"/>
        <v>GA2K00000264</v>
      </c>
      <c r="C1048" t="s">
        <v>227</v>
      </c>
      <c r="D1048" t="s">
        <v>85</v>
      </c>
      <c r="E1048" t="s">
        <v>516</v>
      </c>
      <c r="F1048">
        <v>18960.740000000002</v>
      </c>
      <c r="G1048" s="13">
        <v>45938</v>
      </c>
      <c r="H1048" s="13">
        <v>45940</v>
      </c>
      <c r="I1048">
        <v>0</v>
      </c>
      <c r="J1048">
        <v>18960.740000000002</v>
      </c>
      <c r="K1048">
        <v>18960.740000000002</v>
      </c>
      <c r="N1048">
        <v>0</v>
      </c>
      <c r="O1048">
        <v>0</v>
      </c>
      <c r="P1048">
        <v>100</v>
      </c>
      <c r="Q1048">
        <v>100</v>
      </c>
      <c r="R1048">
        <v>100</v>
      </c>
      <c r="S1048">
        <v>100</v>
      </c>
      <c r="T1048" t="s">
        <v>542</v>
      </c>
      <c r="U1048">
        <v>6.99</v>
      </c>
      <c r="W1048" t="s">
        <v>542</v>
      </c>
    </row>
    <row r="1049" spans="1:23" x14ac:dyDescent="0.25">
      <c r="A1049" t="s">
        <v>1506</v>
      </c>
      <c r="B1049" t="str">
        <f t="shared" si="16"/>
        <v>GA2B00000224</v>
      </c>
      <c r="C1049" t="s">
        <v>227</v>
      </c>
      <c r="D1049" t="s">
        <v>85</v>
      </c>
      <c r="E1049" t="s">
        <v>507</v>
      </c>
      <c r="F1049">
        <v>17978.62</v>
      </c>
      <c r="G1049" s="13">
        <v>45938</v>
      </c>
      <c r="H1049" s="13">
        <v>45940</v>
      </c>
      <c r="I1049">
        <v>0</v>
      </c>
      <c r="J1049">
        <v>17978.62</v>
      </c>
      <c r="K1049">
        <v>17978.62</v>
      </c>
      <c r="N1049">
        <v>0</v>
      </c>
      <c r="O1049">
        <v>0</v>
      </c>
      <c r="P1049">
        <v>100</v>
      </c>
      <c r="Q1049">
        <v>100</v>
      </c>
      <c r="R1049">
        <v>100</v>
      </c>
      <c r="S1049">
        <v>100</v>
      </c>
      <c r="T1049" t="s">
        <v>542</v>
      </c>
      <c r="U1049">
        <v>6.99</v>
      </c>
      <c r="W1049" t="s">
        <v>542</v>
      </c>
    </row>
    <row r="1050" spans="1:23" x14ac:dyDescent="0.25">
      <c r="A1050" t="s">
        <v>1507</v>
      </c>
      <c r="B1050" t="str">
        <f t="shared" si="16"/>
        <v>TD2J00000892</v>
      </c>
      <c r="C1050" t="s">
        <v>237</v>
      </c>
      <c r="D1050" t="s">
        <v>85</v>
      </c>
      <c r="E1050" t="s">
        <v>499</v>
      </c>
      <c r="F1050">
        <v>15000</v>
      </c>
      <c r="G1050" s="13">
        <v>45938</v>
      </c>
      <c r="H1050" s="13">
        <v>45940</v>
      </c>
      <c r="I1050">
        <v>609.66</v>
      </c>
      <c r="J1050">
        <v>5494.76</v>
      </c>
      <c r="K1050">
        <v>6104.42</v>
      </c>
      <c r="N1050">
        <v>33.333333333333329</v>
      </c>
      <c r="O1050">
        <v>90.151700000000005</v>
      </c>
      <c r="P1050">
        <v>40.696100000000001</v>
      </c>
      <c r="Q1050">
        <v>90</v>
      </c>
      <c r="R1050">
        <v>94</v>
      </c>
      <c r="S1050">
        <v>90</v>
      </c>
      <c r="T1050">
        <v>10.41</v>
      </c>
      <c r="U1050">
        <v>6.5</v>
      </c>
      <c r="W1050" t="s">
        <v>497</v>
      </c>
    </row>
    <row r="1051" spans="1:23" x14ac:dyDescent="0.25">
      <c r="A1051" t="s">
        <v>1508</v>
      </c>
      <c r="B1051" t="str">
        <f t="shared" si="16"/>
        <v>CF2A00000074</v>
      </c>
      <c r="C1051" t="s">
        <v>634</v>
      </c>
      <c r="D1051" t="s">
        <v>85</v>
      </c>
      <c r="E1051" t="s">
        <v>496</v>
      </c>
      <c r="F1051">
        <v>5000</v>
      </c>
      <c r="G1051" s="13">
        <v>45943</v>
      </c>
      <c r="H1051" s="13">
        <v>45945</v>
      </c>
      <c r="I1051">
        <v>0</v>
      </c>
      <c r="J1051">
        <v>4988.7</v>
      </c>
      <c r="K1051">
        <v>4988.7</v>
      </c>
      <c r="N1051">
        <v>22.222222222222221</v>
      </c>
      <c r="O1051">
        <v>92.460300000000004</v>
      </c>
      <c r="P1051">
        <v>99.774000000000001</v>
      </c>
      <c r="Q1051">
        <v>92</v>
      </c>
      <c r="R1051">
        <v>92</v>
      </c>
      <c r="S1051">
        <v>92</v>
      </c>
      <c r="T1051">
        <v>10.27</v>
      </c>
      <c r="U1051">
        <v>6</v>
      </c>
      <c r="W1051" t="s">
        <v>497</v>
      </c>
    </row>
    <row r="1052" spans="1:23" x14ac:dyDescent="0.25">
      <c r="A1052" t="s">
        <v>1509</v>
      </c>
      <c r="B1052" t="str">
        <f t="shared" si="16"/>
        <v>CF2J00000158</v>
      </c>
      <c r="C1052" t="s">
        <v>634</v>
      </c>
      <c r="D1052" t="s">
        <v>85</v>
      </c>
      <c r="E1052" t="s">
        <v>499</v>
      </c>
      <c r="F1052">
        <v>7500</v>
      </c>
      <c r="G1052" s="13">
        <v>45943</v>
      </c>
      <c r="H1052" s="13">
        <v>45945</v>
      </c>
      <c r="I1052">
        <v>2000</v>
      </c>
      <c r="J1052">
        <v>3011.3</v>
      </c>
      <c r="K1052">
        <v>5011.3</v>
      </c>
      <c r="N1052">
        <v>33.333333333333329</v>
      </c>
      <c r="O1052">
        <v>91.479500000000002</v>
      </c>
      <c r="P1052">
        <v>66.817300000000003</v>
      </c>
      <c r="Q1052">
        <v>91</v>
      </c>
      <c r="R1052">
        <v>91</v>
      </c>
      <c r="S1052">
        <v>91</v>
      </c>
      <c r="T1052">
        <v>9.59</v>
      </c>
      <c r="U1052">
        <v>6.25</v>
      </c>
      <c r="W1052" t="s">
        <v>497</v>
      </c>
    </row>
    <row r="1053" spans="1:23" x14ac:dyDescent="0.25">
      <c r="A1053" t="s">
        <v>1510</v>
      </c>
      <c r="B1053" t="str">
        <f t="shared" si="16"/>
        <v>CG2A00000577</v>
      </c>
      <c r="C1053" t="s">
        <v>229</v>
      </c>
      <c r="D1053" t="s">
        <v>85</v>
      </c>
      <c r="E1053" t="s">
        <v>496</v>
      </c>
      <c r="F1053">
        <v>30000</v>
      </c>
      <c r="G1053" s="13">
        <v>45944</v>
      </c>
      <c r="H1053" s="13">
        <v>45946</v>
      </c>
      <c r="I1053">
        <v>300</v>
      </c>
      <c r="J1053">
        <v>28959.89</v>
      </c>
      <c r="K1053">
        <v>29259.89</v>
      </c>
      <c r="N1053">
        <v>20.833333333333336</v>
      </c>
      <c r="O1053">
        <v>91.7804</v>
      </c>
      <c r="P1053">
        <v>97.533000000000001</v>
      </c>
      <c r="Q1053">
        <v>90</v>
      </c>
      <c r="R1053">
        <v>94</v>
      </c>
      <c r="S1053">
        <v>90</v>
      </c>
      <c r="T1053">
        <v>14.63</v>
      </c>
      <c r="U1053">
        <v>5.5</v>
      </c>
      <c r="W1053" t="s">
        <v>497</v>
      </c>
    </row>
    <row r="1054" spans="1:23" x14ac:dyDescent="0.25">
      <c r="A1054" t="s">
        <v>1511</v>
      </c>
      <c r="B1054" t="str">
        <f t="shared" si="16"/>
        <v>CG2A00000718</v>
      </c>
      <c r="C1054" t="s">
        <v>229</v>
      </c>
      <c r="D1054" t="s">
        <v>85</v>
      </c>
      <c r="E1054" t="s">
        <v>496</v>
      </c>
      <c r="F1054">
        <v>35000</v>
      </c>
      <c r="G1054" s="13">
        <v>45944</v>
      </c>
      <c r="H1054" s="13">
        <v>45946</v>
      </c>
      <c r="I1054">
        <v>100</v>
      </c>
      <c r="J1054">
        <v>4000</v>
      </c>
      <c r="K1054">
        <v>4100</v>
      </c>
      <c r="N1054">
        <v>8.3333333333333321</v>
      </c>
      <c r="O1054">
        <v>92.938999999999993</v>
      </c>
      <c r="P1054">
        <v>11.7143</v>
      </c>
      <c r="Q1054">
        <v>90.5</v>
      </c>
      <c r="R1054">
        <v>93</v>
      </c>
      <c r="S1054">
        <v>90.5</v>
      </c>
      <c r="T1054">
        <v>9.4600000000000009</v>
      </c>
      <c r="U1054">
        <v>5.5</v>
      </c>
      <c r="W1054" t="s">
        <v>497</v>
      </c>
    </row>
    <row r="1055" spans="1:23" x14ac:dyDescent="0.25">
      <c r="A1055" t="s">
        <v>1512</v>
      </c>
      <c r="B1055" t="str">
        <f t="shared" si="16"/>
        <v>TD2J00000900</v>
      </c>
      <c r="C1055" t="s">
        <v>237</v>
      </c>
      <c r="D1055" t="s">
        <v>85</v>
      </c>
      <c r="E1055" t="s">
        <v>499</v>
      </c>
      <c r="F1055">
        <v>15000</v>
      </c>
      <c r="G1055" s="13">
        <v>45945</v>
      </c>
      <c r="H1055" s="13">
        <v>45947</v>
      </c>
      <c r="I1055">
        <v>0</v>
      </c>
      <c r="J1055">
        <v>8053.5</v>
      </c>
      <c r="K1055">
        <v>8053.5</v>
      </c>
      <c r="N1055">
        <v>50</v>
      </c>
      <c r="O1055">
        <v>90.256699999999995</v>
      </c>
      <c r="P1055">
        <v>53.69</v>
      </c>
      <c r="Q1055">
        <v>90</v>
      </c>
      <c r="R1055">
        <v>95</v>
      </c>
      <c r="S1055">
        <v>90</v>
      </c>
      <c r="T1055">
        <v>10.36</v>
      </c>
      <c r="U1055">
        <v>6.5</v>
      </c>
      <c r="W1055" t="s">
        <v>497</v>
      </c>
    </row>
    <row r="1056" spans="1:23" x14ac:dyDescent="0.25">
      <c r="A1056" t="s">
        <v>1513</v>
      </c>
      <c r="B1056" t="str">
        <f t="shared" si="16"/>
        <v>GA2J00000333</v>
      </c>
      <c r="C1056" t="s">
        <v>227</v>
      </c>
      <c r="D1056" t="s">
        <v>85</v>
      </c>
      <c r="E1056" t="s">
        <v>499</v>
      </c>
      <c r="F1056">
        <v>4504.37</v>
      </c>
      <c r="G1056" s="13">
        <v>45945</v>
      </c>
      <c r="H1056" s="13">
        <v>45947</v>
      </c>
      <c r="K1056">
        <v>4504.37</v>
      </c>
      <c r="T1056" t="s">
        <v>542</v>
      </c>
      <c r="U1056">
        <v>5.5</v>
      </c>
      <c r="W1056" t="s">
        <v>542</v>
      </c>
    </row>
    <row r="1057" spans="1:23" x14ac:dyDescent="0.25">
      <c r="A1057" t="s">
        <v>1514</v>
      </c>
      <c r="B1057" t="str">
        <f t="shared" si="16"/>
        <v>CG2A00000726</v>
      </c>
      <c r="C1057" t="s">
        <v>229</v>
      </c>
      <c r="D1057" t="s">
        <v>85</v>
      </c>
      <c r="E1057" t="s">
        <v>496</v>
      </c>
      <c r="F1057">
        <v>35000</v>
      </c>
      <c r="G1057" s="13">
        <v>45951</v>
      </c>
      <c r="H1057" s="13">
        <v>45953</v>
      </c>
      <c r="I1057">
        <v>50</v>
      </c>
      <c r="J1057">
        <v>2179.75</v>
      </c>
      <c r="K1057">
        <v>2229.75</v>
      </c>
      <c r="N1057">
        <v>20.833333333333336</v>
      </c>
      <c r="O1057">
        <v>92.706500000000005</v>
      </c>
      <c r="P1057">
        <v>6.3707000000000003</v>
      </c>
      <c r="Q1057">
        <v>89</v>
      </c>
      <c r="R1057">
        <v>93</v>
      </c>
      <c r="S1057">
        <v>89</v>
      </c>
      <c r="T1057">
        <v>9.59</v>
      </c>
      <c r="U1057">
        <v>5.5</v>
      </c>
      <c r="W1057" t="s">
        <v>497</v>
      </c>
    </row>
    <row r="1058" spans="1:23" x14ac:dyDescent="0.25">
      <c r="A1058" t="s">
        <v>1515</v>
      </c>
      <c r="B1058" t="str">
        <f t="shared" si="16"/>
        <v>GA2K00000249</v>
      </c>
      <c r="C1058" t="s">
        <v>227</v>
      </c>
      <c r="D1058" t="s">
        <v>85</v>
      </c>
      <c r="E1058" t="s">
        <v>516</v>
      </c>
      <c r="F1058">
        <v>20000</v>
      </c>
      <c r="G1058" s="13">
        <v>45952</v>
      </c>
      <c r="H1058" s="13">
        <v>45954</v>
      </c>
      <c r="I1058">
        <v>0</v>
      </c>
      <c r="J1058">
        <v>20000</v>
      </c>
      <c r="K1058">
        <v>20000</v>
      </c>
      <c r="N1058">
        <v>9.5238095238095237</v>
      </c>
      <c r="O1058">
        <v>92.246600000000001</v>
      </c>
      <c r="P1058">
        <v>100.05</v>
      </c>
      <c r="Q1058">
        <v>91</v>
      </c>
      <c r="R1058">
        <v>91</v>
      </c>
      <c r="S1058">
        <v>87</v>
      </c>
      <c r="T1058">
        <v>8.84</v>
      </c>
      <c r="U1058">
        <v>6.5</v>
      </c>
      <c r="W1058" t="s">
        <v>497</v>
      </c>
    </row>
    <row r="1059" spans="1:23" x14ac:dyDescent="0.25">
      <c r="A1059" t="s">
        <v>1516</v>
      </c>
      <c r="B1059" t="str">
        <f t="shared" si="16"/>
        <v>TD2J00000918</v>
      </c>
      <c r="C1059" t="s">
        <v>237</v>
      </c>
      <c r="D1059" t="s">
        <v>85</v>
      </c>
      <c r="E1059" t="s">
        <v>499</v>
      </c>
      <c r="F1059">
        <v>25000</v>
      </c>
      <c r="G1059" s="13">
        <v>45952</v>
      </c>
      <c r="H1059" s="13">
        <v>45954</v>
      </c>
      <c r="I1059">
        <v>4000</v>
      </c>
      <c r="J1059">
        <v>12382</v>
      </c>
      <c r="K1059">
        <v>16382</v>
      </c>
      <c r="N1059">
        <v>66.666666666666657</v>
      </c>
      <c r="O1059">
        <v>90.221000000000004</v>
      </c>
      <c r="P1059">
        <v>65.528000000000006</v>
      </c>
      <c r="Q1059">
        <v>90</v>
      </c>
      <c r="R1059">
        <v>95</v>
      </c>
      <c r="S1059">
        <v>90</v>
      </c>
      <c r="T1059">
        <v>10.38</v>
      </c>
      <c r="U1059">
        <v>6.5</v>
      </c>
      <c r="W1059" t="s">
        <v>497</v>
      </c>
    </row>
    <row r="1060" spans="1:23" x14ac:dyDescent="0.25">
      <c r="A1060" t="s">
        <v>1517</v>
      </c>
      <c r="B1060" t="str">
        <f t="shared" si="16"/>
        <v>CG2A00000593</v>
      </c>
      <c r="C1060" t="s">
        <v>229</v>
      </c>
      <c r="D1060" t="s">
        <v>85</v>
      </c>
      <c r="E1060" t="s">
        <v>496</v>
      </c>
      <c r="F1060">
        <v>20000</v>
      </c>
      <c r="G1060" s="13">
        <v>45958</v>
      </c>
      <c r="H1060" s="13">
        <v>45960</v>
      </c>
      <c r="I1060">
        <v>0</v>
      </c>
      <c r="J1060">
        <v>10000</v>
      </c>
      <c r="K1060">
        <v>10000</v>
      </c>
      <c r="N1060">
        <v>4.1666666666666661</v>
      </c>
      <c r="O1060">
        <v>94.430099999999996</v>
      </c>
      <c r="P1060">
        <v>50</v>
      </c>
      <c r="Q1060">
        <v>90</v>
      </c>
      <c r="R1060">
        <v>90</v>
      </c>
      <c r="S1060">
        <v>90</v>
      </c>
      <c r="T1060">
        <v>11.56</v>
      </c>
      <c r="U1060">
        <v>5.5</v>
      </c>
      <c r="W1060" t="s">
        <v>497</v>
      </c>
    </row>
    <row r="1061" spans="1:23" x14ac:dyDescent="0.25">
      <c r="A1061" t="s">
        <v>1518</v>
      </c>
      <c r="B1061" t="str">
        <f t="shared" si="16"/>
        <v>TD2J00000926</v>
      </c>
      <c r="C1061" t="s">
        <v>237</v>
      </c>
      <c r="D1061" t="s">
        <v>85</v>
      </c>
      <c r="E1061" t="s">
        <v>499</v>
      </c>
      <c r="F1061">
        <v>20000</v>
      </c>
      <c r="G1061" s="13">
        <v>45959</v>
      </c>
      <c r="H1061" s="13">
        <v>45961</v>
      </c>
      <c r="I1061">
        <v>18612.55</v>
      </c>
      <c r="J1061">
        <v>0</v>
      </c>
      <c r="K1061">
        <v>18612.55</v>
      </c>
      <c r="N1061">
        <v>8.3333333333333321</v>
      </c>
      <c r="O1061">
        <v>100</v>
      </c>
      <c r="P1061">
        <v>93.062700000000007</v>
      </c>
      <c r="Q1061">
        <v>100</v>
      </c>
      <c r="R1061">
        <v>100</v>
      </c>
      <c r="S1061">
        <v>100</v>
      </c>
      <c r="T1061">
        <v>4.5</v>
      </c>
      <c r="U1061">
        <v>4.5</v>
      </c>
      <c r="W1061" t="s">
        <v>497</v>
      </c>
    </row>
    <row r="1062" spans="1:23" x14ac:dyDescent="0.25">
      <c r="A1062" t="s">
        <v>1519</v>
      </c>
      <c r="B1062" t="str">
        <f t="shared" si="16"/>
        <v>CG2A00000742</v>
      </c>
      <c r="C1062" t="s">
        <v>229</v>
      </c>
      <c r="D1062" t="s">
        <v>85</v>
      </c>
      <c r="E1062" t="s">
        <v>496</v>
      </c>
      <c r="F1062">
        <v>5000</v>
      </c>
      <c r="G1062" s="13">
        <v>45965</v>
      </c>
      <c r="H1062" s="13">
        <v>45967</v>
      </c>
      <c r="I1062">
        <v>0</v>
      </c>
      <c r="J1062">
        <v>1757</v>
      </c>
      <c r="K1062">
        <v>1757</v>
      </c>
      <c r="N1062">
        <v>4.1666666666666661</v>
      </c>
      <c r="O1062">
        <v>91</v>
      </c>
      <c r="P1062">
        <v>35.14</v>
      </c>
      <c r="Q1062">
        <v>91</v>
      </c>
      <c r="R1062">
        <v>91</v>
      </c>
      <c r="S1062">
        <v>91</v>
      </c>
      <c r="T1062">
        <v>10.61</v>
      </c>
      <c r="U1062">
        <v>5.5</v>
      </c>
      <c r="W1062" t="s">
        <v>497</v>
      </c>
    </row>
    <row r="1063" spans="1:23" x14ac:dyDescent="0.25">
      <c r="A1063" t="s">
        <v>1520</v>
      </c>
      <c r="B1063" t="str">
        <f t="shared" si="16"/>
        <v>CG2J00000768</v>
      </c>
      <c r="C1063" t="s">
        <v>229</v>
      </c>
      <c r="D1063" t="s">
        <v>85</v>
      </c>
      <c r="E1063" t="s">
        <v>499</v>
      </c>
      <c r="F1063">
        <v>10000</v>
      </c>
      <c r="G1063" s="13">
        <v>45965</v>
      </c>
      <c r="H1063" s="13">
        <v>45967</v>
      </c>
      <c r="I1063">
        <v>1750</v>
      </c>
      <c r="J1063">
        <v>0</v>
      </c>
      <c r="K1063">
        <v>1750</v>
      </c>
      <c r="N1063">
        <v>4.1666666666666661</v>
      </c>
      <c r="O1063">
        <v>90.01</v>
      </c>
      <c r="P1063">
        <v>17.5</v>
      </c>
      <c r="Q1063">
        <v>90.01</v>
      </c>
      <c r="R1063">
        <v>90.01</v>
      </c>
      <c r="S1063">
        <v>90.01</v>
      </c>
      <c r="T1063">
        <v>9.93</v>
      </c>
      <c r="U1063">
        <v>6</v>
      </c>
      <c r="W1063" t="s">
        <v>497</v>
      </c>
    </row>
    <row r="1064" spans="1:23" x14ac:dyDescent="0.25">
      <c r="A1064" t="s">
        <v>1521</v>
      </c>
      <c r="B1064" t="str">
        <f t="shared" si="16"/>
        <v>TD2A00001030</v>
      </c>
      <c r="C1064" t="s">
        <v>237</v>
      </c>
      <c r="D1064" t="s">
        <v>85</v>
      </c>
      <c r="E1064" t="s">
        <v>496</v>
      </c>
      <c r="F1064">
        <v>15000</v>
      </c>
      <c r="G1064" s="13">
        <v>45966</v>
      </c>
      <c r="H1064" s="13">
        <v>45968</v>
      </c>
      <c r="I1064">
        <v>0</v>
      </c>
      <c r="J1064">
        <v>15000</v>
      </c>
      <c r="K1064">
        <v>15000</v>
      </c>
      <c r="N1064">
        <v>50</v>
      </c>
      <c r="O1064">
        <v>90.618300000000005</v>
      </c>
      <c r="P1064">
        <v>103.82850000000001</v>
      </c>
      <c r="Q1064">
        <v>90</v>
      </c>
      <c r="R1064">
        <v>100</v>
      </c>
      <c r="S1064">
        <v>88</v>
      </c>
      <c r="T1064">
        <v>11.38</v>
      </c>
      <c r="U1064">
        <v>6</v>
      </c>
      <c r="W1064" t="s">
        <v>497</v>
      </c>
    </row>
    <row r="1065" spans="1:23" x14ac:dyDescent="0.25">
      <c r="A1065" t="s">
        <v>1522</v>
      </c>
      <c r="B1065" t="str">
        <f t="shared" si="16"/>
        <v>GA2K00000116</v>
      </c>
      <c r="C1065" t="s">
        <v>227</v>
      </c>
      <c r="D1065" t="s">
        <v>85</v>
      </c>
      <c r="E1065" t="s">
        <v>516</v>
      </c>
      <c r="F1065">
        <v>10000</v>
      </c>
      <c r="G1065" s="13">
        <v>45966</v>
      </c>
      <c r="H1065" s="13">
        <v>45968</v>
      </c>
      <c r="I1065">
        <v>500</v>
      </c>
      <c r="J1065">
        <v>600</v>
      </c>
      <c r="K1065">
        <v>1100</v>
      </c>
      <c r="N1065">
        <v>9.5238095238095237</v>
      </c>
      <c r="O1065">
        <v>96.066460000000006</v>
      </c>
      <c r="P1065">
        <v>11</v>
      </c>
      <c r="Q1065">
        <v>90</v>
      </c>
      <c r="R1065">
        <v>91.01</v>
      </c>
      <c r="S1065">
        <v>90</v>
      </c>
      <c r="T1065">
        <v>7.23</v>
      </c>
      <c r="U1065">
        <v>5.75</v>
      </c>
      <c r="W1065" t="s">
        <v>497</v>
      </c>
    </row>
    <row r="1066" spans="1:23" x14ac:dyDescent="0.25">
      <c r="A1066" t="s">
        <v>948</v>
      </c>
      <c r="B1066" t="str">
        <f t="shared" si="16"/>
        <v>GA2C00000033</v>
      </c>
      <c r="C1066" t="s">
        <v>227</v>
      </c>
      <c r="D1066" t="s">
        <v>85</v>
      </c>
      <c r="E1066" t="s">
        <v>549</v>
      </c>
      <c r="F1066">
        <v>10000</v>
      </c>
      <c r="G1066" s="13">
        <v>45966</v>
      </c>
      <c r="H1066" s="13">
        <v>45968</v>
      </c>
      <c r="I1066">
        <v>60.43</v>
      </c>
      <c r="J1066">
        <v>3230</v>
      </c>
      <c r="K1066">
        <v>3290.43</v>
      </c>
      <c r="N1066">
        <v>28.571428571428569</v>
      </c>
      <c r="O1066">
        <v>94.789900000000003</v>
      </c>
      <c r="P1066">
        <v>32.904299999999999</v>
      </c>
      <c r="Q1066">
        <v>90</v>
      </c>
      <c r="R1066">
        <v>94</v>
      </c>
      <c r="S1066">
        <v>90</v>
      </c>
      <c r="T1066">
        <v>8.82</v>
      </c>
      <c r="U1066">
        <v>7.25</v>
      </c>
      <c r="W1066" t="s">
        <v>497</v>
      </c>
    </row>
    <row r="1067" spans="1:23" x14ac:dyDescent="0.25">
      <c r="A1067" t="s">
        <v>1523</v>
      </c>
      <c r="B1067" t="str">
        <f t="shared" si="16"/>
        <v>CF2A00000033</v>
      </c>
      <c r="C1067" t="s">
        <v>634</v>
      </c>
      <c r="D1067" t="s">
        <v>85</v>
      </c>
      <c r="E1067" t="s">
        <v>496</v>
      </c>
      <c r="F1067">
        <v>1500</v>
      </c>
      <c r="G1067" s="13">
        <v>45978</v>
      </c>
      <c r="H1067" s="13">
        <v>45980</v>
      </c>
      <c r="I1067">
        <v>500</v>
      </c>
      <c r="J1067">
        <v>1000</v>
      </c>
      <c r="K1067">
        <v>1500</v>
      </c>
      <c r="N1067">
        <v>0</v>
      </c>
      <c r="Q1067">
        <v>100</v>
      </c>
      <c r="R1067">
        <v>100</v>
      </c>
      <c r="S1067">
        <v>100</v>
      </c>
      <c r="T1067" t="s">
        <v>1524</v>
      </c>
      <c r="U1067">
        <v>5.5</v>
      </c>
      <c r="W1067" t="s">
        <v>681</v>
      </c>
    </row>
    <row r="1068" spans="1:23" x14ac:dyDescent="0.25">
      <c r="A1068" t="s">
        <v>1525</v>
      </c>
      <c r="B1068" t="str">
        <f t="shared" si="16"/>
        <v>CF2A00000 41</v>
      </c>
      <c r="C1068" t="s">
        <v>634</v>
      </c>
      <c r="D1068" t="s">
        <v>85</v>
      </c>
      <c r="E1068" t="s">
        <v>496</v>
      </c>
      <c r="F1068">
        <v>6500</v>
      </c>
      <c r="G1068" s="13">
        <v>45978</v>
      </c>
      <c r="H1068" s="13">
        <v>45980</v>
      </c>
      <c r="I1068">
        <v>290</v>
      </c>
      <c r="J1068">
        <v>0</v>
      </c>
      <c r="K1068">
        <v>290</v>
      </c>
      <c r="N1068">
        <v>0</v>
      </c>
      <c r="Q1068">
        <v>100</v>
      </c>
      <c r="R1068">
        <v>100</v>
      </c>
      <c r="S1068">
        <v>100</v>
      </c>
      <c r="T1068" t="s">
        <v>1524</v>
      </c>
      <c r="U1068">
        <v>6</v>
      </c>
      <c r="W1068" t="s">
        <v>681</v>
      </c>
    </row>
    <row r="1069" spans="1:23" x14ac:dyDescent="0.25">
      <c r="A1069" t="s">
        <v>1526</v>
      </c>
      <c r="B1069" t="str">
        <f t="shared" si="16"/>
        <v>CF2J00000075</v>
      </c>
      <c r="C1069" t="s">
        <v>634</v>
      </c>
      <c r="D1069" t="s">
        <v>85</v>
      </c>
      <c r="E1069" t="s">
        <v>499</v>
      </c>
      <c r="F1069">
        <v>14000</v>
      </c>
      <c r="G1069" s="13">
        <v>45978</v>
      </c>
      <c r="H1069" s="13">
        <v>45980</v>
      </c>
      <c r="I1069">
        <v>2570</v>
      </c>
      <c r="J1069">
        <v>6500</v>
      </c>
      <c r="K1069">
        <v>9070</v>
      </c>
      <c r="N1069">
        <v>33.333333333333329</v>
      </c>
      <c r="O1069">
        <v>100</v>
      </c>
      <c r="Q1069">
        <v>100</v>
      </c>
      <c r="R1069">
        <v>100</v>
      </c>
      <c r="S1069">
        <v>100</v>
      </c>
      <c r="T1069" t="s">
        <v>1524</v>
      </c>
      <c r="U1069">
        <v>6.5</v>
      </c>
      <c r="W1069" t="s">
        <v>681</v>
      </c>
    </row>
    <row r="1070" spans="1:23" x14ac:dyDescent="0.25">
      <c r="A1070" t="s">
        <v>1527</v>
      </c>
      <c r="B1070" t="str">
        <f t="shared" si="16"/>
        <v>CF2J00000083</v>
      </c>
      <c r="C1070" t="s">
        <v>634</v>
      </c>
      <c r="D1070" t="s">
        <v>85</v>
      </c>
      <c r="E1070" t="s">
        <v>499</v>
      </c>
      <c r="F1070">
        <v>2500</v>
      </c>
      <c r="G1070" s="13">
        <v>45978</v>
      </c>
      <c r="H1070" s="13">
        <v>45980</v>
      </c>
      <c r="I1070">
        <v>1250</v>
      </c>
      <c r="J1070">
        <v>1056.5500000000002</v>
      </c>
      <c r="K1070">
        <v>2306.5500000000002</v>
      </c>
      <c r="N1070">
        <v>0</v>
      </c>
      <c r="O1070">
        <v>100</v>
      </c>
      <c r="Q1070">
        <v>100</v>
      </c>
      <c r="R1070">
        <v>100</v>
      </c>
      <c r="S1070">
        <v>100</v>
      </c>
      <c r="T1070" t="s">
        <v>1524</v>
      </c>
      <c r="U1070">
        <v>6.5</v>
      </c>
      <c r="W1070" t="s">
        <v>681</v>
      </c>
    </row>
    <row r="1071" spans="1:23" x14ac:dyDescent="0.25">
      <c r="A1071" t="s">
        <v>1528</v>
      </c>
      <c r="B1071" t="str">
        <f t="shared" si="16"/>
        <v>CF2B00000016</v>
      </c>
      <c r="C1071" t="s">
        <v>634</v>
      </c>
      <c r="D1071" t="s">
        <v>85</v>
      </c>
      <c r="E1071" t="s">
        <v>507</v>
      </c>
      <c r="F1071">
        <v>3500</v>
      </c>
      <c r="G1071" s="13">
        <v>45978</v>
      </c>
      <c r="H1071" s="13">
        <v>45980</v>
      </c>
      <c r="I1071">
        <v>3397.51</v>
      </c>
      <c r="J1071">
        <v>0</v>
      </c>
      <c r="K1071">
        <v>3397.51</v>
      </c>
      <c r="N1071">
        <v>0</v>
      </c>
      <c r="O1071">
        <v>100</v>
      </c>
      <c r="Q1071">
        <v>100</v>
      </c>
      <c r="R1071">
        <v>100</v>
      </c>
      <c r="S1071">
        <v>100</v>
      </c>
      <c r="T1071" t="s">
        <v>1524</v>
      </c>
      <c r="U1071">
        <v>2.95</v>
      </c>
      <c r="W1071" t="s">
        <v>681</v>
      </c>
    </row>
    <row r="1072" spans="1:23" x14ac:dyDescent="0.25">
      <c r="A1072" t="s">
        <v>1529</v>
      </c>
      <c r="B1072" t="str">
        <f t="shared" si="16"/>
        <v>CF2J00000116</v>
      </c>
      <c r="C1072" t="s">
        <v>634</v>
      </c>
      <c r="D1072" t="s">
        <v>85</v>
      </c>
      <c r="E1072" t="s">
        <v>499</v>
      </c>
      <c r="F1072">
        <v>20000</v>
      </c>
      <c r="G1072" s="13">
        <v>45978</v>
      </c>
      <c r="H1072" s="13">
        <v>45980</v>
      </c>
      <c r="I1072">
        <v>3798</v>
      </c>
      <c r="J1072">
        <v>10943.3</v>
      </c>
      <c r="K1072">
        <v>14741.3</v>
      </c>
      <c r="N1072">
        <v>66.666666666666657</v>
      </c>
      <c r="O1072">
        <v>91.113100000000003</v>
      </c>
      <c r="P1072">
        <v>76.206500000000005</v>
      </c>
      <c r="Q1072">
        <v>90</v>
      </c>
      <c r="R1072">
        <v>91</v>
      </c>
      <c r="S1072">
        <v>89</v>
      </c>
      <c r="T1072">
        <v>9.74</v>
      </c>
      <c r="U1072">
        <v>6.25</v>
      </c>
      <c r="W1072" t="s">
        <v>497</v>
      </c>
    </row>
    <row r="1073" spans="1:23" x14ac:dyDescent="0.25">
      <c r="A1073" t="s">
        <v>1530</v>
      </c>
      <c r="B1073" t="str">
        <f t="shared" si="16"/>
        <v>CF2K00000114</v>
      </c>
      <c r="C1073" t="s">
        <v>634</v>
      </c>
      <c r="D1073" t="s">
        <v>85</v>
      </c>
      <c r="E1073" t="s">
        <v>516</v>
      </c>
      <c r="F1073">
        <v>20000</v>
      </c>
      <c r="G1073" s="13">
        <v>45978</v>
      </c>
      <c r="H1073" s="13">
        <v>45980</v>
      </c>
      <c r="I1073">
        <v>4770</v>
      </c>
      <c r="J1073">
        <v>0</v>
      </c>
      <c r="K1073">
        <v>4770</v>
      </c>
      <c r="N1073">
        <v>22.222222222222221</v>
      </c>
      <c r="O1073">
        <v>90</v>
      </c>
      <c r="P1073">
        <v>23.85</v>
      </c>
      <c r="Q1073">
        <v>90</v>
      </c>
      <c r="R1073">
        <v>90</v>
      </c>
      <c r="S1073">
        <v>90</v>
      </c>
      <c r="T1073">
        <v>9.83</v>
      </c>
      <c r="U1073">
        <v>6.75</v>
      </c>
      <c r="W1073" t="s">
        <v>497</v>
      </c>
    </row>
    <row r="1074" spans="1:23" x14ac:dyDescent="0.25">
      <c r="A1074" t="s">
        <v>1531</v>
      </c>
      <c r="B1074" t="str">
        <f t="shared" si="16"/>
        <v>CF2B00000073</v>
      </c>
      <c r="C1074" t="s">
        <v>634</v>
      </c>
      <c r="D1074" t="s">
        <v>85</v>
      </c>
      <c r="E1074" t="s">
        <v>507</v>
      </c>
      <c r="F1074">
        <v>10000</v>
      </c>
      <c r="G1074" s="13">
        <v>45978</v>
      </c>
      <c r="H1074" s="13">
        <v>45980</v>
      </c>
      <c r="I1074">
        <v>6906.66</v>
      </c>
      <c r="J1074">
        <v>608.34000000000015</v>
      </c>
      <c r="K1074">
        <v>7515</v>
      </c>
      <c r="N1074">
        <v>44.444444444444443</v>
      </c>
      <c r="O1074">
        <v>89</v>
      </c>
      <c r="P1074">
        <v>75.150000000000006</v>
      </c>
      <c r="Q1074">
        <v>89</v>
      </c>
      <c r="R1074">
        <v>90</v>
      </c>
      <c r="S1074">
        <v>89</v>
      </c>
      <c r="T1074">
        <v>9.84</v>
      </c>
      <c r="U1074">
        <v>7</v>
      </c>
      <c r="W1074" t="s">
        <v>497</v>
      </c>
    </row>
    <row r="1075" spans="1:23" x14ac:dyDescent="0.25">
      <c r="A1075" t="s">
        <v>1532</v>
      </c>
      <c r="B1075" t="str">
        <f t="shared" si="16"/>
        <v>CG2B00000097</v>
      </c>
      <c r="C1075" t="s">
        <v>229</v>
      </c>
      <c r="D1075" t="s">
        <v>85</v>
      </c>
      <c r="E1075" t="s">
        <v>507</v>
      </c>
      <c r="F1075">
        <v>10000</v>
      </c>
      <c r="G1075" s="13">
        <v>45979</v>
      </c>
      <c r="H1075" s="13">
        <v>45981</v>
      </c>
      <c r="I1075">
        <v>0</v>
      </c>
      <c r="J1075">
        <v>10000</v>
      </c>
      <c r="K1075">
        <v>10000</v>
      </c>
      <c r="N1075">
        <v>12.5</v>
      </c>
      <c r="O1075">
        <v>91.302700000000002</v>
      </c>
      <c r="P1075">
        <v>104.88800000000001</v>
      </c>
      <c r="Q1075">
        <v>91</v>
      </c>
      <c r="R1075">
        <v>91</v>
      </c>
      <c r="S1075">
        <v>90</v>
      </c>
      <c r="T1075">
        <v>11.49</v>
      </c>
      <c r="U1075">
        <v>6.5</v>
      </c>
      <c r="W1075" t="s">
        <v>497</v>
      </c>
    </row>
    <row r="1076" spans="1:23" x14ac:dyDescent="0.25">
      <c r="A1076" t="s">
        <v>1533</v>
      </c>
      <c r="B1076" t="str">
        <f t="shared" si="16"/>
        <v>GA2A00000373</v>
      </c>
      <c r="C1076" t="s">
        <v>227</v>
      </c>
      <c r="D1076" t="s">
        <v>85</v>
      </c>
      <c r="E1076" t="s">
        <v>496</v>
      </c>
      <c r="F1076">
        <v>10000</v>
      </c>
      <c r="G1076" s="13">
        <v>45980</v>
      </c>
      <c r="H1076" s="13">
        <v>45982</v>
      </c>
      <c r="I1076">
        <v>1490</v>
      </c>
      <c r="J1076">
        <v>7835</v>
      </c>
      <c r="K1076">
        <v>9325</v>
      </c>
      <c r="N1076">
        <v>28.571428571428569</v>
      </c>
      <c r="O1076">
        <v>91.621799999999993</v>
      </c>
      <c r="P1076">
        <v>93.25</v>
      </c>
      <c r="Q1076">
        <v>90.01</v>
      </c>
      <c r="R1076">
        <v>94</v>
      </c>
      <c r="S1076">
        <v>90.01</v>
      </c>
      <c r="T1076">
        <v>10.5</v>
      </c>
      <c r="U1076">
        <v>5.75</v>
      </c>
      <c r="W1076" t="s">
        <v>497</v>
      </c>
    </row>
    <row r="1077" spans="1:23" x14ac:dyDescent="0.25">
      <c r="A1077" t="s">
        <v>1534</v>
      </c>
      <c r="B1077" t="str">
        <f t="shared" si="16"/>
        <v>GA2B00000232</v>
      </c>
      <c r="C1077" t="s">
        <v>227</v>
      </c>
      <c r="D1077" t="s">
        <v>85</v>
      </c>
      <c r="E1077" t="s">
        <v>507</v>
      </c>
      <c r="F1077">
        <v>5000</v>
      </c>
      <c r="G1077" s="13">
        <v>45980</v>
      </c>
      <c r="H1077" s="13">
        <v>45982</v>
      </c>
      <c r="J1077">
        <v>0</v>
      </c>
      <c r="N1077">
        <v>0</v>
      </c>
      <c r="T1077" t="s">
        <v>946</v>
      </c>
      <c r="U1077">
        <v>6.5</v>
      </c>
      <c r="W1077" t="s">
        <v>497</v>
      </c>
    </row>
    <row r="1078" spans="1:23" x14ac:dyDescent="0.25">
      <c r="A1078" t="s">
        <v>1535</v>
      </c>
      <c r="B1078" t="str">
        <f t="shared" si="16"/>
        <v>GA2D00000032</v>
      </c>
      <c r="C1078" t="s">
        <v>227</v>
      </c>
      <c r="D1078" t="s">
        <v>85</v>
      </c>
      <c r="E1078" t="s">
        <v>555</v>
      </c>
      <c r="G1078" s="13">
        <v>45980</v>
      </c>
      <c r="H1078" s="13">
        <v>45982</v>
      </c>
      <c r="J1078">
        <v>0</v>
      </c>
      <c r="N1078">
        <v>0</v>
      </c>
      <c r="T1078" t="s">
        <v>946</v>
      </c>
      <c r="U1078">
        <v>8.25</v>
      </c>
      <c r="W1078" t="s">
        <v>497</v>
      </c>
    </row>
    <row r="1079" spans="1:23" x14ac:dyDescent="0.25">
      <c r="A1079" t="s">
        <v>1536</v>
      </c>
      <c r="B1079" t="str">
        <f t="shared" si="16"/>
        <v>TD2J00000934</v>
      </c>
      <c r="C1079" t="s">
        <v>237</v>
      </c>
      <c r="D1079" t="s">
        <v>85</v>
      </c>
      <c r="E1079" t="s">
        <v>499</v>
      </c>
      <c r="F1079">
        <v>25000</v>
      </c>
      <c r="G1079" s="13">
        <v>45980</v>
      </c>
      <c r="H1079" s="13">
        <v>45982</v>
      </c>
      <c r="I1079">
        <v>5000</v>
      </c>
      <c r="J1079">
        <v>8598</v>
      </c>
      <c r="K1079">
        <v>13598</v>
      </c>
      <c r="N1079">
        <v>58.333333333333336</v>
      </c>
      <c r="O1079">
        <v>90.178799999999995</v>
      </c>
      <c r="P1079">
        <v>54.392000000000003</v>
      </c>
      <c r="Q1079">
        <v>90</v>
      </c>
      <c r="R1079">
        <v>93</v>
      </c>
      <c r="S1079">
        <v>90</v>
      </c>
      <c r="T1079">
        <v>10.39</v>
      </c>
      <c r="U1079">
        <v>6.5</v>
      </c>
      <c r="W1079" t="s">
        <v>497</v>
      </c>
    </row>
    <row r="1080" spans="1:23" x14ac:dyDescent="0.25">
      <c r="A1080" t="s">
        <v>1537</v>
      </c>
      <c r="B1080" t="str">
        <f t="shared" si="16"/>
        <v>CG2A00000759</v>
      </c>
      <c r="C1080" t="s">
        <v>229</v>
      </c>
      <c r="D1080" t="s">
        <v>85</v>
      </c>
      <c r="E1080" t="s">
        <v>496</v>
      </c>
      <c r="F1080">
        <v>20000</v>
      </c>
      <c r="G1080" s="13">
        <v>45986</v>
      </c>
      <c r="H1080" s="13">
        <v>45988</v>
      </c>
      <c r="I1080">
        <v>15000</v>
      </c>
      <c r="J1080">
        <v>0</v>
      </c>
      <c r="K1080">
        <v>15000</v>
      </c>
      <c r="N1080">
        <v>4.1666666666666661</v>
      </c>
      <c r="O1080">
        <v>90</v>
      </c>
      <c r="P1080">
        <v>75</v>
      </c>
      <c r="Q1080">
        <v>90</v>
      </c>
      <c r="R1080">
        <v>90</v>
      </c>
      <c r="S1080">
        <v>90</v>
      </c>
      <c r="T1080">
        <v>11.22</v>
      </c>
      <c r="U1080">
        <v>5.5</v>
      </c>
      <c r="W1080" t="s">
        <v>497</v>
      </c>
    </row>
    <row r="1081" spans="1:23" x14ac:dyDescent="0.25">
      <c r="A1081" t="s">
        <v>1538</v>
      </c>
      <c r="B1081" t="str">
        <f t="shared" si="16"/>
        <v>CG2B00000527</v>
      </c>
      <c r="C1081" t="s">
        <v>229</v>
      </c>
      <c r="D1081" t="s">
        <v>85</v>
      </c>
      <c r="E1081" t="s">
        <v>507</v>
      </c>
      <c r="F1081">
        <v>11500</v>
      </c>
      <c r="G1081" s="13">
        <v>45986</v>
      </c>
      <c r="H1081" s="13">
        <v>45988</v>
      </c>
      <c r="I1081">
        <v>11500</v>
      </c>
      <c r="J1081">
        <v>0</v>
      </c>
      <c r="K1081">
        <v>11500</v>
      </c>
      <c r="N1081" t="e">
        <v>#VALUE!</v>
      </c>
      <c r="O1081">
        <v>100</v>
      </c>
      <c r="P1081">
        <v>100</v>
      </c>
      <c r="T1081">
        <v>7</v>
      </c>
      <c r="U1081">
        <v>7</v>
      </c>
      <c r="W1081" t="s">
        <v>542</v>
      </c>
    </row>
    <row r="1082" spans="1:23" x14ac:dyDescent="0.25">
      <c r="A1082" t="s">
        <v>1539</v>
      </c>
      <c r="B1082" t="str">
        <f t="shared" si="16"/>
        <v>CG2J00000776</v>
      </c>
      <c r="C1082" t="s">
        <v>229</v>
      </c>
      <c r="D1082" t="s">
        <v>85</v>
      </c>
      <c r="E1082" t="s">
        <v>499</v>
      </c>
      <c r="F1082">
        <v>10064.299999999999</v>
      </c>
      <c r="G1082" s="13">
        <v>45986</v>
      </c>
      <c r="H1082" s="13">
        <v>45988</v>
      </c>
      <c r="I1082">
        <v>10064.299999999999</v>
      </c>
      <c r="J1082">
        <v>0</v>
      </c>
      <c r="K1082">
        <v>10064.299999999999</v>
      </c>
      <c r="N1082" t="e">
        <v>#VALUE!</v>
      </c>
      <c r="O1082">
        <v>100</v>
      </c>
      <c r="P1082">
        <v>100</v>
      </c>
      <c r="T1082">
        <v>7</v>
      </c>
      <c r="U1082">
        <v>7</v>
      </c>
      <c r="W1082" t="s">
        <v>542</v>
      </c>
    </row>
    <row r="1083" spans="1:23" x14ac:dyDescent="0.25">
      <c r="A1083" t="s">
        <v>1540</v>
      </c>
      <c r="B1083" t="str">
        <f t="shared" si="16"/>
        <v>CG2K00000336</v>
      </c>
      <c r="C1083" t="s">
        <v>229</v>
      </c>
      <c r="D1083" t="s">
        <v>85</v>
      </c>
      <c r="E1083" t="s">
        <v>516</v>
      </c>
      <c r="F1083">
        <v>11500</v>
      </c>
      <c r="G1083" s="13">
        <v>45986</v>
      </c>
      <c r="H1083" s="13">
        <v>45988</v>
      </c>
      <c r="I1083">
        <v>11500</v>
      </c>
      <c r="J1083">
        <v>0</v>
      </c>
      <c r="K1083">
        <v>11500</v>
      </c>
      <c r="N1083" t="e">
        <v>#VALUE!</v>
      </c>
      <c r="O1083">
        <v>100</v>
      </c>
      <c r="P1083">
        <v>100</v>
      </c>
      <c r="T1083">
        <v>7</v>
      </c>
      <c r="U1083">
        <v>7</v>
      </c>
      <c r="W1083" t="s">
        <v>542</v>
      </c>
    </row>
    <row r="1084" spans="1:23" x14ac:dyDescent="0.25">
      <c r="A1084" t="s">
        <v>1541</v>
      </c>
      <c r="B1084" t="str">
        <f t="shared" si="16"/>
        <v>CG2C00000187</v>
      </c>
      <c r="C1084" t="s">
        <v>229</v>
      </c>
      <c r="D1084" t="s">
        <v>85</v>
      </c>
      <c r="E1084" t="s">
        <v>549</v>
      </c>
      <c r="F1084">
        <v>11500</v>
      </c>
      <c r="G1084" s="13">
        <v>45986</v>
      </c>
      <c r="H1084" s="13">
        <v>45988</v>
      </c>
      <c r="I1084">
        <v>11500</v>
      </c>
      <c r="J1084">
        <v>0</v>
      </c>
      <c r="K1084">
        <v>11500</v>
      </c>
      <c r="N1084" t="e">
        <v>#VALUE!</v>
      </c>
      <c r="O1084">
        <v>100</v>
      </c>
      <c r="P1084">
        <v>100</v>
      </c>
      <c r="T1084">
        <v>7</v>
      </c>
      <c r="U1084">
        <v>7</v>
      </c>
      <c r="W1084" t="s">
        <v>542</v>
      </c>
    </row>
    <row r="1085" spans="1:23" x14ac:dyDescent="0.25">
      <c r="A1085" t="s">
        <v>1542</v>
      </c>
      <c r="B1085" t="str">
        <f t="shared" si="16"/>
        <v>CG2L00000178</v>
      </c>
      <c r="C1085" t="s">
        <v>229</v>
      </c>
      <c r="D1085" t="s">
        <v>85</v>
      </c>
      <c r="E1085" t="s">
        <v>547</v>
      </c>
      <c r="F1085">
        <v>11500</v>
      </c>
      <c r="G1085" s="13">
        <v>45986</v>
      </c>
      <c r="H1085" s="13">
        <v>45988</v>
      </c>
      <c r="I1085">
        <v>11500</v>
      </c>
      <c r="J1085">
        <v>0</v>
      </c>
      <c r="K1085">
        <v>11500</v>
      </c>
      <c r="N1085" t="e">
        <v>#VALUE!</v>
      </c>
      <c r="O1085">
        <v>100</v>
      </c>
      <c r="P1085">
        <v>100</v>
      </c>
      <c r="T1085">
        <v>7</v>
      </c>
      <c r="U1085">
        <v>7</v>
      </c>
      <c r="W1085" t="s">
        <v>542</v>
      </c>
    </row>
    <row r="1086" spans="1:23" x14ac:dyDescent="0.25">
      <c r="A1086" t="s">
        <v>1543</v>
      </c>
      <c r="B1086" t="str">
        <f t="shared" si="16"/>
        <v>TD2J00000942</v>
      </c>
      <c r="C1086" t="s">
        <v>237</v>
      </c>
      <c r="D1086" t="s">
        <v>85</v>
      </c>
      <c r="E1086" t="s">
        <v>499</v>
      </c>
      <c r="F1086">
        <v>20000</v>
      </c>
      <c r="G1086" s="13">
        <v>45987</v>
      </c>
      <c r="H1086" s="13">
        <v>45989</v>
      </c>
      <c r="I1086">
        <v>0</v>
      </c>
      <c r="J1086">
        <v>6358.66</v>
      </c>
      <c r="K1086">
        <v>6358.66</v>
      </c>
      <c r="N1086">
        <v>33.333333333333329</v>
      </c>
      <c r="O1086">
        <v>90.125200000000007</v>
      </c>
      <c r="P1086">
        <v>31.793299999999999</v>
      </c>
      <c r="Q1086">
        <v>90</v>
      </c>
      <c r="R1086">
        <v>92</v>
      </c>
      <c r="S1086">
        <v>90</v>
      </c>
      <c r="T1086">
        <v>10.42</v>
      </c>
      <c r="U1086">
        <v>6.5</v>
      </c>
      <c r="W1086" t="s">
        <v>497</v>
      </c>
    </row>
    <row r="1087" spans="1:23" x14ac:dyDescent="0.25">
      <c r="A1087" t="s">
        <v>1544</v>
      </c>
      <c r="B1087" t="str">
        <f t="shared" si="16"/>
        <v>CM2J00000196</v>
      </c>
      <c r="C1087" t="s">
        <v>225</v>
      </c>
      <c r="D1087" t="s">
        <v>85</v>
      </c>
      <c r="E1087" t="s">
        <v>499</v>
      </c>
      <c r="F1087">
        <v>12000</v>
      </c>
      <c r="G1087" s="13">
        <v>45992</v>
      </c>
      <c r="H1087" s="13">
        <v>45994</v>
      </c>
      <c r="I1087">
        <v>12000</v>
      </c>
      <c r="J1087">
        <v>0</v>
      </c>
      <c r="K1087">
        <v>12000</v>
      </c>
      <c r="N1087">
        <v>18.181818181818183</v>
      </c>
      <c r="O1087">
        <v>96.3125</v>
      </c>
      <c r="P1087">
        <v>104.25</v>
      </c>
      <c r="Q1087">
        <v>96.25</v>
      </c>
      <c r="R1087">
        <v>96.75</v>
      </c>
      <c r="S1087">
        <v>89</v>
      </c>
      <c r="T1087">
        <v>7.65</v>
      </c>
      <c r="U1087">
        <v>6.25</v>
      </c>
      <c r="W1087" t="s">
        <v>497</v>
      </c>
    </row>
    <row r="1088" spans="1:23" x14ac:dyDescent="0.25">
      <c r="A1088" t="s">
        <v>1545</v>
      </c>
      <c r="B1088" t="str">
        <f t="shared" si="16"/>
        <v>CG2A00000585</v>
      </c>
      <c r="C1088" t="s">
        <v>229</v>
      </c>
      <c r="D1088" t="s">
        <v>85</v>
      </c>
      <c r="E1088" t="s">
        <v>496</v>
      </c>
      <c r="F1088">
        <v>10000</v>
      </c>
      <c r="G1088" s="13">
        <v>45993</v>
      </c>
      <c r="H1088" s="13">
        <v>45995</v>
      </c>
      <c r="J1088">
        <v>10000</v>
      </c>
      <c r="K1088">
        <v>10000</v>
      </c>
      <c r="N1088">
        <v>20.833333333333336</v>
      </c>
      <c r="O1088">
        <v>95.881399999999999</v>
      </c>
      <c r="P1088">
        <v>160.2345</v>
      </c>
      <c r="Q1088">
        <v>90</v>
      </c>
      <c r="R1088">
        <v>93</v>
      </c>
      <c r="S1088">
        <v>90</v>
      </c>
      <c r="T1088">
        <v>9.93</v>
      </c>
      <c r="U1088">
        <v>5.5</v>
      </c>
      <c r="W1088" t="s">
        <v>497</v>
      </c>
    </row>
    <row r="1089" spans="1:23" x14ac:dyDescent="0.25">
      <c r="A1089" t="s">
        <v>1546</v>
      </c>
      <c r="B1089" t="str">
        <f t="shared" si="16"/>
        <v>CG2A00000585</v>
      </c>
      <c r="C1089" t="s">
        <v>229</v>
      </c>
      <c r="D1089" t="s">
        <v>85</v>
      </c>
      <c r="E1089" t="s">
        <v>496</v>
      </c>
      <c r="F1089">
        <v>5000</v>
      </c>
      <c r="G1089" s="13">
        <v>45993</v>
      </c>
      <c r="H1089" s="13">
        <v>45995</v>
      </c>
      <c r="J1089">
        <v>5000</v>
      </c>
      <c r="K1089">
        <v>5000</v>
      </c>
      <c r="N1089">
        <v>4.1666666666666661</v>
      </c>
      <c r="O1089">
        <v>95.88</v>
      </c>
      <c r="P1089">
        <v>101.12820000000001</v>
      </c>
      <c r="Q1089">
        <v>95.88</v>
      </c>
      <c r="R1089">
        <v>95.88</v>
      </c>
      <c r="S1089">
        <v>95.88</v>
      </c>
      <c r="T1089">
        <v>9.93</v>
      </c>
      <c r="U1089">
        <v>5.5</v>
      </c>
      <c r="W1089" t="s">
        <v>1547</v>
      </c>
    </row>
    <row r="1090" spans="1:23" x14ac:dyDescent="0.25">
      <c r="A1090" t="s">
        <v>1548</v>
      </c>
      <c r="B1090" t="str">
        <f t="shared" si="16"/>
        <v>CG2J00000784</v>
      </c>
      <c r="C1090" t="s">
        <v>229</v>
      </c>
      <c r="D1090" t="s">
        <v>85</v>
      </c>
      <c r="E1090" t="s">
        <v>499</v>
      </c>
      <c r="F1090">
        <v>5000</v>
      </c>
      <c r="G1090" s="13">
        <v>45993</v>
      </c>
      <c r="H1090" s="13">
        <v>45995</v>
      </c>
      <c r="I1090">
        <v>90</v>
      </c>
      <c r="J1090">
        <v>0</v>
      </c>
      <c r="K1090">
        <v>90</v>
      </c>
      <c r="N1090">
        <v>4.1666666666666661</v>
      </c>
      <c r="O1090">
        <v>91</v>
      </c>
      <c r="P1090">
        <v>1.8</v>
      </c>
      <c r="Q1090">
        <v>91</v>
      </c>
      <c r="R1090">
        <v>91</v>
      </c>
      <c r="S1090">
        <v>91</v>
      </c>
      <c r="T1090">
        <v>9.4700000000000006</v>
      </c>
      <c r="U1090">
        <v>5.95</v>
      </c>
      <c r="W1090" t="s">
        <v>497</v>
      </c>
    </row>
    <row r="1091" spans="1:23" x14ac:dyDescent="0.25">
      <c r="A1091" t="s">
        <v>1549</v>
      </c>
      <c r="B1091" t="str">
        <f t="shared" si="16"/>
        <v>GA2C00000157</v>
      </c>
      <c r="C1091" t="s">
        <v>227</v>
      </c>
      <c r="D1091" t="s">
        <v>85</v>
      </c>
      <c r="E1091" t="s">
        <v>549</v>
      </c>
      <c r="G1091" s="13">
        <v>45994</v>
      </c>
      <c r="H1091" s="13">
        <v>45996</v>
      </c>
      <c r="J1091">
        <v>0</v>
      </c>
      <c r="N1091">
        <v>0</v>
      </c>
      <c r="T1091" t="s">
        <v>946</v>
      </c>
      <c r="W1091" t="s">
        <v>497</v>
      </c>
    </row>
    <row r="1092" spans="1:23" x14ac:dyDescent="0.25">
      <c r="A1092" t="s">
        <v>1550</v>
      </c>
      <c r="B1092" t="str">
        <f t="shared" si="16"/>
        <v>CF2J00000166</v>
      </c>
      <c r="C1092" t="s">
        <v>634</v>
      </c>
      <c r="D1092" t="s">
        <v>85</v>
      </c>
      <c r="E1092" t="s">
        <v>499</v>
      </c>
      <c r="F1092">
        <v>10000</v>
      </c>
      <c r="G1092" s="13">
        <v>45999</v>
      </c>
      <c r="H1092" s="13">
        <v>46001</v>
      </c>
      <c r="I1092">
        <v>7937.21</v>
      </c>
      <c r="J1092">
        <v>1005.4999999999991</v>
      </c>
      <c r="K1092">
        <v>8942.7099999999991</v>
      </c>
      <c r="N1092">
        <v>44.444444444444443</v>
      </c>
      <c r="O1092">
        <v>91.479500000000002</v>
      </c>
      <c r="P1092">
        <v>89.427099999999996</v>
      </c>
      <c r="Q1092">
        <v>91</v>
      </c>
      <c r="R1092">
        <v>91</v>
      </c>
      <c r="S1092">
        <v>91</v>
      </c>
      <c r="T1092">
        <v>9.59</v>
      </c>
      <c r="U1092">
        <v>6.25</v>
      </c>
      <c r="W1092" t="s">
        <v>497</v>
      </c>
    </row>
    <row r="1093" spans="1:23" x14ac:dyDescent="0.25">
      <c r="A1093" t="s">
        <v>1551</v>
      </c>
      <c r="B1093" t="str">
        <f t="shared" ref="B1093:B1156" si="17">MID(A1093,1,12)</f>
        <v>CF2B00000073</v>
      </c>
      <c r="C1093" t="s">
        <v>634</v>
      </c>
      <c r="D1093" t="s">
        <v>85</v>
      </c>
      <c r="E1093" t="s">
        <v>507</v>
      </c>
      <c r="F1093">
        <v>5000</v>
      </c>
      <c r="G1093" s="13">
        <v>45999</v>
      </c>
      <c r="H1093" s="13">
        <v>46001</v>
      </c>
      <c r="I1093">
        <v>0</v>
      </c>
      <c r="J1093">
        <v>797.6</v>
      </c>
      <c r="K1093">
        <v>797.6</v>
      </c>
      <c r="N1093">
        <v>33.333333333333329</v>
      </c>
      <c r="O1093">
        <v>89.402699999999996</v>
      </c>
      <c r="P1093">
        <v>15.952</v>
      </c>
      <c r="Q1093">
        <v>89</v>
      </c>
      <c r="R1093">
        <v>89</v>
      </c>
      <c r="S1093">
        <v>89</v>
      </c>
      <c r="T1093">
        <v>9.73</v>
      </c>
      <c r="U1093">
        <v>7</v>
      </c>
      <c r="W1093" t="s">
        <v>497</v>
      </c>
    </row>
    <row r="1094" spans="1:23" x14ac:dyDescent="0.25">
      <c r="A1094" t="s">
        <v>1552</v>
      </c>
      <c r="B1094" t="str">
        <f t="shared" si="17"/>
        <v>CF2K00000114</v>
      </c>
      <c r="C1094" t="s">
        <v>634</v>
      </c>
      <c r="D1094" t="s">
        <v>85</v>
      </c>
      <c r="E1094" t="s">
        <v>516</v>
      </c>
      <c r="F1094">
        <v>7500</v>
      </c>
      <c r="G1094" s="13">
        <v>45999</v>
      </c>
      <c r="H1094" s="13">
        <v>46001</v>
      </c>
      <c r="I1094">
        <v>816.5</v>
      </c>
      <c r="J1094">
        <v>0</v>
      </c>
      <c r="K1094">
        <v>816.5</v>
      </c>
      <c r="N1094">
        <v>33.333333333333329</v>
      </c>
      <c r="O1094">
        <v>90.388400000000004</v>
      </c>
      <c r="P1094">
        <v>11.02</v>
      </c>
      <c r="Q1094">
        <v>90</v>
      </c>
      <c r="R1094">
        <v>90</v>
      </c>
      <c r="S1094">
        <v>87</v>
      </c>
      <c r="T1094">
        <v>9.7100000000000009</v>
      </c>
      <c r="U1094">
        <v>6.75</v>
      </c>
      <c r="W1094" t="s">
        <v>497</v>
      </c>
    </row>
    <row r="1095" spans="1:23" x14ac:dyDescent="0.25">
      <c r="A1095" t="s">
        <v>1553</v>
      </c>
      <c r="B1095" t="str">
        <f t="shared" si="17"/>
        <v>CF2A00000041</v>
      </c>
      <c r="C1095" t="s">
        <v>634</v>
      </c>
      <c r="D1095" t="s">
        <v>85</v>
      </c>
      <c r="E1095" t="s">
        <v>496</v>
      </c>
      <c r="G1095" s="13">
        <v>45999</v>
      </c>
      <c r="H1095" s="13">
        <v>46001</v>
      </c>
      <c r="J1095">
        <v>0</v>
      </c>
      <c r="N1095">
        <v>0</v>
      </c>
      <c r="T1095" t="s">
        <v>1524</v>
      </c>
      <c r="W1095" t="s">
        <v>681</v>
      </c>
    </row>
    <row r="1096" spans="1:23" x14ac:dyDescent="0.25">
      <c r="A1096" t="s">
        <v>1554</v>
      </c>
      <c r="B1096" t="str">
        <f t="shared" si="17"/>
        <v>CF2A0000058/</v>
      </c>
      <c r="C1096" t="s">
        <v>634</v>
      </c>
      <c r="D1096" t="s">
        <v>85</v>
      </c>
      <c r="E1096" t="s">
        <v>496</v>
      </c>
      <c r="F1096">
        <v>3000</v>
      </c>
      <c r="G1096" s="13">
        <v>45999</v>
      </c>
      <c r="H1096" s="13">
        <v>46001</v>
      </c>
      <c r="I1096">
        <v>2800</v>
      </c>
      <c r="J1096">
        <v>0</v>
      </c>
      <c r="K1096">
        <v>2800</v>
      </c>
      <c r="N1096">
        <v>11.111111111111111</v>
      </c>
      <c r="O1096">
        <v>106.2329</v>
      </c>
      <c r="P1096">
        <v>93.333299999999994</v>
      </c>
      <c r="Q1096">
        <v>100</v>
      </c>
      <c r="R1096">
        <v>100</v>
      </c>
      <c r="S1096">
        <v>100</v>
      </c>
      <c r="T1096">
        <v>0.02</v>
      </c>
      <c r="U1096">
        <v>6.25</v>
      </c>
      <c r="W1096" t="s">
        <v>681</v>
      </c>
    </row>
    <row r="1097" spans="1:23" x14ac:dyDescent="0.25">
      <c r="A1097" t="s">
        <v>1555</v>
      </c>
      <c r="B1097" t="str">
        <f t="shared" si="17"/>
        <v>CF2J00000075</v>
      </c>
      <c r="C1097" t="s">
        <v>634</v>
      </c>
      <c r="D1097" t="s">
        <v>85</v>
      </c>
      <c r="E1097" t="s">
        <v>499</v>
      </c>
      <c r="G1097" s="13">
        <v>45999</v>
      </c>
      <c r="H1097" s="13">
        <v>46001</v>
      </c>
      <c r="J1097">
        <v>0</v>
      </c>
      <c r="N1097">
        <v>0</v>
      </c>
      <c r="T1097" t="s">
        <v>1524</v>
      </c>
      <c r="W1097" t="s">
        <v>681</v>
      </c>
    </row>
    <row r="1098" spans="1:23" x14ac:dyDescent="0.25">
      <c r="A1098" t="s">
        <v>1556</v>
      </c>
      <c r="B1098" t="str">
        <f t="shared" si="17"/>
        <v>CF2J00000083</v>
      </c>
      <c r="C1098" t="s">
        <v>634</v>
      </c>
      <c r="D1098" t="s">
        <v>85</v>
      </c>
      <c r="E1098" t="s">
        <v>499</v>
      </c>
      <c r="F1098">
        <v>4250</v>
      </c>
      <c r="G1098" s="13">
        <v>45999</v>
      </c>
      <c r="H1098" s="13">
        <v>46001</v>
      </c>
      <c r="I1098">
        <v>1000</v>
      </c>
      <c r="J1098">
        <v>978.3</v>
      </c>
      <c r="K1098">
        <v>1978.3</v>
      </c>
      <c r="N1098">
        <v>22.222222222222221</v>
      </c>
      <c r="O1098">
        <v>103.18770000000001</v>
      </c>
      <c r="P1098">
        <v>46.548200000000001</v>
      </c>
      <c r="Q1098">
        <v>100</v>
      </c>
      <c r="R1098">
        <v>100</v>
      </c>
      <c r="S1098">
        <v>100</v>
      </c>
      <c r="T1098">
        <v>3.24</v>
      </c>
      <c r="U1098">
        <v>6.5</v>
      </c>
      <c r="W1098" t="s">
        <v>681</v>
      </c>
    </row>
    <row r="1099" spans="1:23" x14ac:dyDescent="0.25">
      <c r="A1099" t="s">
        <v>1557</v>
      </c>
      <c r="B1099" t="str">
        <f t="shared" si="17"/>
        <v>CF2J00000091</v>
      </c>
      <c r="C1099" t="s">
        <v>634</v>
      </c>
      <c r="D1099" t="s">
        <v>85</v>
      </c>
      <c r="E1099" t="s">
        <v>499</v>
      </c>
      <c r="F1099">
        <v>4500</v>
      </c>
      <c r="G1099" s="13">
        <v>45999</v>
      </c>
      <c r="H1099" s="13">
        <v>46001</v>
      </c>
      <c r="I1099">
        <v>1916</v>
      </c>
      <c r="J1099">
        <v>0</v>
      </c>
      <c r="K1099">
        <v>1916</v>
      </c>
      <c r="N1099">
        <v>11.111111111111111</v>
      </c>
      <c r="O1099">
        <v>100.1884</v>
      </c>
      <c r="P1099">
        <v>42.577800000000003</v>
      </c>
      <c r="Q1099">
        <v>100</v>
      </c>
      <c r="R1099">
        <v>100</v>
      </c>
      <c r="S1099">
        <v>100</v>
      </c>
      <c r="T1099">
        <v>6.05</v>
      </c>
      <c r="U1099">
        <v>6.25</v>
      </c>
      <c r="W1099" t="s">
        <v>681</v>
      </c>
    </row>
    <row r="1100" spans="1:23" x14ac:dyDescent="0.25">
      <c r="A1100" t="s">
        <v>1558</v>
      </c>
      <c r="B1100" t="str">
        <f t="shared" si="17"/>
        <v>CG2A00000585</v>
      </c>
      <c r="C1100" t="s">
        <v>229</v>
      </c>
      <c r="D1100" t="s">
        <v>85</v>
      </c>
      <c r="E1100" t="s">
        <v>496</v>
      </c>
      <c r="F1100">
        <v>7000</v>
      </c>
      <c r="G1100" s="13">
        <v>46000</v>
      </c>
      <c r="H1100" s="13">
        <v>46002</v>
      </c>
      <c r="I1100">
        <v>5000</v>
      </c>
      <c r="J1100">
        <v>641.39999999999964</v>
      </c>
      <c r="K1100">
        <v>5641.4</v>
      </c>
      <c r="N1100">
        <v>16.666666666666664</v>
      </c>
      <c r="O1100">
        <v>95.695099999999996</v>
      </c>
      <c r="P1100">
        <v>80.591399999999993</v>
      </c>
      <c r="Q1100">
        <v>90</v>
      </c>
      <c r="R1100">
        <v>93</v>
      </c>
      <c r="S1100">
        <v>90</v>
      </c>
      <c r="T1100">
        <v>10.14</v>
      </c>
      <c r="U1100">
        <v>5.5</v>
      </c>
      <c r="W1100" t="s">
        <v>497</v>
      </c>
    </row>
    <row r="1101" spans="1:23" x14ac:dyDescent="0.25">
      <c r="A1101" t="s">
        <v>1559</v>
      </c>
      <c r="B1101" t="str">
        <f t="shared" si="17"/>
        <v>CG2B00000105</v>
      </c>
      <c r="C1101" t="s">
        <v>229</v>
      </c>
      <c r="D1101" t="s">
        <v>85</v>
      </c>
      <c r="E1101" t="s">
        <v>507</v>
      </c>
      <c r="F1101">
        <v>20000</v>
      </c>
      <c r="G1101" s="13">
        <v>46000</v>
      </c>
      <c r="H1101" s="13">
        <v>46002</v>
      </c>
      <c r="I1101">
        <v>2850.35</v>
      </c>
      <c r="J1101">
        <v>10408.049999999999</v>
      </c>
      <c r="K1101">
        <v>13258.4</v>
      </c>
      <c r="N1101">
        <v>16.666666666666664</v>
      </c>
      <c r="O1101">
        <v>96.322400000000002</v>
      </c>
      <c r="P1101">
        <v>66.292000000000002</v>
      </c>
      <c r="Q1101">
        <v>90</v>
      </c>
      <c r="R1101">
        <v>91</v>
      </c>
      <c r="S1101">
        <v>90</v>
      </c>
      <c r="T1101">
        <v>8.5399999999999991</v>
      </c>
      <c r="U1101">
        <v>6.5</v>
      </c>
      <c r="W1101" t="s">
        <v>497</v>
      </c>
    </row>
    <row r="1102" spans="1:23" x14ac:dyDescent="0.25">
      <c r="A1102" t="s">
        <v>1560</v>
      </c>
      <c r="B1102" t="str">
        <f t="shared" si="17"/>
        <v>TD2J00000959</v>
      </c>
      <c r="C1102" t="s">
        <v>237</v>
      </c>
      <c r="D1102" t="s">
        <v>85</v>
      </c>
      <c r="E1102" t="s">
        <v>499</v>
      </c>
      <c r="F1102">
        <v>15000</v>
      </c>
      <c r="G1102" s="13">
        <v>46001</v>
      </c>
      <c r="H1102" s="13">
        <v>46003</v>
      </c>
      <c r="I1102">
        <v>0</v>
      </c>
      <c r="J1102">
        <v>4044.6</v>
      </c>
      <c r="K1102">
        <v>4044.6</v>
      </c>
      <c r="N1102">
        <v>25</v>
      </c>
      <c r="O1102">
        <v>90.059299999999993</v>
      </c>
      <c r="P1102">
        <v>26.963999999999999</v>
      </c>
      <c r="Q1102">
        <v>90</v>
      </c>
      <c r="R1102">
        <v>92</v>
      </c>
      <c r="S1102">
        <v>90</v>
      </c>
      <c r="T1102">
        <v>10.45</v>
      </c>
      <c r="U1102">
        <v>6.5</v>
      </c>
      <c r="W1102" t="s">
        <v>497</v>
      </c>
    </row>
    <row r="1103" spans="1:23" x14ac:dyDescent="0.25">
      <c r="A1103" t="s">
        <v>1561</v>
      </c>
      <c r="B1103" t="str">
        <f t="shared" si="17"/>
        <v>CF2J00000075</v>
      </c>
      <c r="C1103" t="s">
        <v>634</v>
      </c>
      <c r="D1103" t="s">
        <v>85</v>
      </c>
      <c r="E1103" t="s">
        <v>499</v>
      </c>
      <c r="G1103" s="13">
        <v>46006</v>
      </c>
      <c r="H1103" s="13">
        <v>46008</v>
      </c>
      <c r="J1103">
        <v>0</v>
      </c>
      <c r="N1103">
        <v>0</v>
      </c>
      <c r="T1103" t="s">
        <v>1524</v>
      </c>
      <c r="W1103" t="s">
        <v>681</v>
      </c>
    </row>
    <row r="1104" spans="1:23" x14ac:dyDescent="0.25">
      <c r="A1104" t="s">
        <v>1562</v>
      </c>
      <c r="B1104" t="str">
        <f t="shared" si="17"/>
        <v>CF2J00000083</v>
      </c>
      <c r="C1104" t="s">
        <v>634</v>
      </c>
      <c r="D1104" t="s">
        <v>85</v>
      </c>
      <c r="E1104" t="s">
        <v>499</v>
      </c>
      <c r="G1104" s="13">
        <v>46006</v>
      </c>
      <c r="H1104" s="13">
        <v>46008</v>
      </c>
      <c r="J1104">
        <v>1171.7</v>
      </c>
      <c r="K1104">
        <v>1171.7</v>
      </c>
      <c r="N1104">
        <v>0</v>
      </c>
      <c r="T1104" t="s">
        <v>1524</v>
      </c>
      <c r="W1104" t="s">
        <v>681</v>
      </c>
    </row>
    <row r="1105" spans="1:23" x14ac:dyDescent="0.25">
      <c r="A1105" t="s">
        <v>1563</v>
      </c>
      <c r="B1105" t="str">
        <f t="shared" si="17"/>
        <v>CF2J00000166</v>
      </c>
      <c r="C1105" t="s">
        <v>634</v>
      </c>
      <c r="D1105" t="s">
        <v>85</v>
      </c>
      <c r="E1105" t="s">
        <v>499</v>
      </c>
      <c r="F1105">
        <v>5000</v>
      </c>
      <c r="G1105" s="13">
        <v>46006</v>
      </c>
      <c r="H1105" s="13">
        <v>46008</v>
      </c>
      <c r="I1105">
        <v>0</v>
      </c>
      <c r="J1105">
        <v>1879.07</v>
      </c>
      <c r="K1105">
        <v>1879.07</v>
      </c>
      <c r="N1105">
        <v>22.222222222222221</v>
      </c>
      <c r="O1105">
        <v>91.599299999999999</v>
      </c>
      <c r="P1105">
        <v>37.581400000000002</v>
      </c>
      <c r="Q1105">
        <v>91</v>
      </c>
      <c r="R1105">
        <v>91</v>
      </c>
      <c r="S1105">
        <v>91</v>
      </c>
      <c r="T1105">
        <v>9.5399999999999991</v>
      </c>
      <c r="U1105">
        <v>6.25</v>
      </c>
      <c r="W1105" t="s">
        <v>681</v>
      </c>
    </row>
    <row r="1106" spans="1:23" x14ac:dyDescent="0.25">
      <c r="A1106" t="s">
        <v>1564</v>
      </c>
      <c r="B1106" t="str">
        <f t="shared" si="17"/>
        <v>CF2K00000114</v>
      </c>
      <c r="C1106" t="s">
        <v>634</v>
      </c>
      <c r="D1106" t="s">
        <v>85</v>
      </c>
      <c r="E1106" t="s">
        <v>516</v>
      </c>
      <c r="F1106">
        <v>2500</v>
      </c>
      <c r="G1106" s="13">
        <v>46006</v>
      </c>
      <c r="H1106" s="13">
        <v>46008</v>
      </c>
      <c r="I1106">
        <v>0</v>
      </c>
      <c r="J1106">
        <v>477</v>
      </c>
      <c r="K1106">
        <v>477</v>
      </c>
      <c r="N1106">
        <v>11.111111111111111</v>
      </c>
      <c r="O1106">
        <v>90.517799999999994</v>
      </c>
      <c r="P1106">
        <v>19.12</v>
      </c>
      <c r="Q1106">
        <v>90</v>
      </c>
      <c r="R1106">
        <v>90</v>
      </c>
      <c r="S1106">
        <v>89.5</v>
      </c>
      <c r="T1106">
        <v>9.66</v>
      </c>
      <c r="U1106">
        <v>6.75</v>
      </c>
      <c r="W1106" t="s">
        <v>497</v>
      </c>
    </row>
    <row r="1107" spans="1:23" x14ac:dyDescent="0.25">
      <c r="A1107" t="s">
        <v>1565</v>
      </c>
      <c r="B1107" t="str">
        <f t="shared" si="17"/>
        <v>GQ2J00000065</v>
      </c>
      <c r="C1107" t="s">
        <v>528</v>
      </c>
      <c r="D1107" t="s">
        <v>85</v>
      </c>
      <c r="E1107" t="s">
        <v>499</v>
      </c>
      <c r="F1107">
        <v>50000</v>
      </c>
      <c r="G1107" s="13">
        <v>46007</v>
      </c>
      <c r="H1107" s="13">
        <v>46009</v>
      </c>
      <c r="I1107">
        <v>1115</v>
      </c>
      <c r="J1107">
        <v>24563.18</v>
      </c>
      <c r="K1107">
        <v>25678.18</v>
      </c>
      <c r="N1107">
        <v>46.153846153846153</v>
      </c>
      <c r="O1107">
        <v>89.629599999999996</v>
      </c>
      <c r="P1107">
        <v>51.356400000000001</v>
      </c>
      <c r="Q1107">
        <v>89</v>
      </c>
      <c r="R1107">
        <v>94</v>
      </c>
      <c r="S1107">
        <v>89</v>
      </c>
      <c r="T1107">
        <v>11.16</v>
      </c>
      <c r="U1107">
        <v>7</v>
      </c>
      <c r="W1107" t="s">
        <v>497</v>
      </c>
    </row>
    <row r="1108" spans="1:23" x14ac:dyDescent="0.25">
      <c r="A1108" t="s">
        <v>1566</v>
      </c>
      <c r="B1108" t="str">
        <f t="shared" si="17"/>
        <v>GA2A00000209</v>
      </c>
      <c r="C1108" t="s">
        <v>227</v>
      </c>
      <c r="D1108" t="s">
        <v>85</v>
      </c>
      <c r="E1108" t="s">
        <v>496</v>
      </c>
      <c r="F1108">
        <v>22500</v>
      </c>
      <c r="G1108" s="13">
        <v>46008</v>
      </c>
      <c r="H1108" s="13">
        <v>46010</v>
      </c>
      <c r="I1108">
        <v>17500</v>
      </c>
      <c r="J1108">
        <v>5000</v>
      </c>
      <c r="K1108">
        <v>22500</v>
      </c>
      <c r="N1108">
        <v>14.285714285714285</v>
      </c>
      <c r="O1108">
        <v>99.698599999999999</v>
      </c>
      <c r="P1108">
        <v>100</v>
      </c>
      <c r="Q1108">
        <v>95</v>
      </c>
      <c r="R1108">
        <v>95</v>
      </c>
      <c r="S1108">
        <v>95</v>
      </c>
      <c r="T1108">
        <v>5.31</v>
      </c>
      <c r="U1108">
        <v>5</v>
      </c>
      <c r="W1108" t="s">
        <v>875</v>
      </c>
    </row>
    <row r="1109" spans="1:23" x14ac:dyDescent="0.25">
      <c r="A1109" t="s">
        <v>1567</v>
      </c>
      <c r="B1109" t="str">
        <f t="shared" si="17"/>
        <v>GA2A00000324</v>
      </c>
      <c r="C1109" t="s">
        <v>227</v>
      </c>
      <c r="D1109" t="s">
        <v>85</v>
      </c>
      <c r="E1109" t="s">
        <v>496</v>
      </c>
      <c r="F1109">
        <v>22500</v>
      </c>
      <c r="G1109" s="13">
        <v>46008</v>
      </c>
      <c r="H1109" s="13">
        <v>46010</v>
      </c>
      <c r="I1109">
        <v>17110</v>
      </c>
      <c r="J1109">
        <v>5390</v>
      </c>
      <c r="K1109">
        <v>22500</v>
      </c>
      <c r="N1109">
        <v>14.285714285714285</v>
      </c>
      <c r="O1109">
        <v>96.953400000000002</v>
      </c>
      <c r="P1109">
        <v>100</v>
      </c>
      <c r="Q1109">
        <v>94</v>
      </c>
      <c r="R1109">
        <v>94</v>
      </c>
      <c r="S1109">
        <v>94</v>
      </c>
      <c r="T1109">
        <v>8.75</v>
      </c>
      <c r="U1109">
        <v>5.5</v>
      </c>
      <c r="W1109" t="s">
        <v>875</v>
      </c>
    </row>
    <row r="1110" spans="1:23" x14ac:dyDescent="0.25">
      <c r="A1110" t="s">
        <v>1568</v>
      </c>
      <c r="B1110" t="str">
        <f t="shared" si="17"/>
        <v>GA2A00000332</v>
      </c>
      <c r="C1110" t="s">
        <v>227</v>
      </c>
      <c r="D1110" t="s">
        <v>85</v>
      </c>
      <c r="E1110" t="s">
        <v>496</v>
      </c>
      <c r="F1110">
        <v>22500</v>
      </c>
      <c r="G1110" s="13">
        <v>46008</v>
      </c>
      <c r="H1110" s="13">
        <v>46010</v>
      </c>
      <c r="I1110">
        <v>16500</v>
      </c>
      <c r="J1110">
        <v>6000</v>
      </c>
      <c r="K1110">
        <v>22500</v>
      </c>
      <c r="N1110">
        <v>14.285714285714285</v>
      </c>
      <c r="O1110">
        <v>95.301400000000001</v>
      </c>
      <c r="P1110">
        <v>100</v>
      </c>
      <c r="Q1110">
        <v>93</v>
      </c>
      <c r="R1110">
        <v>93</v>
      </c>
      <c r="S1110">
        <v>93</v>
      </c>
      <c r="T1110">
        <v>7.58</v>
      </c>
      <c r="U1110">
        <v>5</v>
      </c>
      <c r="W1110" t="s">
        <v>875</v>
      </c>
    </row>
    <row r="1111" spans="1:23" x14ac:dyDescent="0.25">
      <c r="A1111" t="s">
        <v>1569</v>
      </c>
      <c r="B1111" t="str">
        <f t="shared" si="17"/>
        <v>GA2A00000340</v>
      </c>
      <c r="C1111" t="s">
        <v>227</v>
      </c>
      <c r="D1111" t="s">
        <v>85</v>
      </c>
      <c r="E1111" t="s">
        <v>496</v>
      </c>
      <c r="F1111">
        <v>22500</v>
      </c>
      <c r="G1111" s="13">
        <v>46008</v>
      </c>
      <c r="H1111" s="13">
        <v>46010</v>
      </c>
      <c r="I1111">
        <v>17500</v>
      </c>
      <c r="J1111">
        <v>5000</v>
      </c>
      <c r="K1111">
        <v>22500</v>
      </c>
      <c r="N1111">
        <v>14.285714285714285</v>
      </c>
      <c r="O1111">
        <v>96.743799999999993</v>
      </c>
      <c r="P1111">
        <v>100</v>
      </c>
      <c r="Q1111">
        <v>94.5</v>
      </c>
      <c r="R1111">
        <v>94.5</v>
      </c>
      <c r="S1111">
        <v>94.5</v>
      </c>
      <c r="T1111">
        <v>8.3000000000000007</v>
      </c>
      <c r="U1111">
        <v>6.5</v>
      </c>
      <c r="W1111" t="s">
        <v>875</v>
      </c>
    </row>
    <row r="1112" spans="1:23" x14ac:dyDescent="0.25">
      <c r="A1112" t="s">
        <v>1570</v>
      </c>
      <c r="B1112" t="str">
        <f t="shared" si="17"/>
        <v>GA2B00000075</v>
      </c>
      <c r="C1112" t="s">
        <v>227</v>
      </c>
      <c r="D1112" t="s">
        <v>85</v>
      </c>
      <c r="E1112" t="s">
        <v>507</v>
      </c>
      <c r="F1112">
        <v>10500</v>
      </c>
      <c r="G1112" s="13">
        <v>46008</v>
      </c>
      <c r="H1112" s="13">
        <v>46010</v>
      </c>
      <c r="I1112">
        <v>7330.06</v>
      </c>
      <c r="J1112">
        <v>3099.9999999999991</v>
      </c>
      <c r="K1112">
        <v>10430.06</v>
      </c>
      <c r="N1112">
        <v>14.285714285714285</v>
      </c>
      <c r="O1112">
        <v>102.9027</v>
      </c>
      <c r="P1112">
        <v>99.3339</v>
      </c>
      <c r="Q1112">
        <v>100</v>
      </c>
      <c r="R1112">
        <v>100</v>
      </c>
      <c r="S1112">
        <v>100</v>
      </c>
      <c r="T1112">
        <v>3.52</v>
      </c>
      <c r="U1112">
        <v>6.5</v>
      </c>
      <c r="W1112" t="s">
        <v>681</v>
      </c>
    </row>
    <row r="1113" spans="1:23" x14ac:dyDescent="0.25">
      <c r="A1113" t="s">
        <v>1571</v>
      </c>
      <c r="B1113" t="str">
        <f t="shared" si="17"/>
        <v>GA2B00000083</v>
      </c>
      <c r="C1113" t="s">
        <v>227</v>
      </c>
      <c r="D1113" t="s">
        <v>85</v>
      </c>
      <c r="E1113" t="s">
        <v>507</v>
      </c>
      <c r="F1113">
        <v>16000</v>
      </c>
      <c r="G1113" s="13">
        <v>46008</v>
      </c>
      <c r="H1113" s="13">
        <v>46010</v>
      </c>
      <c r="I1113">
        <v>4827</v>
      </c>
      <c r="J1113">
        <v>6656</v>
      </c>
      <c r="K1113">
        <v>11483</v>
      </c>
      <c r="N1113">
        <v>14.285714285714285</v>
      </c>
      <c r="O1113">
        <v>102.1918</v>
      </c>
      <c r="P1113">
        <v>71.768799999999999</v>
      </c>
      <c r="Q1113">
        <v>100</v>
      </c>
      <c r="R1113">
        <v>100</v>
      </c>
      <c r="S1113">
        <v>100</v>
      </c>
      <c r="T1113">
        <v>3.99</v>
      </c>
      <c r="U1113">
        <v>6.25</v>
      </c>
      <c r="W1113" t="s">
        <v>681</v>
      </c>
    </row>
    <row r="1114" spans="1:23" x14ac:dyDescent="0.25">
      <c r="A1114" t="s">
        <v>1572</v>
      </c>
      <c r="B1114" t="str">
        <f t="shared" si="17"/>
        <v>GA2B00000216</v>
      </c>
      <c r="C1114" t="s">
        <v>227</v>
      </c>
      <c r="D1114" t="s">
        <v>85</v>
      </c>
      <c r="E1114" t="s">
        <v>507</v>
      </c>
      <c r="F1114">
        <v>10000</v>
      </c>
      <c r="G1114" s="13">
        <v>46008</v>
      </c>
      <c r="H1114" s="13">
        <v>46010</v>
      </c>
      <c r="I1114">
        <v>5750</v>
      </c>
      <c r="J1114">
        <v>0</v>
      </c>
      <c r="K1114">
        <v>5750</v>
      </c>
      <c r="N1114">
        <v>9.5238095238095237</v>
      </c>
      <c r="O1114">
        <v>92.330100000000002</v>
      </c>
      <c r="P1114">
        <v>57.5</v>
      </c>
      <c r="Q1114">
        <v>90</v>
      </c>
      <c r="R1114">
        <v>90</v>
      </c>
      <c r="S1114">
        <v>90</v>
      </c>
      <c r="T1114">
        <v>8.67</v>
      </c>
      <c r="U1114">
        <v>6.75</v>
      </c>
      <c r="W1114" t="s">
        <v>875</v>
      </c>
    </row>
    <row r="1115" spans="1:23" x14ac:dyDescent="0.25">
      <c r="A1115" t="s">
        <v>1573</v>
      </c>
      <c r="B1115" t="str">
        <f t="shared" si="17"/>
        <v>GA2C00000157</v>
      </c>
      <c r="C1115" t="s">
        <v>227</v>
      </c>
      <c r="D1115" t="s">
        <v>85</v>
      </c>
      <c r="E1115" t="s">
        <v>549</v>
      </c>
      <c r="F1115">
        <v>10000</v>
      </c>
      <c r="G1115" s="13">
        <v>46008</v>
      </c>
      <c r="H1115" s="13">
        <v>46010</v>
      </c>
      <c r="I1115">
        <v>800</v>
      </c>
      <c r="J1115">
        <v>27</v>
      </c>
      <c r="K1115">
        <v>827</v>
      </c>
      <c r="N1115">
        <v>9.5238095238095237</v>
      </c>
      <c r="O1115">
        <v>92.588999999999999</v>
      </c>
      <c r="P1115">
        <v>8.27</v>
      </c>
      <c r="Q1115">
        <v>90</v>
      </c>
      <c r="R1115">
        <v>90</v>
      </c>
      <c r="S1115">
        <v>90</v>
      </c>
      <c r="T1115">
        <v>8.9499999999999993</v>
      </c>
      <c r="U1115">
        <v>7.5</v>
      </c>
      <c r="W1115" t="s">
        <v>875</v>
      </c>
    </row>
    <row r="1116" spans="1:23" x14ac:dyDescent="0.25">
      <c r="A1116" t="s">
        <v>1574</v>
      </c>
      <c r="B1116" t="str">
        <f t="shared" si="17"/>
        <v>GA2J00000283</v>
      </c>
      <c r="C1116" t="s">
        <v>227</v>
      </c>
      <c r="D1116" t="s">
        <v>85</v>
      </c>
      <c r="E1116" t="s">
        <v>499</v>
      </c>
      <c r="G1116" s="13">
        <v>46008</v>
      </c>
      <c r="H1116" s="13">
        <v>46010</v>
      </c>
      <c r="N1116">
        <v>0</v>
      </c>
      <c r="T1116" t="s">
        <v>1524</v>
      </c>
      <c r="W1116" t="s">
        <v>681</v>
      </c>
    </row>
    <row r="1117" spans="1:23" x14ac:dyDescent="0.25">
      <c r="A1117" t="s">
        <v>1575</v>
      </c>
      <c r="B1117" t="str">
        <f t="shared" si="17"/>
        <v>GA2J00000291</v>
      </c>
      <c r="C1117" t="s">
        <v>227</v>
      </c>
      <c r="D1117" t="s">
        <v>85</v>
      </c>
      <c r="E1117" t="s">
        <v>499</v>
      </c>
      <c r="G1117" s="13">
        <v>46008</v>
      </c>
      <c r="H1117" s="13">
        <v>46010</v>
      </c>
      <c r="N1117">
        <v>0</v>
      </c>
      <c r="T1117" t="s">
        <v>1524</v>
      </c>
      <c r="W1117" t="s">
        <v>681</v>
      </c>
    </row>
    <row r="1118" spans="1:23" x14ac:dyDescent="0.25">
      <c r="A1118" t="s">
        <v>1576</v>
      </c>
      <c r="B1118" t="str">
        <f t="shared" si="17"/>
        <v>GA2J00000309</v>
      </c>
      <c r="C1118" t="s">
        <v>227</v>
      </c>
      <c r="D1118" t="s">
        <v>85</v>
      </c>
      <c r="E1118" t="s">
        <v>499</v>
      </c>
      <c r="G1118" s="13">
        <v>46008</v>
      </c>
      <c r="H1118" s="13">
        <v>46010</v>
      </c>
      <c r="N1118">
        <v>0</v>
      </c>
      <c r="T1118" t="s">
        <v>1524</v>
      </c>
      <c r="W1118" t="s">
        <v>681</v>
      </c>
    </row>
    <row r="1119" spans="1:23" x14ac:dyDescent="0.25">
      <c r="A1119" t="s">
        <v>1577</v>
      </c>
      <c r="B1119" t="str">
        <f t="shared" si="17"/>
        <v>GA2J00000317</v>
      </c>
      <c r="C1119" t="s">
        <v>227</v>
      </c>
      <c r="D1119" t="s">
        <v>85</v>
      </c>
      <c r="E1119" t="s">
        <v>499</v>
      </c>
      <c r="F1119">
        <v>13000</v>
      </c>
      <c r="G1119" s="13">
        <v>46008</v>
      </c>
      <c r="H1119" s="13">
        <v>46010</v>
      </c>
      <c r="I1119">
        <v>4393.68</v>
      </c>
      <c r="J1119">
        <v>7622.1399999999994</v>
      </c>
      <c r="K1119">
        <v>12015.82</v>
      </c>
      <c r="N1119">
        <v>9.5238095238095237</v>
      </c>
      <c r="O1119">
        <v>102.1699</v>
      </c>
      <c r="P1119">
        <v>92.429400000000001</v>
      </c>
      <c r="Q1119">
        <v>100</v>
      </c>
      <c r="R1119">
        <v>100</v>
      </c>
      <c r="S1119">
        <v>100</v>
      </c>
      <c r="T1119">
        <v>3.28</v>
      </c>
      <c r="U1119">
        <v>5.5</v>
      </c>
      <c r="W1119" t="s">
        <v>681</v>
      </c>
    </row>
    <row r="1120" spans="1:23" x14ac:dyDescent="0.25">
      <c r="A1120" t="s">
        <v>1087</v>
      </c>
      <c r="B1120" t="str">
        <f t="shared" si="17"/>
        <v>GA2J00000325</v>
      </c>
      <c r="C1120" t="s">
        <v>227</v>
      </c>
      <c r="D1120" t="s">
        <v>85</v>
      </c>
      <c r="E1120" t="s">
        <v>499</v>
      </c>
      <c r="F1120">
        <v>17000</v>
      </c>
      <c r="G1120" s="13">
        <v>46008</v>
      </c>
      <c r="H1120" s="13">
        <v>46010</v>
      </c>
      <c r="I1120">
        <v>17200</v>
      </c>
      <c r="J1120">
        <v>50</v>
      </c>
      <c r="K1120">
        <v>17250</v>
      </c>
      <c r="N1120">
        <v>14.285714285714285</v>
      </c>
      <c r="O1120">
        <v>101.6425</v>
      </c>
      <c r="P1120">
        <v>101.4706</v>
      </c>
      <c r="Q1120">
        <v>100</v>
      </c>
      <c r="R1120">
        <v>100</v>
      </c>
      <c r="S1120">
        <v>100</v>
      </c>
      <c r="T1120">
        <v>3.81</v>
      </c>
      <c r="U1120">
        <v>5.5</v>
      </c>
      <c r="W1120" t="s">
        <v>681</v>
      </c>
    </row>
    <row r="1121" spans="1:23" x14ac:dyDescent="0.25">
      <c r="A1121" t="s">
        <v>1513</v>
      </c>
      <c r="B1121" t="str">
        <f t="shared" si="17"/>
        <v>GA2J00000333</v>
      </c>
      <c r="C1121" t="s">
        <v>227</v>
      </c>
      <c r="D1121" t="s">
        <v>85</v>
      </c>
      <c r="E1121" t="s">
        <v>499</v>
      </c>
      <c r="F1121">
        <v>11500</v>
      </c>
      <c r="G1121" s="13">
        <v>46008</v>
      </c>
      <c r="H1121" s="13">
        <v>46010</v>
      </c>
      <c r="I1121">
        <v>3403.73</v>
      </c>
      <c r="J1121">
        <v>2948.9</v>
      </c>
      <c r="K1121">
        <v>6352.63</v>
      </c>
      <c r="N1121">
        <v>9.5238095238095237</v>
      </c>
      <c r="O1121">
        <v>100.27119999999999</v>
      </c>
      <c r="P1121">
        <v>55.240299999999998</v>
      </c>
      <c r="Q1121">
        <v>100</v>
      </c>
      <c r="R1121">
        <v>100</v>
      </c>
      <c r="S1121">
        <v>100</v>
      </c>
      <c r="T1121">
        <v>5.22</v>
      </c>
      <c r="U1121">
        <v>5.5</v>
      </c>
      <c r="W1121" t="s">
        <v>681</v>
      </c>
    </row>
    <row r="1122" spans="1:23" x14ac:dyDescent="0.25">
      <c r="A1122" t="s">
        <v>1578</v>
      </c>
      <c r="B1122" t="str">
        <f t="shared" si="17"/>
        <v>GA2J00000507</v>
      </c>
      <c r="C1122" t="s">
        <v>227</v>
      </c>
      <c r="D1122" t="s">
        <v>85</v>
      </c>
      <c r="E1122" t="s">
        <v>499</v>
      </c>
      <c r="F1122">
        <v>30000</v>
      </c>
      <c r="G1122" s="13">
        <v>46008</v>
      </c>
      <c r="H1122" s="13">
        <v>46010</v>
      </c>
      <c r="I1122">
        <v>24000</v>
      </c>
      <c r="J1122">
        <v>6000</v>
      </c>
      <c r="K1122">
        <v>30000</v>
      </c>
      <c r="N1122">
        <v>14.285714285714285</v>
      </c>
      <c r="O1122">
        <v>94.888999999999996</v>
      </c>
      <c r="P1122">
        <v>100</v>
      </c>
      <c r="Q1122">
        <v>91.25</v>
      </c>
      <c r="R1122">
        <v>91.25</v>
      </c>
      <c r="S1122">
        <v>91.5</v>
      </c>
      <c r="T1122">
        <v>8.59</v>
      </c>
      <c r="U1122">
        <v>5.75</v>
      </c>
      <c r="W1122" t="s">
        <v>875</v>
      </c>
    </row>
    <row r="1123" spans="1:23" x14ac:dyDescent="0.25">
      <c r="A1123" t="s">
        <v>1579</v>
      </c>
      <c r="B1123" t="str">
        <f t="shared" si="17"/>
        <v>GA2J00000515</v>
      </c>
      <c r="C1123" t="s">
        <v>227</v>
      </c>
      <c r="D1123" t="s">
        <v>85</v>
      </c>
      <c r="E1123" t="s">
        <v>499</v>
      </c>
      <c r="F1123">
        <v>20000</v>
      </c>
      <c r="G1123" s="13">
        <v>46008</v>
      </c>
      <c r="H1123" s="13">
        <v>46010</v>
      </c>
      <c r="I1123">
        <v>17600</v>
      </c>
      <c r="J1123">
        <v>0</v>
      </c>
      <c r="K1123">
        <v>17600</v>
      </c>
      <c r="N1123">
        <v>9.5238095238095237</v>
      </c>
      <c r="O1123">
        <v>94.721900000000005</v>
      </c>
      <c r="P1123">
        <v>88</v>
      </c>
      <c r="Q1123">
        <v>91.5</v>
      </c>
      <c r="R1123">
        <v>91.5</v>
      </c>
      <c r="S1123">
        <v>91.5</v>
      </c>
      <c r="T1123">
        <v>8.94</v>
      </c>
      <c r="U1123">
        <v>6</v>
      </c>
      <c r="W1123" t="s">
        <v>875</v>
      </c>
    </row>
    <row r="1124" spans="1:23" x14ac:dyDescent="0.25">
      <c r="A1124" t="s">
        <v>1580</v>
      </c>
      <c r="B1124" t="str">
        <f t="shared" si="17"/>
        <v>GA2J00000531</v>
      </c>
      <c r="C1124" t="s">
        <v>227</v>
      </c>
      <c r="D1124" t="s">
        <v>85</v>
      </c>
      <c r="E1124" t="s">
        <v>499</v>
      </c>
      <c r="F1124">
        <v>25000</v>
      </c>
      <c r="G1124" s="13">
        <v>46008</v>
      </c>
      <c r="H1124" s="13">
        <v>46010</v>
      </c>
      <c r="I1124">
        <v>16400</v>
      </c>
      <c r="J1124">
        <v>0</v>
      </c>
      <c r="K1124">
        <v>16400</v>
      </c>
      <c r="N1124">
        <v>9.5238095238095237</v>
      </c>
      <c r="O1124">
        <v>92.1541</v>
      </c>
      <c r="P1124">
        <v>65.599999999999994</v>
      </c>
      <c r="Q1124">
        <v>90.5</v>
      </c>
      <c r="R1124">
        <v>90.5</v>
      </c>
      <c r="S1124">
        <v>90.5</v>
      </c>
      <c r="T1124">
        <v>5.75</v>
      </c>
      <c r="U1124">
        <v>5.75</v>
      </c>
      <c r="W1124" t="s">
        <v>875</v>
      </c>
    </row>
    <row r="1125" spans="1:23" x14ac:dyDescent="0.25">
      <c r="A1125" t="s">
        <v>1581</v>
      </c>
      <c r="B1125" t="str">
        <f t="shared" si="17"/>
        <v>GA2J00000556</v>
      </c>
      <c r="C1125" t="s">
        <v>227</v>
      </c>
      <c r="D1125" t="s">
        <v>85</v>
      </c>
      <c r="E1125" t="s">
        <v>499</v>
      </c>
      <c r="F1125">
        <v>35000</v>
      </c>
      <c r="G1125" s="13">
        <v>46008</v>
      </c>
      <c r="H1125" s="13">
        <v>46010</v>
      </c>
      <c r="I1125">
        <v>13889.97</v>
      </c>
      <c r="J1125">
        <v>3775.0000000000018</v>
      </c>
      <c r="K1125">
        <v>17664.97</v>
      </c>
      <c r="N1125">
        <v>14.285714285714285</v>
      </c>
      <c r="O1125">
        <v>90.75</v>
      </c>
      <c r="P1125">
        <v>50.471299999999999</v>
      </c>
      <c r="Q1125">
        <v>90.75</v>
      </c>
      <c r="R1125">
        <v>90.75</v>
      </c>
      <c r="S1125">
        <v>90.75</v>
      </c>
      <c r="T1125">
        <v>9.6199999999999992</v>
      </c>
      <c r="U1125">
        <v>6</v>
      </c>
      <c r="W1125" t="s">
        <v>875</v>
      </c>
    </row>
    <row r="1126" spans="1:23" x14ac:dyDescent="0.25">
      <c r="A1126" t="s">
        <v>1582</v>
      </c>
      <c r="B1126" t="str">
        <f t="shared" si="17"/>
        <v>GA2K00000025</v>
      </c>
      <c r="C1126" t="s">
        <v>227</v>
      </c>
      <c r="D1126" t="s">
        <v>85</v>
      </c>
      <c r="E1126" t="s">
        <v>516</v>
      </c>
      <c r="G1126" s="13">
        <v>46008</v>
      </c>
      <c r="H1126" s="13">
        <v>46010</v>
      </c>
      <c r="J1126">
        <v>0</v>
      </c>
      <c r="N1126">
        <v>0</v>
      </c>
      <c r="T1126" t="s">
        <v>1524</v>
      </c>
      <c r="W1126" t="s">
        <v>681</v>
      </c>
    </row>
    <row r="1127" spans="1:23" x14ac:dyDescent="0.25">
      <c r="A1127" t="s">
        <v>1583</v>
      </c>
      <c r="B1127" t="str">
        <f t="shared" si="17"/>
        <v>GA2K00000058</v>
      </c>
      <c r="C1127" t="s">
        <v>227</v>
      </c>
      <c r="D1127" t="s">
        <v>85</v>
      </c>
      <c r="E1127" t="s">
        <v>516</v>
      </c>
      <c r="F1127">
        <v>5500</v>
      </c>
      <c r="G1127" s="13">
        <v>46008</v>
      </c>
      <c r="H1127" s="13">
        <v>46010</v>
      </c>
      <c r="I1127">
        <v>5770.46</v>
      </c>
      <c r="J1127">
        <v>429.53999999999996</v>
      </c>
      <c r="K1127">
        <v>6200</v>
      </c>
      <c r="N1127">
        <v>14.285714285714285</v>
      </c>
      <c r="O1127">
        <v>100.1575</v>
      </c>
      <c r="P1127">
        <v>112.7273</v>
      </c>
      <c r="Q1127">
        <v>100</v>
      </c>
      <c r="R1127">
        <v>100</v>
      </c>
      <c r="S1127">
        <v>100</v>
      </c>
      <c r="T1127">
        <v>5.59</v>
      </c>
      <c r="U1127">
        <v>5.75</v>
      </c>
      <c r="W1127" t="s">
        <v>681</v>
      </c>
    </row>
    <row r="1128" spans="1:23" x14ac:dyDescent="0.25">
      <c r="A1128" t="s">
        <v>1584</v>
      </c>
      <c r="B1128" t="str">
        <f t="shared" si="17"/>
        <v>GA2K00000272</v>
      </c>
      <c r="C1128" t="s">
        <v>227</v>
      </c>
      <c r="D1128" t="s">
        <v>85</v>
      </c>
      <c r="E1128" t="s">
        <v>516</v>
      </c>
      <c r="F1128">
        <v>30000</v>
      </c>
      <c r="G1128" s="13">
        <v>46008</v>
      </c>
      <c r="H1128" s="13">
        <v>46010</v>
      </c>
      <c r="I1128">
        <v>13036.36</v>
      </c>
      <c r="J1128">
        <v>1144</v>
      </c>
      <c r="K1128">
        <v>14180.36</v>
      </c>
      <c r="N1128">
        <v>14.285714285714285</v>
      </c>
      <c r="O1128">
        <v>90.75</v>
      </c>
      <c r="P1128">
        <v>47.267899999999997</v>
      </c>
      <c r="Q1128">
        <v>90.75</v>
      </c>
      <c r="R1128">
        <v>90.75</v>
      </c>
      <c r="S1128">
        <v>90.75</v>
      </c>
      <c r="T1128">
        <v>9.59</v>
      </c>
      <c r="U1128">
        <v>6.75</v>
      </c>
      <c r="W1128" t="s">
        <v>875</v>
      </c>
    </row>
    <row r="1129" spans="1:23" x14ac:dyDescent="0.25">
      <c r="A1129" t="s">
        <v>1585</v>
      </c>
      <c r="B1129" t="str">
        <f t="shared" si="17"/>
        <v>GA2L00000016</v>
      </c>
      <c r="C1129" t="s">
        <v>227</v>
      </c>
      <c r="D1129" t="s">
        <v>85</v>
      </c>
      <c r="E1129" t="s">
        <v>547</v>
      </c>
      <c r="F1129">
        <v>10000</v>
      </c>
      <c r="G1129" s="13">
        <v>46008</v>
      </c>
      <c r="H1129" s="13">
        <v>46010</v>
      </c>
      <c r="I1129">
        <v>9790</v>
      </c>
      <c r="J1129">
        <v>101</v>
      </c>
      <c r="K1129">
        <v>9891</v>
      </c>
      <c r="N1129">
        <v>14.285714285714285</v>
      </c>
      <c r="O1129">
        <v>96.184899999999999</v>
      </c>
      <c r="P1129">
        <v>98.91</v>
      </c>
      <c r="Q1129">
        <v>90</v>
      </c>
      <c r="R1129">
        <v>90</v>
      </c>
      <c r="S1129">
        <v>90</v>
      </c>
      <c r="T1129">
        <v>8.4499999999999993</v>
      </c>
      <c r="U1129">
        <v>7.5</v>
      </c>
      <c r="W1129" t="s">
        <v>875</v>
      </c>
    </row>
    <row r="1130" spans="1:23" x14ac:dyDescent="0.25">
      <c r="A1130" t="s">
        <v>1586</v>
      </c>
      <c r="B1130" t="str">
        <f t="shared" si="17"/>
        <v>TD2A00001048</v>
      </c>
      <c r="C1130" t="s">
        <v>237</v>
      </c>
      <c r="D1130" t="s">
        <v>85</v>
      </c>
      <c r="E1130" t="s">
        <v>496</v>
      </c>
      <c r="F1130">
        <v>25000</v>
      </c>
      <c r="G1130" s="13">
        <v>46008</v>
      </c>
      <c r="H1130" s="13">
        <v>46010</v>
      </c>
      <c r="I1130">
        <v>5000</v>
      </c>
      <c r="J1130">
        <v>14583.07</v>
      </c>
      <c r="K1130">
        <v>19583.07</v>
      </c>
      <c r="N1130">
        <v>58.333333333333336</v>
      </c>
      <c r="O1130">
        <v>90.079700000000003</v>
      </c>
      <c r="P1130">
        <v>78.332300000000004</v>
      </c>
      <c r="Q1130">
        <v>90</v>
      </c>
      <c r="R1130">
        <v>95</v>
      </c>
      <c r="S1130">
        <v>90</v>
      </c>
      <c r="T1130">
        <v>11.71</v>
      </c>
      <c r="U1130">
        <v>6</v>
      </c>
      <c r="W1130" t="s">
        <v>497</v>
      </c>
    </row>
    <row r="1131" spans="1:23" x14ac:dyDescent="0.25">
      <c r="A1131" t="s">
        <v>1587</v>
      </c>
      <c r="B1131" t="str">
        <f t="shared" si="17"/>
        <v>CM2J00000204</v>
      </c>
      <c r="C1131" t="s">
        <v>225</v>
      </c>
      <c r="D1131" t="s">
        <v>85</v>
      </c>
      <c r="E1131" t="s">
        <v>499</v>
      </c>
      <c r="F1131">
        <v>10000</v>
      </c>
      <c r="G1131" s="13">
        <v>46013</v>
      </c>
      <c r="H1131" s="13">
        <v>46015</v>
      </c>
      <c r="I1131">
        <v>9015</v>
      </c>
      <c r="J1131">
        <v>0</v>
      </c>
      <c r="K1131">
        <v>9015</v>
      </c>
      <c r="N1131">
        <v>13.636363636363635</v>
      </c>
      <c r="O1131">
        <v>96.013900000000007</v>
      </c>
      <c r="P1131">
        <v>90.15</v>
      </c>
      <c r="Q1131">
        <v>96</v>
      </c>
      <c r="R1131">
        <v>96.25</v>
      </c>
      <c r="S1131">
        <v>96</v>
      </c>
      <c r="T1131">
        <v>7.51</v>
      </c>
      <c r="U1131">
        <v>6</v>
      </c>
      <c r="W1131" t="s">
        <v>497</v>
      </c>
    </row>
    <row r="1132" spans="1:23" x14ac:dyDescent="0.25">
      <c r="A1132" t="s">
        <v>1588</v>
      </c>
      <c r="B1132" t="str">
        <f t="shared" si="17"/>
        <v>GQ2K00000070</v>
      </c>
      <c r="C1132" t="s">
        <v>528</v>
      </c>
      <c r="D1132" t="s">
        <v>85</v>
      </c>
      <c r="E1132" t="s">
        <v>516</v>
      </c>
      <c r="F1132">
        <v>50000</v>
      </c>
      <c r="G1132" s="13">
        <v>46014</v>
      </c>
      <c r="H1132" s="13">
        <v>46016</v>
      </c>
      <c r="I1132">
        <v>32000</v>
      </c>
      <c r="J1132">
        <v>110</v>
      </c>
      <c r="K1132">
        <v>32110</v>
      </c>
      <c r="N1132">
        <v>53.846153846153847</v>
      </c>
      <c r="O1132">
        <v>92.524500000000003</v>
      </c>
      <c r="P1132">
        <v>92.524500000000003</v>
      </c>
      <c r="Q1132">
        <v>89</v>
      </c>
      <c r="R1132">
        <v>95</v>
      </c>
      <c r="S1132">
        <v>89</v>
      </c>
      <c r="T1132">
        <v>9.2799999999999994</v>
      </c>
      <c r="U1132">
        <v>7</v>
      </c>
      <c r="W1132" t="s">
        <v>497</v>
      </c>
    </row>
    <row r="1133" spans="1:23" x14ac:dyDescent="0.25">
      <c r="A1133" t="s">
        <v>1589</v>
      </c>
      <c r="B1133" t="str">
        <f t="shared" si="17"/>
        <v>GA2L00000016</v>
      </c>
      <c r="C1133" t="s">
        <v>227</v>
      </c>
      <c r="D1133" t="s">
        <v>85</v>
      </c>
      <c r="E1133" t="s">
        <v>547</v>
      </c>
      <c r="G1133" s="13">
        <v>46015</v>
      </c>
      <c r="H1133" s="13">
        <v>46017</v>
      </c>
      <c r="J1133">
        <v>0</v>
      </c>
      <c r="N1133">
        <v>0</v>
      </c>
      <c r="T1133" t="s">
        <v>946</v>
      </c>
      <c r="W1133" t="s">
        <v>497</v>
      </c>
    </row>
    <row r="1134" spans="1:23" x14ac:dyDescent="0.25">
      <c r="A1134" t="s">
        <v>1590</v>
      </c>
      <c r="B1134" t="str">
        <f t="shared" si="17"/>
        <v>GA2A00000209</v>
      </c>
      <c r="C1134" t="s">
        <v>227</v>
      </c>
      <c r="D1134" t="s">
        <v>85</v>
      </c>
      <c r="E1134" t="s">
        <v>496</v>
      </c>
      <c r="F1134">
        <v>9578</v>
      </c>
      <c r="G1134" s="13">
        <v>46015</v>
      </c>
      <c r="H1134" s="13">
        <v>46017</v>
      </c>
      <c r="K1134">
        <v>9578</v>
      </c>
      <c r="P1134">
        <v>100</v>
      </c>
      <c r="T1134">
        <v>5</v>
      </c>
      <c r="U1134">
        <v>5</v>
      </c>
      <c r="W1134" t="s">
        <v>542</v>
      </c>
    </row>
    <row r="1135" spans="1:23" x14ac:dyDescent="0.25">
      <c r="A1135" t="s">
        <v>1591</v>
      </c>
      <c r="B1135" t="str">
        <f t="shared" si="17"/>
        <v>GA2A00000381</v>
      </c>
      <c r="C1135" t="s">
        <v>227</v>
      </c>
      <c r="D1135" t="s">
        <v>85</v>
      </c>
      <c r="E1135" t="s">
        <v>496</v>
      </c>
      <c r="F1135">
        <v>5177.5</v>
      </c>
      <c r="G1135" s="13">
        <v>46015</v>
      </c>
      <c r="H1135" s="13">
        <v>46017</v>
      </c>
      <c r="K1135">
        <v>5177.5</v>
      </c>
      <c r="P1135">
        <v>100</v>
      </c>
      <c r="T1135">
        <v>5</v>
      </c>
      <c r="U1135">
        <v>5</v>
      </c>
      <c r="W1135" t="s">
        <v>542</v>
      </c>
    </row>
    <row r="1136" spans="1:23" x14ac:dyDescent="0.25">
      <c r="A1136" t="s">
        <v>1592</v>
      </c>
      <c r="B1136" t="str">
        <f t="shared" si="17"/>
        <v>GA2B00000332</v>
      </c>
      <c r="C1136" t="s">
        <v>227</v>
      </c>
      <c r="D1136" t="s">
        <v>85</v>
      </c>
      <c r="E1136" t="s">
        <v>507</v>
      </c>
      <c r="F1136">
        <v>5476</v>
      </c>
      <c r="G1136" s="13">
        <v>46015</v>
      </c>
      <c r="H1136" s="13">
        <v>46017</v>
      </c>
      <c r="K1136">
        <v>5476</v>
      </c>
      <c r="P1136">
        <v>100</v>
      </c>
      <c r="T1136">
        <v>5</v>
      </c>
      <c r="U1136">
        <v>5</v>
      </c>
      <c r="W1136" t="s">
        <v>542</v>
      </c>
    </row>
    <row r="1137" spans="1:23" x14ac:dyDescent="0.25">
      <c r="A1137" t="s">
        <v>1593</v>
      </c>
      <c r="B1137" t="str">
        <f t="shared" si="17"/>
        <v>TD2J00000967</v>
      </c>
      <c r="C1137" t="s">
        <v>237</v>
      </c>
      <c r="D1137" t="s">
        <v>85</v>
      </c>
      <c r="E1137" t="s">
        <v>499</v>
      </c>
      <c r="F1137">
        <v>25000</v>
      </c>
      <c r="G1137" s="13">
        <v>46015</v>
      </c>
      <c r="H1137" s="13">
        <v>46017</v>
      </c>
      <c r="I1137">
        <v>0</v>
      </c>
      <c r="J1137">
        <v>8182.89</v>
      </c>
      <c r="K1137">
        <v>8182.89</v>
      </c>
      <c r="N1137">
        <v>50</v>
      </c>
      <c r="O1137">
        <v>89.667599999999993</v>
      </c>
      <c r="P1137">
        <v>33.271599999999999</v>
      </c>
      <c r="Q1137">
        <v>89</v>
      </c>
      <c r="R1137">
        <v>92</v>
      </c>
      <c r="S1137">
        <v>70</v>
      </c>
      <c r="T1137">
        <v>10.61</v>
      </c>
      <c r="U1137">
        <v>6.5</v>
      </c>
      <c r="W1137" t="s">
        <v>497</v>
      </c>
    </row>
    <row r="1138" spans="1:23" x14ac:dyDescent="0.25">
      <c r="A1138" t="s">
        <v>1594</v>
      </c>
      <c r="B1138" t="str">
        <f t="shared" si="17"/>
        <v>CG2B00000055</v>
      </c>
      <c r="C1138" t="s">
        <v>229</v>
      </c>
      <c r="D1138" t="s">
        <v>85</v>
      </c>
      <c r="E1138" t="s">
        <v>507</v>
      </c>
      <c r="F1138">
        <v>15000</v>
      </c>
      <c r="G1138" s="13">
        <v>46021</v>
      </c>
      <c r="H1138" s="13">
        <v>46023</v>
      </c>
      <c r="I1138">
        <v>0</v>
      </c>
      <c r="J1138">
        <v>15000</v>
      </c>
      <c r="K1138">
        <v>15000</v>
      </c>
      <c r="N1138">
        <v>25</v>
      </c>
      <c r="O1138">
        <v>95.152299999999997</v>
      </c>
      <c r="P1138">
        <v>126.2872</v>
      </c>
      <c r="Q1138">
        <v>90</v>
      </c>
      <c r="R1138">
        <v>94</v>
      </c>
      <c r="S1138">
        <v>90</v>
      </c>
      <c r="T1138">
        <v>11.78</v>
      </c>
      <c r="U1138">
        <v>6.5</v>
      </c>
      <c r="W1138" t="s">
        <v>497</v>
      </c>
    </row>
    <row r="1139" spans="1:23" x14ac:dyDescent="0.25">
      <c r="A1139" t="s">
        <v>1595</v>
      </c>
      <c r="B1139" t="str">
        <f t="shared" si="17"/>
        <v>CG2B00000055</v>
      </c>
      <c r="C1139" t="s">
        <v>229</v>
      </c>
      <c r="D1139" t="s">
        <v>85</v>
      </c>
      <c r="E1139" t="s">
        <v>507</v>
      </c>
      <c r="F1139">
        <v>7500</v>
      </c>
      <c r="G1139" s="13">
        <v>46021</v>
      </c>
      <c r="H1139" s="13">
        <v>46023</v>
      </c>
      <c r="I1139">
        <v>1187.29</v>
      </c>
      <c r="J1139">
        <v>6312.71</v>
      </c>
      <c r="K1139">
        <v>7500</v>
      </c>
      <c r="N1139">
        <v>12.5</v>
      </c>
      <c r="O1139">
        <v>95.152299999999997</v>
      </c>
      <c r="P1139">
        <v>124.56950000000001</v>
      </c>
      <c r="Q1139">
        <v>95.152299999999997</v>
      </c>
      <c r="R1139">
        <v>95.152299999999997</v>
      </c>
      <c r="S1139">
        <v>95.152299999999997</v>
      </c>
      <c r="T1139">
        <v>11.78</v>
      </c>
      <c r="U1139">
        <v>6.5</v>
      </c>
      <c r="W1139" t="s">
        <v>1547</v>
      </c>
    </row>
    <row r="1140" spans="1:23" x14ac:dyDescent="0.25">
      <c r="A1140" t="s">
        <v>1596</v>
      </c>
      <c r="B1140" t="str">
        <f t="shared" si="17"/>
        <v>TD2A00001055</v>
      </c>
      <c r="C1140" t="s">
        <v>237</v>
      </c>
      <c r="D1140" t="s">
        <v>85</v>
      </c>
      <c r="E1140" t="s">
        <v>496</v>
      </c>
      <c r="F1140">
        <v>30000</v>
      </c>
      <c r="G1140" s="13">
        <v>46022</v>
      </c>
      <c r="H1140" s="13">
        <v>46024</v>
      </c>
      <c r="I1140">
        <v>0</v>
      </c>
      <c r="J1140">
        <v>2505</v>
      </c>
      <c r="K1140">
        <v>2505</v>
      </c>
      <c r="N1140">
        <v>8.3333333333333321</v>
      </c>
      <c r="O1140">
        <v>90.001999999999995</v>
      </c>
      <c r="P1140">
        <v>8.35</v>
      </c>
      <c r="Q1140">
        <v>90</v>
      </c>
      <c r="R1140">
        <v>91</v>
      </c>
      <c r="S1140">
        <v>90</v>
      </c>
      <c r="T1140">
        <v>11.75</v>
      </c>
      <c r="U1140">
        <v>6</v>
      </c>
      <c r="W1140" t="s">
        <v>497</v>
      </c>
    </row>
    <row r="1141" spans="1:23" x14ac:dyDescent="0.25">
      <c r="A1141" t="s">
        <v>1597</v>
      </c>
      <c r="B1141" t="str">
        <f t="shared" si="17"/>
        <v>CG2A00000767</v>
      </c>
      <c r="C1141" t="s">
        <v>229</v>
      </c>
      <c r="D1141" t="s">
        <v>85</v>
      </c>
      <c r="E1141" t="s">
        <v>496</v>
      </c>
      <c r="F1141">
        <v>558.6</v>
      </c>
      <c r="G1141" s="13">
        <v>46021</v>
      </c>
      <c r="H1141" s="13">
        <v>46023</v>
      </c>
      <c r="K1141">
        <v>558.6</v>
      </c>
      <c r="P1141">
        <v>100</v>
      </c>
      <c r="T1141">
        <v>7</v>
      </c>
      <c r="U1141">
        <v>7</v>
      </c>
      <c r="W1141" t="s">
        <v>542</v>
      </c>
    </row>
    <row r="1142" spans="1:23" x14ac:dyDescent="0.25">
      <c r="A1142" t="s">
        <v>1598</v>
      </c>
      <c r="B1142" t="str">
        <f t="shared" si="17"/>
        <v>CG2J00000792</v>
      </c>
      <c r="C1142" t="s">
        <v>229</v>
      </c>
      <c r="D1142" t="s">
        <v>85</v>
      </c>
      <c r="E1142" t="s">
        <v>499</v>
      </c>
      <c r="F1142">
        <v>9888.2800000000007</v>
      </c>
      <c r="G1142" s="13">
        <v>46021</v>
      </c>
      <c r="H1142" s="13">
        <v>46023</v>
      </c>
      <c r="K1142">
        <v>9888.2800000000007</v>
      </c>
      <c r="P1142">
        <v>100</v>
      </c>
      <c r="T1142">
        <v>7</v>
      </c>
      <c r="U1142">
        <v>7</v>
      </c>
      <c r="W1142" t="s">
        <v>542</v>
      </c>
    </row>
    <row r="1143" spans="1:23" x14ac:dyDescent="0.25">
      <c r="A1143" t="s">
        <v>1599</v>
      </c>
      <c r="B1143" t="str">
        <f t="shared" si="17"/>
        <v>CG2K00000344</v>
      </c>
      <c r="C1143" t="s">
        <v>229</v>
      </c>
      <c r="D1143" t="s">
        <v>85</v>
      </c>
      <c r="E1143" t="s">
        <v>516</v>
      </c>
      <c r="F1143">
        <v>9888.2800000000007</v>
      </c>
      <c r="G1143" s="13">
        <v>46021</v>
      </c>
      <c r="H1143" s="13">
        <v>46023</v>
      </c>
      <c r="K1143">
        <v>9888.2800000000007</v>
      </c>
      <c r="P1143">
        <v>100</v>
      </c>
      <c r="T1143">
        <v>7</v>
      </c>
      <c r="U1143">
        <v>7</v>
      </c>
      <c r="W1143" t="s">
        <v>542</v>
      </c>
    </row>
    <row r="1144" spans="1:23" x14ac:dyDescent="0.25">
      <c r="A1144" t="s">
        <v>1600</v>
      </c>
      <c r="B1144" t="str">
        <f t="shared" si="17"/>
        <v>CG2B00000535</v>
      </c>
      <c r="C1144" t="s">
        <v>229</v>
      </c>
      <c r="D1144" t="s">
        <v>85</v>
      </c>
      <c r="E1144" t="s">
        <v>507</v>
      </c>
      <c r="F1144">
        <v>9888.2800000000007</v>
      </c>
      <c r="G1144" s="13">
        <v>46021</v>
      </c>
      <c r="H1144" s="13">
        <v>46023</v>
      </c>
      <c r="K1144">
        <v>9888.2800000000007</v>
      </c>
      <c r="P1144">
        <v>100</v>
      </c>
      <c r="T1144">
        <v>7</v>
      </c>
      <c r="U1144">
        <v>7</v>
      </c>
      <c r="W1144" t="s">
        <v>542</v>
      </c>
    </row>
    <row r="1145" spans="1:23" x14ac:dyDescent="0.25">
      <c r="A1145" t="s">
        <v>1601</v>
      </c>
      <c r="B1145" t="str">
        <f t="shared" si="17"/>
        <v>CG2L00000186</v>
      </c>
      <c r="C1145" t="s">
        <v>229</v>
      </c>
      <c r="D1145" t="s">
        <v>85</v>
      </c>
      <c r="E1145" t="s">
        <v>547</v>
      </c>
      <c r="F1145">
        <v>9888.2800000000007</v>
      </c>
      <c r="G1145" s="13">
        <v>46021</v>
      </c>
      <c r="H1145" s="13">
        <v>46023</v>
      </c>
      <c r="K1145">
        <v>9888.2800000000007</v>
      </c>
      <c r="P1145">
        <v>100</v>
      </c>
      <c r="T1145">
        <v>7</v>
      </c>
      <c r="U1145">
        <v>7</v>
      </c>
      <c r="W1145" t="s">
        <v>542</v>
      </c>
    </row>
    <row r="1146" spans="1:23" x14ac:dyDescent="0.25">
      <c r="A1146" t="s">
        <v>1602</v>
      </c>
      <c r="B1146" t="str">
        <f t="shared" si="17"/>
        <v>CG2C00000195</v>
      </c>
      <c r="C1146" t="s">
        <v>229</v>
      </c>
      <c r="D1146" t="s">
        <v>85</v>
      </c>
      <c r="E1146" t="s">
        <v>549</v>
      </c>
      <c r="F1146">
        <v>9888.2800000000007</v>
      </c>
      <c r="G1146" s="13">
        <v>46021</v>
      </c>
      <c r="H1146" s="13">
        <v>46023</v>
      </c>
      <c r="K1146">
        <v>9888.2800000000007</v>
      </c>
      <c r="P1146">
        <v>100</v>
      </c>
      <c r="T1146">
        <v>7</v>
      </c>
      <c r="U1146">
        <v>7</v>
      </c>
      <c r="W1146" t="s">
        <v>542</v>
      </c>
    </row>
    <row r="1147" spans="1:23" x14ac:dyDescent="0.25">
      <c r="A1147" t="s">
        <v>1603</v>
      </c>
      <c r="B1147" t="str">
        <f t="shared" si="17"/>
        <v>CG2C00000203</v>
      </c>
      <c r="C1147" t="s">
        <v>229</v>
      </c>
      <c r="D1147" t="s">
        <v>85</v>
      </c>
      <c r="E1147" t="s">
        <v>549</v>
      </c>
      <c r="F1147">
        <v>11382</v>
      </c>
      <c r="G1147" s="13">
        <v>46021</v>
      </c>
      <c r="H1147" s="13">
        <v>46023</v>
      </c>
      <c r="K1147">
        <v>11382</v>
      </c>
      <c r="P1147">
        <v>100</v>
      </c>
      <c r="T1147">
        <v>7</v>
      </c>
      <c r="U1147">
        <v>7</v>
      </c>
      <c r="W1147" t="s">
        <v>542</v>
      </c>
    </row>
    <row r="1148" spans="1:23" x14ac:dyDescent="0.25">
      <c r="A1148" t="s">
        <v>1604</v>
      </c>
      <c r="B1148" t="str">
        <f t="shared" si="17"/>
        <v>CG2C00000211</v>
      </c>
      <c r="C1148" t="s">
        <v>229</v>
      </c>
      <c r="D1148" t="s">
        <v>85</v>
      </c>
      <c r="E1148" t="s">
        <v>549</v>
      </c>
      <c r="F1148">
        <v>5617</v>
      </c>
      <c r="G1148" s="13">
        <v>46021</v>
      </c>
      <c r="H1148" s="13">
        <v>46023</v>
      </c>
      <c r="K1148">
        <v>5617</v>
      </c>
      <c r="P1148">
        <v>100</v>
      </c>
      <c r="T1148">
        <v>7</v>
      </c>
      <c r="U1148">
        <v>7</v>
      </c>
      <c r="W1148" t="s">
        <v>542</v>
      </c>
    </row>
    <row r="1149" spans="1:23" x14ac:dyDescent="0.25">
      <c r="A1149" t="s">
        <v>1605</v>
      </c>
      <c r="B1149" t="str">
        <f t="shared" si="17"/>
        <v>CG2C00000229</v>
      </c>
      <c r="C1149" t="s">
        <v>229</v>
      </c>
      <c r="D1149" t="s">
        <v>85</v>
      </c>
      <c r="E1149" t="s">
        <v>549</v>
      </c>
      <c r="F1149">
        <v>2734</v>
      </c>
      <c r="G1149" s="13">
        <v>46021</v>
      </c>
      <c r="H1149" s="13">
        <v>46023</v>
      </c>
      <c r="K1149">
        <v>2734</v>
      </c>
      <c r="P1149">
        <v>100</v>
      </c>
      <c r="T1149">
        <v>7</v>
      </c>
      <c r="U1149">
        <v>7</v>
      </c>
      <c r="W1149" t="s">
        <v>542</v>
      </c>
    </row>
    <row r="1150" spans="1:23" x14ac:dyDescent="0.25">
      <c r="A1150" t="s">
        <v>1606</v>
      </c>
      <c r="B1150" t="str">
        <f t="shared" si="17"/>
        <v>CG2C00000237</v>
      </c>
      <c r="C1150" t="s">
        <v>229</v>
      </c>
      <c r="D1150" t="s">
        <v>85</v>
      </c>
      <c r="E1150" t="s">
        <v>549</v>
      </c>
      <c r="F1150">
        <v>5552</v>
      </c>
      <c r="G1150" s="13">
        <v>46021</v>
      </c>
      <c r="H1150" s="13">
        <v>46023</v>
      </c>
      <c r="K1150">
        <v>5552</v>
      </c>
      <c r="P1150">
        <v>100</v>
      </c>
      <c r="T1150">
        <v>7</v>
      </c>
      <c r="U1150">
        <v>7</v>
      </c>
      <c r="W1150" t="s">
        <v>542</v>
      </c>
    </row>
    <row r="1151" spans="1:23" x14ac:dyDescent="0.25">
      <c r="A1151" t="s">
        <v>1607</v>
      </c>
      <c r="B1151" t="str">
        <f t="shared" si="17"/>
        <v>GA2J00000499</v>
      </c>
      <c r="C1151" t="s">
        <v>227</v>
      </c>
      <c r="D1151" t="s">
        <v>85</v>
      </c>
      <c r="E1151" t="s">
        <v>499</v>
      </c>
      <c r="F1151">
        <v>12500</v>
      </c>
      <c r="G1151" s="13">
        <v>46029</v>
      </c>
      <c r="H1151" s="13">
        <v>46031</v>
      </c>
      <c r="I1151">
        <v>10000</v>
      </c>
      <c r="J1151">
        <v>2500</v>
      </c>
      <c r="K1151">
        <v>12500</v>
      </c>
      <c r="N1151">
        <v>38.095238095238095</v>
      </c>
      <c r="O1151">
        <v>99.822599999999994</v>
      </c>
      <c r="P1151">
        <v>104.22110000000001</v>
      </c>
      <c r="Q1151">
        <v>91</v>
      </c>
      <c r="R1151">
        <v>95</v>
      </c>
      <c r="S1151">
        <v>90</v>
      </c>
      <c r="T1151">
        <v>7.1</v>
      </c>
      <c r="U1151">
        <v>7</v>
      </c>
      <c r="W1151" t="s">
        <v>497</v>
      </c>
    </row>
    <row r="1152" spans="1:23" x14ac:dyDescent="0.25">
      <c r="A1152" t="s">
        <v>1608</v>
      </c>
      <c r="B1152" t="str">
        <f t="shared" si="17"/>
        <v>CF2A00000082</v>
      </c>
      <c r="C1152" t="s">
        <v>634</v>
      </c>
      <c r="D1152" t="s">
        <v>85</v>
      </c>
      <c r="E1152" t="s">
        <v>496</v>
      </c>
      <c r="F1152">
        <v>5000</v>
      </c>
      <c r="G1152" s="13">
        <v>46034</v>
      </c>
      <c r="H1152" s="13">
        <v>46036</v>
      </c>
      <c r="I1152">
        <v>500</v>
      </c>
      <c r="J1152">
        <v>5</v>
      </c>
      <c r="K1152">
        <v>505</v>
      </c>
      <c r="N1152">
        <v>22.222222222222221</v>
      </c>
      <c r="O1152">
        <v>92</v>
      </c>
      <c r="P1152">
        <v>10.1</v>
      </c>
      <c r="Q1152">
        <v>92</v>
      </c>
      <c r="R1152">
        <v>92</v>
      </c>
      <c r="S1152">
        <v>92</v>
      </c>
      <c r="T1152">
        <v>10.8</v>
      </c>
      <c r="U1152">
        <v>6.25</v>
      </c>
      <c r="W1152" t="s">
        <v>497</v>
      </c>
    </row>
    <row r="1153" spans="1:23" x14ac:dyDescent="0.25">
      <c r="A1153" t="s">
        <v>1609</v>
      </c>
      <c r="B1153" t="str">
        <f t="shared" si="17"/>
        <v>CF2J00000083</v>
      </c>
      <c r="C1153" t="s">
        <v>634</v>
      </c>
      <c r="D1153" t="s">
        <v>85</v>
      </c>
      <c r="E1153" t="s">
        <v>499</v>
      </c>
      <c r="G1153" s="13">
        <v>46034</v>
      </c>
      <c r="H1153" s="13">
        <v>46036</v>
      </c>
      <c r="J1153">
        <v>0</v>
      </c>
      <c r="N1153">
        <v>0</v>
      </c>
      <c r="T1153" t="s">
        <v>1524</v>
      </c>
      <c r="W1153" t="s">
        <v>681</v>
      </c>
    </row>
    <row r="1154" spans="1:23" x14ac:dyDescent="0.25">
      <c r="A1154" t="s">
        <v>1610</v>
      </c>
      <c r="B1154" t="str">
        <f t="shared" si="17"/>
        <v>CF2J00000174</v>
      </c>
      <c r="C1154" t="s">
        <v>634</v>
      </c>
      <c r="D1154" t="s">
        <v>85</v>
      </c>
      <c r="E1154" t="s">
        <v>499</v>
      </c>
      <c r="F1154">
        <v>12500</v>
      </c>
      <c r="G1154" s="13">
        <v>46034</v>
      </c>
      <c r="H1154" s="13">
        <v>46036</v>
      </c>
      <c r="J1154">
        <v>12000</v>
      </c>
      <c r="K1154">
        <v>12000</v>
      </c>
      <c r="N1154">
        <v>22.222222222222221</v>
      </c>
      <c r="O1154">
        <v>91</v>
      </c>
      <c r="P1154">
        <v>96.070400000000006</v>
      </c>
      <c r="Q1154">
        <v>91</v>
      </c>
      <c r="R1154">
        <v>91</v>
      </c>
      <c r="S1154">
        <v>91</v>
      </c>
      <c r="T1154">
        <v>10.050000000000001</v>
      </c>
      <c r="U1154">
        <v>6.5</v>
      </c>
      <c r="W1154" t="s">
        <v>497</v>
      </c>
    </row>
    <row r="1155" spans="1:23" x14ac:dyDescent="0.25">
      <c r="A1155" t="s">
        <v>1611</v>
      </c>
      <c r="B1155" t="str">
        <f t="shared" si="17"/>
        <v>CG2J00000578</v>
      </c>
      <c r="C1155" t="s">
        <v>229</v>
      </c>
      <c r="D1155" t="s">
        <v>85</v>
      </c>
      <c r="E1155" t="s">
        <v>499</v>
      </c>
      <c r="F1155">
        <v>10000</v>
      </c>
      <c r="G1155" s="13">
        <v>46035</v>
      </c>
      <c r="H1155" s="13">
        <v>46037</v>
      </c>
      <c r="I1155">
        <v>8650</v>
      </c>
      <c r="J1155">
        <v>1350</v>
      </c>
      <c r="K1155">
        <v>10000</v>
      </c>
      <c r="N1155">
        <v>37.5</v>
      </c>
      <c r="O1155">
        <v>94.167900000000003</v>
      </c>
      <c r="P1155">
        <v>140.9727</v>
      </c>
      <c r="Q1155">
        <v>90</v>
      </c>
      <c r="R1155">
        <v>93</v>
      </c>
      <c r="S1155">
        <v>90</v>
      </c>
      <c r="T1155">
        <v>12.9</v>
      </c>
      <c r="U1155">
        <v>6.5</v>
      </c>
      <c r="W1155" t="s">
        <v>497</v>
      </c>
    </row>
    <row r="1156" spans="1:23" x14ac:dyDescent="0.25">
      <c r="A1156" t="s">
        <v>1612</v>
      </c>
      <c r="B1156" t="str">
        <f t="shared" si="17"/>
        <v>CG2J00000578</v>
      </c>
      <c r="C1156" t="s">
        <v>229</v>
      </c>
      <c r="D1156" t="s">
        <v>85</v>
      </c>
      <c r="E1156" t="s">
        <v>499</v>
      </c>
      <c r="F1156">
        <v>5000</v>
      </c>
      <c r="G1156" s="13">
        <v>46035</v>
      </c>
      <c r="H1156" s="13">
        <v>46037</v>
      </c>
      <c r="J1156">
        <v>4336.2700000000004</v>
      </c>
      <c r="K1156">
        <v>4336.2700000000004</v>
      </c>
      <c r="N1156">
        <v>4.1666666666666661</v>
      </c>
      <c r="O1156">
        <v>94.167900000000003</v>
      </c>
      <c r="P1156">
        <v>86.725399999999993</v>
      </c>
      <c r="Q1156">
        <v>94.167900000000003</v>
      </c>
      <c r="R1156">
        <v>94.167900000000003</v>
      </c>
      <c r="S1156">
        <v>94.167900000000003</v>
      </c>
      <c r="T1156">
        <v>12.9</v>
      </c>
      <c r="U1156">
        <v>6.5</v>
      </c>
      <c r="W1156" t="s">
        <v>1547</v>
      </c>
    </row>
    <row r="1157" spans="1:23" x14ac:dyDescent="0.25">
      <c r="A1157" t="s">
        <v>1613</v>
      </c>
      <c r="B1157" t="str">
        <f t="shared" ref="B1157:B1220" si="18">MID(A1157,1,12)</f>
        <v>GA2A00000399</v>
      </c>
      <c r="C1157" t="s">
        <v>227</v>
      </c>
      <c r="D1157" t="s">
        <v>85</v>
      </c>
      <c r="E1157" t="s">
        <v>496</v>
      </c>
      <c r="G1157" s="13">
        <v>46036</v>
      </c>
      <c r="H1157" s="13">
        <v>46038</v>
      </c>
      <c r="J1157">
        <v>0</v>
      </c>
      <c r="N1157">
        <v>0</v>
      </c>
      <c r="T1157" t="s">
        <v>946</v>
      </c>
      <c r="W1157" t="s">
        <v>497</v>
      </c>
    </row>
    <row r="1158" spans="1:23" x14ac:dyDescent="0.25">
      <c r="A1158" t="s">
        <v>1614</v>
      </c>
      <c r="B1158" t="str">
        <f t="shared" si="18"/>
        <v>GA2K00000215</v>
      </c>
      <c r="C1158" t="s">
        <v>227</v>
      </c>
      <c r="D1158" t="s">
        <v>85</v>
      </c>
      <c r="E1158" t="s">
        <v>516</v>
      </c>
      <c r="G1158" s="13">
        <v>46036</v>
      </c>
      <c r="H1158" s="13">
        <v>46038</v>
      </c>
      <c r="J1158">
        <v>0</v>
      </c>
      <c r="N1158">
        <v>0</v>
      </c>
      <c r="T1158" t="s">
        <v>946</v>
      </c>
      <c r="W1158" t="s">
        <v>497</v>
      </c>
    </row>
    <row r="1159" spans="1:23" x14ac:dyDescent="0.25">
      <c r="A1159" t="s">
        <v>1615</v>
      </c>
      <c r="B1159" t="str">
        <f t="shared" si="18"/>
        <v>TD2A00001063</v>
      </c>
      <c r="C1159" t="s">
        <v>237</v>
      </c>
      <c r="D1159" t="s">
        <v>85</v>
      </c>
      <c r="E1159" t="s">
        <v>496</v>
      </c>
      <c r="F1159">
        <v>15000</v>
      </c>
      <c r="G1159" s="13">
        <v>46036</v>
      </c>
      <c r="H1159" s="13">
        <v>46038</v>
      </c>
      <c r="I1159">
        <v>5235.99</v>
      </c>
      <c r="J1159">
        <v>9764.01</v>
      </c>
      <c r="K1159">
        <v>15000</v>
      </c>
      <c r="N1159">
        <v>58.333333333333336</v>
      </c>
      <c r="O1159">
        <v>90.384799999999998</v>
      </c>
      <c r="P1159">
        <v>101.4268</v>
      </c>
      <c r="Q1159">
        <v>90</v>
      </c>
      <c r="R1159">
        <v>91</v>
      </c>
      <c r="S1159">
        <v>90</v>
      </c>
      <c r="T1159">
        <v>11.52</v>
      </c>
      <c r="U1159">
        <v>6</v>
      </c>
      <c r="W1159" t="s">
        <v>497</v>
      </c>
    </row>
    <row r="1160" spans="1:23" x14ac:dyDescent="0.25">
      <c r="A1160" t="s">
        <v>1616</v>
      </c>
      <c r="B1160" t="str">
        <f t="shared" si="18"/>
        <v>CG2A00000619</v>
      </c>
      <c r="C1160" t="s">
        <v>229</v>
      </c>
      <c r="D1160" t="s">
        <v>85</v>
      </c>
      <c r="E1160" t="s">
        <v>496</v>
      </c>
      <c r="F1160">
        <v>15000</v>
      </c>
      <c r="G1160" s="13">
        <v>46042</v>
      </c>
      <c r="H1160" s="13">
        <v>46044</v>
      </c>
      <c r="I1160">
        <v>2743.56</v>
      </c>
      <c r="J1160">
        <v>12256.44</v>
      </c>
      <c r="K1160">
        <v>15000</v>
      </c>
      <c r="N1160">
        <v>20.833333333333336</v>
      </c>
      <c r="O1160">
        <v>94.840900000000005</v>
      </c>
      <c r="P1160">
        <v>90</v>
      </c>
      <c r="Q1160">
        <v>90</v>
      </c>
      <c r="R1160">
        <v>92</v>
      </c>
      <c r="S1160">
        <v>90</v>
      </c>
      <c r="T1160">
        <v>11.35</v>
      </c>
      <c r="U1160">
        <v>5.75</v>
      </c>
      <c r="W1160" t="s">
        <v>497</v>
      </c>
    </row>
    <row r="1161" spans="1:23" x14ac:dyDescent="0.25">
      <c r="A1161" t="s">
        <v>1617</v>
      </c>
      <c r="B1161" t="str">
        <f t="shared" si="18"/>
        <v>CG2A00000619</v>
      </c>
      <c r="C1161" t="s">
        <v>229</v>
      </c>
      <c r="D1161" t="s">
        <v>85</v>
      </c>
      <c r="E1161" t="s">
        <v>496</v>
      </c>
      <c r="F1161">
        <v>7500</v>
      </c>
      <c r="G1161" s="13">
        <v>46042</v>
      </c>
      <c r="H1161" s="13">
        <v>46044</v>
      </c>
      <c r="I1161">
        <v>7256.44</v>
      </c>
      <c r="J1161">
        <v>0</v>
      </c>
      <c r="K1161">
        <v>7256.44</v>
      </c>
      <c r="N1161">
        <v>4.1666666666666661</v>
      </c>
      <c r="O1161">
        <v>94.840900000000005</v>
      </c>
      <c r="P1161">
        <v>96.752499999999998</v>
      </c>
      <c r="Q1161">
        <v>94.840900000000005</v>
      </c>
      <c r="R1161">
        <v>94.840900000000005</v>
      </c>
      <c r="S1161">
        <v>94.840900000000005</v>
      </c>
      <c r="T1161">
        <v>11.35</v>
      </c>
      <c r="U1161">
        <v>5.75</v>
      </c>
      <c r="W1161" t="s">
        <v>497</v>
      </c>
    </row>
    <row r="1162" spans="1:23" x14ac:dyDescent="0.25">
      <c r="A1162" t="s">
        <v>1618</v>
      </c>
      <c r="B1162" t="str">
        <f t="shared" si="18"/>
        <v>CG2A00000775</v>
      </c>
      <c r="C1162" t="s">
        <v>229</v>
      </c>
      <c r="D1162" t="s">
        <v>85</v>
      </c>
      <c r="E1162" t="s">
        <v>496</v>
      </c>
      <c r="F1162">
        <v>15000</v>
      </c>
      <c r="G1162" s="13">
        <v>46042</v>
      </c>
      <c r="H1162" s="13">
        <v>46044</v>
      </c>
      <c r="I1162">
        <v>10100</v>
      </c>
      <c r="J1162">
        <v>1070</v>
      </c>
      <c r="K1162">
        <v>11170</v>
      </c>
      <c r="N1162">
        <v>16.666666666666664</v>
      </c>
      <c r="O1162">
        <v>90.189800000000005</v>
      </c>
      <c r="P1162">
        <v>74.466700000000003</v>
      </c>
      <c r="Q1162">
        <v>90</v>
      </c>
      <c r="R1162">
        <v>92</v>
      </c>
      <c r="S1162">
        <v>90</v>
      </c>
      <c r="T1162">
        <v>11.1</v>
      </c>
      <c r="U1162">
        <v>5.5</v>
      </c>
      <c r="W1162" t="s">
        <v>497</v>
      </c>
    </row>
    <row r="1163" spans="1:23" x14ac:dyDescent="0.25">
      <c r="A1163" t="s">
        <v>1619</v>
      </c>
      <c r="B1163" t="str">
        <f t="shared" si="18"/>
        <v>GA2B00000182</v>
      </c>
      <c r="C1163" t="s">
        <v>227</v>
      </c>
      <c r="D1163" t="s">
        <v>85</v>
      </c>
      <c r="E1163" t="s">
        <v>507</v>
      </c>
      <c r="F1163">
        <v>7500</v>
      </c>
      <c r="G1163" s="13">
        <v>46043</v>
      </c>
      <c r="H1163" s="13">
        <v>46045</v>
      </c>
      <c r="I1163">
        <v>0</v>
      </c>
      <c r="J1163">
        <v>1848.62</v>
      </c>
      <c r="K1163">
        <v>1848.62</v>
      </c>
      <c r="N1163">
        <v>19.047619047619047</v>
      </c>
      <c r="O1163">
        <v>96.414500000000004</v>
      </c>
      <c r="P1163">
        <v>24.648299999999999</v>
      </c>
      <c r="Q1163">
        <v>90</v>
      </c>
      <c r="R1163">
        <v>92</v>
      </c>
      <c r="S1163">
        <v>90</v>
      </c>
      <c r="T1163">
        <v>7.81</v>
      </c>
      <c r="U1163">
        <v>6.75</v>
      </c>
      <c r="W1163" t="s">
        <v>497</v>
      </c>
    </row>
    <row r="1164" spans="1:23" x14ac:dyDescent="0.25">
      <c r="A1164" t="s">
        <v>1620</v>
      </c>
      <c r="B1164" t="str">
        <f t="shared" si="18"/>
        <v>TD2J00000975</v>
      </c>
      <c r="C1164" t="s">
        <v>237</v>
      </c>
      <c r="D1164" t="s">
        <v>85</v>
      </c>
      <c r="E1164" t="s">
        <v>499</v>
      </c>
      <c r="F1164">
        <v>20000</v>
      </c>
      <c r="G1164" s="13">
        <v>46043</v>
      </c>
      <c r="H1164" s="13">
        <v>46045</v>
      </c>
      <c r="I1164">
        <v>900</v>
      </c>
      <c r="J1164">
        <v>14683.83</v>
      </c>
      <c r="K1164">
        <v>15583.83</v>
      </c>
      <c r="N1164">
        <v>25</v>
      </c>
      <c r="O1164">
        <v>90.0625</v>
      </c>
      <c r="P1164">
        <v>77.9191</v>
      </c>
      <c r="Q1164">
        <v>90</v>
      </c>
      <c r="R1164">
        <v>91</v>
      </c>
      <c r="S1164">
        <v>90</v>
      </c>
      <c r="T1164">
        <v>10.44</v>
      </c>
      <c r="U1164">
        <v>6.5</v>
      </c>
      <c r="W1164" t="s">
        <v>497</v>
      </c>
    </row>
    <row r="1165" spans="1:23" x14ac:dyDescent="0.25">
      <c r="A1165" t="s">
        <v>1621</v>
      </c>
      <c r="B1165" t="str">
        <f t="shared" si="18"/>
        <v>CF2A00000090</v>
      </c>
      <c r="C1165" t="s">
        <v>634</v>
      </c>
      <c r="D1165" t="s">
        <v>85</v>
      </c>
      <c r="E1165" t="s">
        <v>496</v>
      </c>
      <c r="F1165">
        <v>7500</v>
      </c>
      <c r="G1165" s="13">
        <v>46048</v>
      </c>
      <c r="H1165" s="13">
        <v>46050</v>
      </c>
      <c r="I1165">
        <v>0</v>
      </c>
      <c r="J1165">
        <v>7500</v>
      </c>
      <c r="K1165">
        <v>7500</v>
      </c>
      <c r="N1165">
        <v>44.444444444444443</v>
      </c>
      <c r="O1165">
        <v>91.763000000000005</v>
      </c>
      <c r="P1165">
        <v>120.4451</v>
      </c>
      <c r="Q1165">
        <v>91</v>
      </c>
      <c r="R1165">
        <v>92</v>
      </c>
      <c r="S1165">
        <v>90.5</v>
      </c>
      <c r="T1165">
        <v>10.95</v>
      </c>
      <c r="U1165">
        <v>6.25</v>
      </c>
      <c r="W1165" t="s">
        <v>497</v>
      </c>
    </row>
    <row r="1166" spans="1:23" x14ac:dyDescent="0.25">
      <c r="A1166" t="s">
        <v>1622</v>
      </c>
      <c r="B1166" t="str">
        <f t="shared" si="18"/>
        <v>CF2A00000090</v>
      </c>
      <c r="C1166" t="s">
        <v>634</v>
      </c>
      <c r="D1166" t="s">
        <v>85</v>
      </c>
      <c r="E1166" t="s">
        <v>496</v>
      </c>
      <c r="F1166">
        <v>3750</v>
      </c>
      <c r="G1166" s="13">
        <v>46048</v>
      </c>
      <c r="H1166" s="13">
        <v>46050</v>
      </c>
      <c r="I1166">
        <v>0</v>
      </c>
      <c r="J1166">
        <v>1830.14</v>
      </c>
      <c r="K1166">
        <v>1830.14</v>
      </c>
      <c r="N1166">
        <v>22.222222222222221</v>
      </c>
      <c r="O1166">
        <v>91.763000000000005</v>
      </c>
      <c r="P1166">
        <v>48.803699999999999</v>
      </c>
      <c r="Q1166">
        <v>91.763000000000005</v>
      </c>
      <c r="R1166">
        <v>91.763000000000005</v>
      </c>
      <c r="S1166">
        <v>91.763000000000005</v>
      </c>
      <c r="T1166">
        <v>10.95</v>
      </c>
      <c r="U1166">
        <v>6.25</v>
      </c>
      <c r="W1166" t="s">
        <v>1547</v>
      </c>
    </row>
    <row r="1167" spans="1:23" x14ac:dyDescent="0.25">
      <c r="A1167" t="s">
        <v>1623</v>
      </c>
      <c r="B1167" t="str">
        <f t="shared" si="18"/>
        <v>CF2K00000112</v>
      </c>
      <c r="C1167" t="s">
        <v>634</v>
      </c>
      <c r="D1167" t="s">
        <v>85</v>
      </c>
      <c r="E1167" t="s">
        <v>516</v>
      </c>
      <c r="F1167">
        <v>5000</v>
      </c>
      <c r="G1167" s="13">
        <v>46048</v>
      </c>
      <c r="H1167" s="13">
        <v>46050</v>
      </c>
      <c r="I1167">
        <v>0</v>
      </c>
      <c r="J1167">
        <v>268.2</v>
      </c>
      <c r="K1167">
        <v>268.2</v>
      </c>
      <c r="N1167">
        <v>11.111111111111111</v>
      </c>
      <c r="O1167">
        <v>90.018600000000006</v>
      </c>
      <c r="P1167">
        <v>5.3639999999999999</v>
      </c>
      <c r="Q1167">
        <v>90</v>
      </c>
      <c r="R1167">
        <v>91</v>
      </c>
      <c r="S1167">
        <v>90</v>
      </c>
      <c r="T1167">
        <v>9.83</v>
      </c>
      <c r="U1167">
        <v>6.75</v>
      </c>
      <c r="W1167" t="s">
        <v>497</v>
      </c>
    </row>
    <row r="1168" spans="1:23" x14ac:dyDescent="0.25">
      <c r="A1168" t="s">
        <v>1624</v>
      </c>
      <c r="B1168" t="str">
        <f t="shared" si="18"/>
        <v>CG2A00000783</v>
      </c>
      <c r="C1168" t="s">
        <v>229</v>
      </c>
      <c r="D1168" t="s">
        <v>85</v>
      </c>
      <c r="E1168" t="s">
        <v>496</v>
      </c>
      <c r="F1168">
        <v>5000</v>
      </c>
      <c r="G1168" s="13">
        <v>46049</v>
      </c>
      <c r="H1168" s="13">
        <v>46051</v>
      </c>
      <c r="I1168">
        <v>4435.17</v>
      </c>
      <c r="J1168">
        <v>564.82999999999993</v>
      </c>
      <c r="K1168">
        <v>5000</v>
      </c>
      <c r="N1168">
        <v>12.5</v>
      </c>
      <c r="O1168">
        <v>91.001999999999995</v>
      </c>
      <c r="P1168">
        <v>113.2038</v>
      </c>
      <c r="Q1168">
        <v>91</v>
      </c>
      <c r="R1168">
        <v>92</v>
      </c>
      <c r="S1168">
        <v>90</v>
      </c>
      <c r="T1168">
        <v>10.61</v>
      </c>
      <c r="U1168">
        <v>5.5</v>
      </c>
      <c r="W1168" t="s">
        <v>497</v>
      </c>
    </row>
    <row r="1169" spans="1:23" x14ac:dyDescent="0.25">
      <c r="A1169" t="s">
        <v>1625</v>
      </c>
      <c r="B1169" t="str">
        <f t="shared" si="18"/>
        <v>GA2K00000124</v>
      </c>
      <c r="C1169" t="s">
        <v>227</v>
      </c>
      <c r="D1169" t="s">
        <v>85</v>
      </c>
      <c r="E1169" t="s">
        <v>516</v>
      </c>
      <c r="F1169">
        <v>10000</v>
      </c>
      <c r="G1169" s="13">
        <v>46050</v>
      </c>
      <c r="H1169" s="13">
        <v>46052</v>
      </c>
      <c r="J1169">
        <v>1824.45</v>
      </c>
      <c r="K1169">
        <v>1824.45</v>
      </c>
      <c r="N1169">
        <v>23.809523809523807</v>
      </c>
      <c r="O1169">
        <v>96.839100000000002</v>
      </c>
      <c r="P1169">
        <v>18.244499999999999</v>
      </c>
      <c r="Q1169">
        <v>90</v>
      </c>
      <c r="R1169">
        <v>95</v>
      </c>
      <c r="S1169">
        <v>90</v>
      </c>
      <c r="T1169">
        <v>7.7</v>
      </c>
      <c r="U1169">
        <v>6.5</v>
      </c>
      <c r="W1169" t="s">
        <v>497</v>
      </c>
    </row>
    <row r="1170" spans="1:23" x14ac:dyDescent="0.25">
      <c r="A1170" t="s">
        <v>1626</v>
      </c>
      <c r="B1170" t="str">
        <f t="shared" si="18"/>
        <v>GA2K00000199</v>
      </c>
      <c r="C1170" t="s">
        <v>227</v>
      </c>
      <c r="D1170" t="s">
        <v>85</v>
      </c>
      <c r="E1170" t="s">
        <v>516</v>
      </c>
      <c r="G1170" s="13">
        <v>46050</v>
      </c>
      <c r="H1170" s="13">
        <v>46052</v>
      </c>
      <c r="J1170">
        <v>0</v>
      </c>
      <c r="N1170">
        <v>0</v>
      </c>
      <c r="T1170" t="s">
        <v>946</v>
      </c>
      <c r="W1170" t="s">
        <v>497</v>
      </c>
    </row>
    <row r="1171" spans="1:23" x14ac:dyDescent="0.25">
      <c r="A1171" t="s">
        <v>1627</v>
      </c>
      <c r="B1171" t="str">
        <f t="shared" si="18"/>
        <v>GA2A00000407</v>
      </c>
      <c r="C1171" t="s">
        <v>227</v>
      </c>
      <c r="D1171" t="s">
        <v>85</v>
      </c>
      <c r="E1171" t="s">
        <v>496</v>
      </c>
      <c r="F1171">
        <v>10000</v>
      </c>
      <c r="G1171" s="13">
        <v>46057</v>
      </c>
      <c r="H1171" s="13">
        <v>46059</v>
      </c>
      <c r="I1171">
        <v>0</v>
      </c>
      <c r="J1171">
        <v>4434.93</v>
      </c>
      <c r="K1171">
        <v>4434.93</v>
      </c>
      <c r="N1171">
        <v>9.5238095238095237</v>
      </c>
      <c r="O1171">
        <v>93</v>
      </c>
      <c r="P1171">
        <v>44.349299999999999</v>
      </c>
      <c r="Q1171">
        <v>93</v>
      </c>
      <c r="R1171">
        <v>93</v>
      </c>
      <c r="S1171">
        <v>93</v>
      </c>
      <c r="T1171">
        <v>9.42</v>
      </c>
      <c r="U1171">
        <v>5.5</v>
      </c>
      <c r="W1171" t="s">
        <v>497</v>
      </c>
    </row>
    <row r="1172" spans="1:23" x14ac:dyDescent="0.25">
      <c r="A1172" t="s">
        <v>1628</v>
      </c>
      <c r="B1172" t="str">
        <f t="shared" si="18"/>
        <v>GA2J00000564</v>
      </c>
      <c r="C1172" t="s">
        <v>227</v>
      </c>
      <c r="D1172" t="s">
        <v>85</v>
      </c>
      <c r="E1172" t="s">
        <v>499</v>
      </c>
      <c r="F1172">
        <v>10000</v>
      </c>
      <c r="G1172" s="13">
        <v>46057</v>
      </c>
      <c r="H1172" s="13">
        <v>46059</v>
      </c>
      <c r="I1172">
        <v>9307.02</v>
      </c>
      <c r="J1172">
        <v>692.97999999999956</v>
      </c>
      <c r="K1172">
        <v>10000</v>
      </c>
      <c r="N1172">
        <v>14.285714285714285</v>
      </c>
      <c r="O1172">
        <v>92.001499999999993</v>
      </c>
      <c r="P1172">
        <v>109.7808</v>
      </c>
      <c r="Q1172">
        <v>92</v>
      </c>
      <c r="R1172">
        <v>93</v>
      </c>
      <c r="S1172">
        <v>90</v>
      </c>
      <c r="T1172">
        <v>9.11</v>
      </c>
      <c r="U1172">
        <v>6</v>
      </c>
      <c r="W1172" t="s">
        <v>875</v>
      </c>
    </row>
    <row r="1173" spans="1:23" x14ac:dyDescent="0.25">
      <c r="A1173" t="s">
        <v>1629</v>
      </c>
      <c r="B1173" t="str">
        <f t="shared" si="18"/>
        <v>CF2A00000082</v>
      </c>
      <c r="C1173" t="s">
        <v>634</v>
      </c>
      <c r="D1173" t="s">
        <v>85</v>
      </c>
      <c r="E1173" t="s">
        <v>496</v>
      </c>
      <c r="F1173">
        <v>2500</v>
      </c>
      <c r="G1173" s="13">
        <v>46062</v>
      </c>
      <c r="H1173" s="13">
        <v>46064</v>
      </c>
      <c r="I1173">
        <v>0</v>
      </c>
      <c r="J1173">
        <v>2500</v>
      </c>
      <c r="K1173">
        <v>2500</v>
      </c>
      <c r="N1173">
        <v>33.333333333333329</v>
      </c>
      <c r="O1173">
        <v>91.995199999999997</v>
      </c>
      <c r="P1173">
        <v>103.64239999999999</v>
      </c>
      <c r="Q1173">
        <v>91</v>
      </c>
      <c r="R1173">
        <v>93</v>
      </c>
      <c r="S1173">
        <v>90.5</v>
      </c>
      <c r="T1173">
        <v>10.81</v>
      </c>
      <c r="U1173">
        <v>6.25</v>
      </c>
      <c r="W1173" t="s">
        <v>497</v>
      </c>
    </row>
    <row r="1174" spans="1:23" x14ac:dyDescent="0.25">
      <c r="A1174" t="s">
        <v>1630</v>
      </c>
      <c r="B1174" t="str">
        <f t="shared" si="18"/>
        <v>CG2A00000676</v>
      </c>
      <c r="C1174" t="s">
        <v>229</v>
      </c>
      <c r="D1174" t="s">
        <v>85</v>
      </c>
      <c r="E1174" t="s">
        <v>496</v>
      </c>
      <c r="F1174">
        <v>20000</v>
      </c>
      <c r="G1174" s="13">
        <v>46063</v>
      </c>
      <c r="H1174" s="13">
        <v>46065</v>
      </c>
      <c r="I1174">
        <v>850</v>
      </c>
      <c r="J1174">
        <v>1227.9899999999998</v>
      </c>
      <c r="K1174">
        <v>2077.9899999999998</v>
      </c>
      <c r="N1174">
        <v>25</v>
      </c>
      <c r="O1174">
        <v>93.801599999999993</v>
      </c>
      <c r="P1174">
        <v>10.389900000000001</v>
      </c>
      <c r="Q1174">
        <v>90</v>
      </c>
      <c r="R1174">
        <v>92</v>
      </c>
      <c r="S1174">
        <v>90</v>
      </c>
      <c r="T1174">
        <v>12.28</v>
      </c>
      <c r="U1174">
        <v>5.5</v>
      </c>
      <c r="W1174" t="s">
        <v>497</v>
      </c>
    </row>
    <row r="1175" spans="1:23" x14ac:dyDescent="0.25">
      <c r="A1175" t="s">
        <v>1631</v>
      </c>
      <c r="B1175" t="str">
        <f t="shared" si="18"/>
        <v>CG2A00000791</v>
      </c>
      <c r="C1175" t="s">
        <v>229</v>
      </c>
      <c r="D1175" t="s">
        <v>85</v>
      </c>
      <c r="E1175" t="s">
        <v>496</v>
      </c>
      <c r="F1175">
        <v>10000</v>
      </c>
      <c r="G1175" s="13">
        <v>46063</v>
      </c>
      <c r="H1175" s="13">
        <v>46065</v>
      </c>
      <c r="I1175">
        <v>410</v>
      </c>
      <c r="J1175">
        <v>168.62</v>
      </c>
      <c r="K1175">
        <v>578.62</v>
      </c>
      <c r="N1175">
        <v>16.666666666666664</v>
      </c>
      <c r="O1175">
        <v>90.674400000000006</v>
      </c>
      <c r="P1175">
        <v>5.7862</v>
      </c>
      <c r="Q1175">
        <v>90</v>
      </c>
      <c r="R1175">
        <v>92</v>
      </c>
      <c r="S1175">
        <v>90</v>
      </c>
      <c r="T1175">
        <v>10.81</v>
      </c>
      <c r="U1175">
        <v>5.5</v>
      </c>
      <c r="W1175" t="s">
        <v>497</v>
      </c>
    </row>
    <row r="1176" spans="1:23" x14ac:dyDescent="0.25">
      <c r="A1176" t="s">
        <v>1632</v>
      </c>
      <c r="B1176" t="str">
        <f t="shared" si="18"/>
        <v>TD2J00000983</v>
      </c>
      <c r="C1176" t="s">
        <v>237</v>
      </c>
      <c r="D1176" t="s">
        <v>85</v>
      </c>
      <c r="E1176" t="s">
        <v>499</v>
      </c>
      <c r="F1176">
        <v>15000</v>
      </c>
      <c r="G1176" s="13">
        <v>46064</v>
      </c>
      <c r="H1176" s="13">
        <v>46066</v>
      </c>
      <c r="I1176">
        <v>2778.28</v>
      </c>
      <c r="J1176">
        <v>12221.72</v>
      </c>
      <c r="K1176">
        <v>15000</v>
      </c>
      <c r="N1176">
        <v>41.666666666666671</v>
      </c>
      <c r="O1176">
        <v>90.027299999999997</v>
      </c>
      <c r="P1176">
        <v>114.4679</v>
      </c>
      <c r="Q1176">
        <v>90</v>
      </c>
      <c r="R1176">
        <v>92.65</v>
      </c>
      <c r="S1176">
        <v>89</v>
      </c>
      <c r="T1176">
        <v>10.46</v>
      </c>
      <c r="U1176">
        <v>6.5</v>
      </c>
      <c r="W1176" t="s">
        <v>497</v>
      </c>
    </row>
    <row r="1177" spans="1:23" x14ac:dyDescent="0.25">
      <c r="A1177" t="s">
        <v>1633</v>
      </c>
      <c r="B1177" t="str">
        <f t="shared" si="18"/>
        <v>GA2B00000216</v>
      </c>
      <c r="C1177" t="s">
        <v>227</v>
      </c>
      <c r="D1177" t="s">
        <v>85</v>
      </c>
      <c r="E1177" t="s">
        <v>507</v>
      </c>
      <c r="F1177">
        <v>5000</v>
      </c>
      <c r="G1177" s="13">
        <v>46064</v>
      </c>
      <c r="H1177" s="13">
        <v>46066</v>
      </c>
      <c r="J1177">
        <v>0</v>
      </c>
      <c r="N1177">
        <v>0</v>
      </c>
      <c r="T1177" t="s">
        <v>946</v>
      </c>
      <c r="W1177" t="s">
        <v>497</v>
      </c>
    </row>
    <row r="1178" spans="1:23" x14ac:dyDescent="0.25">
      <c r="A1178" t="s">
        <v>1504</v>
      </c>
      <c r="B1178" t="str">
        <f t="shared" si="18"/>
        <v>GA2K00000256</v>
      </c>
      <c r="C1178" t="s">
        <v>227</v>
      </c>
      <c r="D1178" t="s">
        <v>85</v>
      </c>
      <c r="E1178" t="s">
        <v>516</v>
      </c>
      <c r="F1178">
        <v>8000</v>
      </c>
      <c r="G1178" s="13">
        <v>46064</v>
      </c>
      <c r="H1178" s="13">
        <v>46066</v>
      </c>
      <c r="J1178">
        <v>0</v>
      </c>
      <c r="N1178">
        <v>0</v>
      </c>
      <c r="T1178" t="s">
        <v>946</v>
      </c>
      <c r="W1178" t="s">
        <v>497</v>
      </c>
    </row>
    <row r="1179" spans="1:23" x14ac:dyDescent="0.25">
      <c r="A1179" t="s">
        <v>1634</v>
      </c>
      <c r="B1179" t="str">
        <f t="shared" si="18"/>
        <v>CF2J00000182</v>
      </c>
      <c r="C1179" t="s">
        <v>634</v>
      </c>
      <c r="D1179" t="s">
        <v>85</v>
      </c>
      <c r="E1179" t="s">
        <v>499</v>
      </c>
      <c r="F1179">
        <v>10000</v>
      </c>
      <c r="G1179" s="13">
        <v>46069</v>
      </c>
      <c r="H1179" s="13">
        <v>46071</v>
      </c>
      <c r="I1179">
        <v>1300</v>
      </c>
      <c r="J1179">
        <v>6714.96</v>
      </c>
      <c r="K1179">
        <v>8014.96</v>
      </c>
      <c r="N1179">
        <v>55.555555555555557</v>
      </c>
      <c r="O1179">
        <v>90.980699999999999</v>
      </c>
      <c r="P1179">
        <v>80.149600000000007</v>
      </c>
      <c r="Q1179">
        <v>90</v>
      </c>
      <c r="R1179">
        <v>91</v>
      </c>
      <c r="S1179">
        <v>90</v>
      </c>
      <c r="T1179">
        <v>10.06</v>
      </c>
      <c r="U1179">
        <v>6.5</v>
      </c>
      <c r="W1179" t="s">
        <v>497</v>
      </c>
    </row>
    <row r="1180" spans="1:23" x14ac:dyDescent="0.25">
      <c r="A1180" t="s">
        <v>1635</v>
      </c>
      <c r="B1180" t="str">
        <f t="shared" si="18"/>
        <v>CF2K00000130</v>
      </c>
      <c r="C1180" t="s">
        <v>634</v>
      </c>
      <c r="D1180" t="s">
        <v>85</v>
      </c>
      <c r="E1180" t="s">
        <v>516</v>
      </c>
      <c r="F1180">
        <v>5000</v>
      </c>
      <c r="G1180" s="13">
        <v>46069</v>
      </c>
      <c r="H1180" s="13">
        <v>46071</v>
      </c>
      <c r="I1180">
        <v>0</v>
      </c>
      <c r="J1180">
        <v>30</v>
      </c>
      <c r="K1180">
        <v>30</v>
      </c>
      <c r="N1180">
        <v>11.111111111111111</v>
      </c>
      <c r="O1180">
        <v>90</v>
      </c>
      <c r="P1180">
        <v>0.6</v>
      </c>
      <c r="Q1180">
        <v>90</v>
      </c>
      <c r="R1180">
        <v>90</v>
      </c>
      <c r="S1180">
        <v>90</v>
      </c>
      <c r="T1180">
        <v>9.83</v>
      </c>
      <c r="U1180">
        <v>6.75</v>
      </c>
      <c r="W1180" t="s">
        <v>497</v>
      </c>
    </row>
    <row r="1181" spans="1:23" x14ac:dyDescent="0.25">
      <c r="A1181" t="s">
        <v>1636</v>
      </c>
      <c r="B1181" t="str">
        <f t="shared" si="18"/>
        <v>CM2B00000202</v>
      </c>
      <c r="C1181" t="s">
        <v>225</v>
      </c>
      <c r="D1181" t="s">
        <v>85</v>
      </c>
      <c r="E1181" t="s">
        <v>507</v>
      </c>
      <c r="F1181">
        <v>15000</v>
      </c>
      <c r="G1181" s="13">
        <v>46069</v>
      </c>
      <c r="H1181" s="13">
        <v>46071</v>
      </c>
      <c r="I1181">
        <v>10000</v>
      </c>
      <c r="J1181">
        <v>0</v>
      </c>
      <c r="K1181">
        <v>10000</v>
      </c>
      <c r="N1181">
        <v>9.0909090909090917</v>
      </c>
      <c r="O1181">
        <v>95</v>
      </c>
      <c r="P1181">
        <v>66.966700000000003</v>
      </c>
      <c r="Q1181">
        <v>95</v>
      </c>
      <c r="R1181">
        <v>95</v>
      </c>
      <c r="S1181">
        <v>87</v>
      </c>
      <c r="T1181">
        <v>7.98</v>
      </c>
      <c r="U1181">
        <v>6.75</v>
      </c>
      <c r="W1181" t="s">
        <v>497</v>
      </c>
    </row>
    <row r="1182" spans="1:23" x14ac:dyDescent="0.25">
      <c r="A1182" t="s">
        <v>1637</v>
      </c>
      <c r="B1182" t="str">
        <f t="shared" si="18"/>
        <v>CG2A00000692</v>
      </c>
      <c r="C1182" t="s">
        <v>229</v>
      </c>
      <c r="D1182" t="s">
        <v>85</v>
      </c>
      <c r="E1182" t="s">
        <v>496</v>
      </c>
      <c r="F1182">
        <v>10000</v>
      </c>
      <c r="G1182" s="13">
        <v>46070</v>
      </c>
      <c r="H1182" s="13">
        <v>46072</v>
      </c>
      <c r="I1182">
        <v>300</v>
      </c>
      <c r="J1182">
        <v>7651.78</v>
      </c>
      <c r="K1182">
        <v>7951.78</v>
      </c>
      <c r="N1182">
        <v>33.333333333333329</v>
      </c>
      <c r="O1182">
        <v>93.857299999999995</v>
      </c>
      <c r="P1182">
        <v>79.517799999999994</v>
      </c>
      <c r="Q1182">
        <v>90</v>
      </c>
      <c r="R1182">
        <v>93</v>
      </c>
      <c r="S1182">
        <v>90</v>
      </c>
      <c r="T1182">
        <v>12.63</v>
      </c>
      <c r="U1182">
        <v>5.9</v>
      </c>
      <c r="W1182" t="s">
        <v>497</v>
      </c>
    </row>
    <row r="1183" spans="1:23" x14ac:dyDescent="0.25">
      <c r="A1183" t="s">
        <v>1638</v>
      </c>
      <c r="B1183" t="str">
        <f t="shared" si="18"/>
        <v>CG2A00000809</v>
      </c>
      <c r="C1183" t="s">
        <v>229</v>
      </c>
      <c r="D1183" t="s">
        <v>85</v>
      </c>
      <c r="E1183" t="s">
        <v>496</v>
      </c>
      <c r="F1183">
        <v>5000</v>
      </c>
      <c r="G1183" s="13">
        <v>46070</v>
      </c>
      <c r="H1183" s="13">
        <v>46072</v>
      </c>
      <c r="I1183">
        <v>3117.35</v>
      </c>
      <c r="J1183">
        <v>368.49000000000024</v>
      </c>
      <c r="K1183">
        <v>3485.84</v>
      </c>
      <c r="N1183">
        <v>25</v>
      </c>
      <c r="O1183">
        <v>90.044700000000006</v>
      </c>
      <c r="P1183">
        <v>69.716800000000006</v>
      </c>
      <c r="Q1183">
        <v>90</v>
      </c>
      <c r="R1183">
        <v>92</v>
      </c>
      <c r="S1183">
        <v>90</v>
      </c>
      <c r="T1183">
        <v>11.62</v>
      </c>
      <c r="U1183">
        <v>5.9</v>
      </c>
      <c r="W1183" t="s">
        <v>497</v>
      </c>
    </row>
    <row r="1184" spans="1:23" x14ac:dyDescent="0.25">
      <c r="A1184" t="s">
        <v>1639</v>
      </c>
      <c r="B1184" t="str">
        <f t="shared" si="18"/>
        <v>CM2L00000010</v>
      </c>
      <c r="C1184" t="s">
        <v>225</v>
      </c>
      <c r="D1184" t="s">
        <v>85</v>
      </c>
      <c r="E1184" t="s">
        <v>547</v>
      </c>
      <c r="F1184">
        <v>20000</v>
      </c>
      <c r="G1184" s="13">
        <v>46076</v>
      </c>
      <c r="H1184" s="13">
        <v>46078</v>
      </c>
      <c r="I1184">
        <v>20000</v>
      </c>
      <c r="J1184">
        <v>0</v>
      </c>
      <c r="K1184">
        <v>20000</v>
      </c>
      <c r="N1184">
        <v>9.0909090909090917</v>
      </c>
      <c r="O1184">
        <v>100.78489999999999</v>
      </c>
      <c r="P1184">
        <v>125</v>
      </c>
      <c r="Q1184">
        <v>98.5</v>
      </c>
      <c r="R1184">
        <v>98.5</v>
      </c>
      <c r="S1184">
        <v>97</v>
      </c>
      <c r="T1184">
        <v>5.18</v>
      </c>
      <c r="U1184">
        <v>6</v>
      </c>
      <c r="W1184" t="s">
        <v>497</v>
      </c>
    </row>
    <row r="1185" spans="1:23" x14ac:dyDescent="0.25">
      <c r="A1185" t="s">
        <v>1640</v>
      </c>
      <c r="B1185" t="str">
        <f t="shared" si="18"/>
        <v>CG2A00000700</v>
      </c>
      <c r="C1185" t="s">
        <v>229</v>
      </c>
      <c r="D1185" t="s">
        <v>85</v>
      </c>
      <c r="E1185" t="s">
        <v>496</v>
      </c>
      <c r="F1185">
        <v>5000</v>
      </c>
      <c r="G1185" s="13">
        <v>46077</v>
      </c>
      <c r="H1185" s="13">
        <v>46079</v>
      </c>
      <c r="I1185">
        <v>2390</v>
      </c>
      <c r="J1185">
        <v>2610</v>
      </c>
      <c r="K1185">
        <v>5000</v>
      </c>
      <c r="N1185">
        <v>20.833333333333336</v>
      </c>
      <c r="O1185">
        <v>92.887299999999996</v>
      </c>
      <c r="P1185">
        <v>153.446</v>
      </c>
      <c r="Q1185">
        <v>90</v>
      </c>
      <c r="R1185">
        <v>94</v>
      </c>
      <c r="S1185">
        <v>90</v>
      </c>
      <c r="T1185">
        <v>9.91</v>
      </c>
      <c r="U1185">
        <v>5.9</v>
      </c>
      <c r="W1185" t="s">
        <v>497</v>
      </c>
    </row>
    <row r="1186" spans="1:23" x14ac:dyDescent="0.25">
      <c r="A1186" t="s">
        <v>1641</v>
      </c>
      <c r="B1186" t="str">
        <f t="shared" si="18"/>
        <v>CG2A00000700</v>
      </c>
      <c r="C1186" t="s">
        <v>229</v>
      </c>
      <c r="D1186" t="s">
        <v>85</v>
      </c>
      <c r="E1186" t="s">
        <v>496</v>
      </c>
      <c r="F1186">
        <v>2500</v>
      </c>
      <c r="G1186" s="13">
        <v>46077</v>
      </c>
      <c r="H1186" s="13">
        <v>46079</v>
      </c>
      <c r="I1186">
        <v>0</v>
      </c>
      <c r="J1186">
        <v>2500</v>
      </c>
      <c r="K1186">
        <v>2500</v>
      </c>
      <c r="N1186">
        <v>4.1666666666666661</v>
      </c>
      <c r="O1186">
        <v>92.887299999999996</v>
      </c>
      <c r="P1186">
        <v>102.7748</v>
      </c>
      <c r="Q1186">
        <v>92.887299999999996</v>
      </c>
      <c r="R1186">
        <v>92.887299999999996</v>
      </c>
      <c r="S1186">
        <v>92.887299999999996</v>
      </c>
      <c r="T1186">
        <v>9.91</v>
      </c>
      <c r="U1186">
        <v>5.9</v>
      </c>
      <c r="W1186" t="s">
        <v>1547</v>
      </c>
    </row>
    <row r="1187" spans="1:23" x14ac:dyDescent="0.25">
      <c r="A1187" t="s">
        <v>1642</v>
      </c>
      <c r="B1187" t="str">
        <f t="shared" si="18"/>
        <v>GA2A00000209</v>
      </c>
      <c r="C1187" t="s">
        <v>227</v>
      </c>
      <c r="D1187" t="s">
        <v>85</v>
      </c>
      <c r="E1187" t="s">
        <v>496</v>
      </c>
      <c r="F1187">
        <v>12500</v>
      </c>
      <c r="G1187" s="13">
        <v>46078</v>
      </c>
      <c r="H1187" s="13">
        <v>46080</v>
      </c>
      <c r="I1187">
        <v>10000</v>
      </c>
      <c r="J1187">
        <v>0</v>
      </c>
      <c r="K1187">
        <v>10000</v>
      </c>
      <c r="N1187">
        <v>4.7619047619047619</v>
      </c>
      <c r="O1187">
        <v>97.657499999999999</v>
      </c>
      <c r="P1187">
        <v>80</v>
      </c>
      <c r="Q1187">
        <v>97</v>
      </c>
      <c r="R1187">
        <v>97</v>
      </c>
      <c r="S1187">
        <v>97</v>
      </c>
      <c r="T1187">
        <v>7.48</v>
      </c>
      <c r="U1187">
        <v>5</v>
      </c>
      <c r="W1187" t="s">
        <v>497</v>
      </c>
    </row>
    <row r="1188" spans="1:23" x14ac:dyDescent="0.25">
      <c r="A1188" t="s">
        <v>1643</v>
      </c>
      <c r="B1188" t="str">
        <f t="shared" si="18"/>
        <v>GA2B00000109</v>
      </c>
      <c r="C1188" t="s">
        <v>227</v>
      </c>
      <c r="D1188" t="s">
        <v>85</v>
      </c>
      <c r="E1188" t="s">
        <v>507</v>
      </c>
      <c r="G1188" s="13">
        <v>46078</v>
      </c>
      <c r="H1188" s="13">
        <v>46080</v>
      </c>
      <c r="J1188">
        <v>0</v>
      </c>
      <c r="N1188">
        <v>0</v>
      </c>
      <c r="T1188" t="s">
        <v>946</v>
      </c>
      <c r="W1188" t="s">
        <v>497</v>
      </c>
    </row>
    <row r="1189" spans="1:23" x14ac:dyDescent="0.25">
      <c r="A1189" t="s">
        <v>1644</v>
      </c>
      <c r="B1189" t="str">
        <f t="shared" si="18"/>
        <v>GA2B00000208</v>
      </c>
      <c r="C1189" t="s">
        <v>227</v>
      </c>
      <c r="D1189" t="s">
        <v>85</v>
      </c>
      <c r="E1189" t="s">
        <v>507</v>
      </c>
      <c r="G1189" s="13">
        <v>46078</v>
      </c>
      <c r="H1189" s="13">
        <v>46080</v>
      </c>
      <c r="J1189">
        <v>0</v>
      </c>
      <c r="N1189">
        <v>0</v>
      </c>
      <c r="T1189" t="s">
        <v>946</v>
      </c>
      <c r="W1189" t="s">
        <v>497</v>
      </c>
    </row>
    <row r="1190" spans="1:23" x14ac:dyDescent="0.25">
      <c r="A1190" t="s">
        <v>1645</v>
      </c>
      <c r="B1190" t="str">
        <f t="shared" si="18"/>
        <v>GA2B00000232</v>
      </c>
      <c r="C1190" t="s">
        <v>227</v>
      </c>
      <c r="D1190" t="s">
        <v>85</v>
      </c>
      <c r="E1190" t="s">
        <v>507</v>
      </c>
      <c r="G1190" s="13">
        <v>46078</v>
      </c>
      <c r="H1190" s="13">
        <v>46080</v>
      </c>
      <c r="J1190">
        <v>0</v>
      </c>
      <c r="N1190">
        <v>0</v>
      </c>
      <c r="T1190" t="s">
        <v>946</v>
      </c>
      <c r="W1190" t="s">
        <v>497</v>
      </c>
    </row>
    <row r="1191" spans="1:23" x14ac:dyDescent="0.25">
      <c r="A1191" t="s">
        <v>1646</v>
      </c>
      <c r="B1191" t="str">
        <f t="shared" si="18"/>
        <v>TD2A00001071</v>
      </c>
      <c r="C1191" t="s">
        <v>237</v>
      </c>
      <c r="D1191" t="s">
        <v>85</v>
      </c>
      <c r="E1191" t="s">
        <v>496</v>
      </c>
      <c r="F1191">
        <v>15000</v>
      </c>
      <c r="G1191" s="13">
        <v>46078</v>
      </c>
      <c r="H1191" s="13">
        <v>46080</v>
      </c>
      <c r="I1191">
        <v>2288.5</v>
      </c>
      <c r="J1191">
        <v>12711.5</v>
      </c>
      <c r="K1191">
        <v>15000</v>
      </c>
      <c r="N1191">
        <v>66.666666666666657</v>
      </c>
      <c r="O1191">
        <v>90.683199999999999</v>
      </c>
      <c r="P1191">
        <v>159.10249999999999</v>
      </c>
      <c r="Q1191">
        <v>90</v>
      </c>
      <c r="R1191">
        <v>92</v>
      </c>
      <c r="S1191">
        <v>90</v>
      </c>
      <c r="T1191">
        <v>11.34</v>
      </c>
      <c r="U1191">
        <v>6</v>
      </c>
      <c r="W1191" t="s">
        <v>497</v>
      </c>
    </row>
    <row r="1192" spans="1:23" x14ac:dyDescent="0.25">
      <c r="A1192" t="s">
        <v>1647</v>
      </c>
      <c r="B1192" t="str">
        <f t="shared" si="18"/>
        <v>CM2E00000019</v>
      </c>
      <c r="C1192" t="s">
        <v>225</v>
      </c>
      <c r="D1192" t="s">
        <v>85</v>
      </c>
      <c r="E1192" t="s">
        <v>793</v>
      </c>
      <c r="F1192">
        <v>20000</v>
      </c>
      <c r="G1192" s="13">
        <v>46083</v>
      </c>
      <c r="H1192" s="13">
        <v>46085</v>
      </c>
      <c r="I1192">
        <v>11309.63</v>
      </c>
      <c r="J1192">
        <v>0</v>
      </c>
      <c r="K1192">
        <v>11309.63</v>
      </c>
      <c r="N1192">
        <v>27.27272727272727</v>
      </c>
      <c r="O1192">
        <v>90.995400000000004</v>
      </c>
      <c r="P1192">
        <v>65.930199999999999</v>
      </c>
      <c r="Q1192">
        <v>90.5</v>
      </c>
      <c r="R1192">
        <v>93</v>
      </c>
      <c r="S1192">
        <v>90</v>
      </c>
      <c r="T1192">
        <v>9.9700000000000006</v>
      </c>
      <c r="U1192">
        <v>8.8000000000000007</v>
      </c>
      <c r="W1192" t="s">
        <v>497</v>
      </c>
    </row>
    <row r="1193" spans="1:23" x14ac:dyDescent="0.25">
      <c r="A1193" t="s">
        <v>1648</v>
      </c>
      <c r="B1193" t="str">
        <f t="shared" si="18"/>
        <v>CG2A00000817</v>
      </c>
      <c r="C1193" t="s">
        <v>229</v>
      </c>
      <c r="D1193" t="s">
        <v>85</v>
      </c>
      <c r="E1193" t="s">
        <v>496</v>
      </c>
      <c r="F1193">
        <v>18000</v>
      </c>
      <c r="G1193" s="13">
        <v>46084</v>
      </c>
      <c r="H1193" s="13">
        <v>46086</v>
      </c>
      <c r="I1193">
        <v>12612.59</v>
      </c>
      <c r="J1193">
        <v>500</v>
      </c>
      <c r="K1193">
        <v>13112.59</v>
      </c>
      <c r="N1193">
        <v>12.5</v>
      </c>
      <c r="O1193">
        <v>90.011700000000005</v>
      </c>
      <c r="P1193">
        <v>72.847700000000003</v>
      </c>
      <c r="Q1193">
        <v>90</v>
      </c>
      <c r="R1193">
        <v>90.25</v>
      </c>
      <c r="S1193">
        <v>90</v>
      </c>
      <c r="T1193">
        <v>11.75</v>
      </c>
      <c r="U1193">
        <v>6</v>
      </c>
      <c r="W1193" t="s">
        <v>497</v>
      </c>
    </row>
    <row r="1194" spans="1:23" x14ac:dyDescent="0.25">
      <c r="A1194" t="s">
        <v>1649</v>
      </c>
      <c r="B1194" t="str">
        <f t="shared" si="18"/>
        <v>CG2J00000818</v>
      </c>
      <c r="C1194" t="s">
        <v>229</v>
      </c>
      <c r="D1194" t="s">
        <v>85</v>
      </c>
      <c r="E1194" t="s">
        <v>499</v>
      </c>
      <c r="F1194">
        <v>15000</v>
      </c>
      <c r="G1194" s="13">
        <v>46084</v>
      </c>
      <c r="H1194" s="13">
        <v>46086</v>
      </c>
      <c r="I1194">
        <v>13100</v>
      </c>
      <c r="J1194">
        <v>264.5</v>
      </c>
      <c r="K1194">
        <v>13364.5</v>
      </c>
      <c r="N1194">
        <v>16.666666666666664</v>
      </c>
      <c r="O1194">
        <v>90.003600000000006</v>
      </c>
      <c r="P1194">
        <v>89.096699999999998</v>
      </c>
      <c r="Q1194">
        <v>90</v>
      </c>
      <c r="R1194">
        <v>91</v>
      </c>
      <c r="S1194">
        <v>90</v>
      </c>
      <c r="T1194">
        <v>10.47</v>
      </c>
      <c r="U1194">
        <v>6.5</v>
      </c>
      <c r="W1194" t="s">
        <v>497</v>
      </c>
    </row>
    <row r="1195" spans="1:23" x14ac:dyDescent="0.25">
      <c r="A1195" t="s">
        <v>1650</v>
      </c>
      <c r="B1195" t="str">
        <f t="shared" si="18"/>
        <v>CG2K00000104</v>
      </c>
      <c r="C1195" t="s">
        <v>229</v>
      </c>
      <c r="D1195" t="s">
        <v>85</v>
      </c>
      <c r="E1195" t="s">
        <v>516</v>
      </c>
      <c r="G1195" s="13">
        <v>46084</v>
      </c>
      <c r="H1195" s="13">
        <v>46086</v>
      </c>
      <c r="J1195">
        <v>0</v>
      </c>
      <c r="N1195">
        <v>0</v>
      </c>
      <c r="T1195" t="s">
        <v>946</v>
      </c>
      <c r="W1195" t="s">
        <v>497</v>
      </c>
    </row>
    <row r="1196" spans="1:23" x14ac:dyDescent="0.25">
      <c r="A1196" t="s">
        <v>1651</v>
      </c>
      <c r="B1196" t="str">
        <f t="shared" si="18"/>
        <v>CG2B00000097</v>
      </c>
      <c r="C1196" t="s">
        <v>229</v>
      </c>
      <c r="D1196" t="s">
        <v>85</v>
      </c>
      <c r="E1196" t="s">
        <v>507</v>
      </c>
      <c r="F1196">
        <v>15000</v>
      </c>
      <c r="G1196" s="13">
        <v>46084</v>
      </c>
      <c r="H1196" s="13">
        <v>46086</v>
      </c>
      <c r="I1196">
        <v>3250</v>
      </c>
      <c r="J1196">
        <v>416.61999999999989</v>
      </c>
      <c r="K1196">
        <v>3666.62</v>
      </c>
      <c r="N1196">
        <v>20.833333333333336</v>
      </c>
      <c r="O1196">
        <v>92.224999999999994</v>
      </c>
      <c r="P1196">
        <v>24.444099999999999</v>
      </c>
      <c r="Q1196">
        <v>90</v>
      </c>
      <c r="R1196">
        <v>91</v>
      </c>
      <c r="S1196">
        <v>90</v>
      </c>
      <c r="T1196">
        <v>10.93</v>
      </c>
      <c r="U1196">
        <v>6.5</v>
      </c>
      <c r="W1196" t="s">
        <v>497</v>
      </c>
    </row>
    <row r="1197" spans="1:23" x14ac:dyDescent="0.25">
      <c r="A1197" t="s">
        <v>1652</v>
      </c>
      <c r="B1197" t="str">
        <f t="shared" si="18"/>
        <v>GA2A00000415</v>
      </c>
      <c r="C1197" t="s">
        <v>227</v>
      </c>
      <c r="D1197" t="s">
        <v>85</v>
      </c>
      <c r="E1197" t="s">
        <v>496</v>
      </c>
      <c r="F1197">
        <v>12500</v>
      </c>
      <c r="G1197" s="13">
        <v>46085</v>
      </c>
      <c r="H1197" s="13">
        <v>46087</v>
      </c>
      <c r="I1197">
        <v>390</v>
      </c>
      <c r="J1197">
        <v>12110</v>
      </c>
      <c r="K1197">
        <v>12500</v>
      </c>
      <c r="N1197">
        <v>13.636363636363635</v>
      </c>
      <c r="O1197">
        <v>92.384500000000003</v>
      </c>
      <c r="P1197">
        <v>181.33179999999999</v>
      </c>
      <c r="Q1197">
        <v>91</v>
      </c>
      <c r="R1197">
        <v>93</v>
      </c>
      <c r="S1197">
        <v>91</v>
      </c>
      <c r="T1197">
        <v>9.7899999999999991</v>
      </c>
      <c r="U1197">
        <v>5.5</v>
      </c>
      <c r="W1197" t="s">
        <v>497</v>
      </c>
    </row>
    <row r="1198" spans="1:23" x14ac:dyDescent="0.25">
      <c r="A1198" t="s">
        <v>1653</v>
      </c>
      <c r="B1198" t="str">
        <f t="shared" si="18"/>
        <v>GA2J00000572</v>
      </c>
      <c r="C1198" t="s">
        <v>227</v>
      </c>
      <c r="D1198" t="s">
        <v>85</v>
      </c>
      <c r="E1198" t="s">
        <v>499</v>
      </c>
      <c r="F1198">
        <v>10000</v>
      </c>
      <c r="G1198" s="13">
        <v>46085</v>
      </c>
      <c r="H1198" s="13">
        <v>46087</v>
      </c>
      <c r="I1198">
        <v>3500</v>
      </c>
      <c r="J1198">
        <v>0</v>
      </c>
      <c r="K1198">
        <v>3500</v>
      </c>
      <c r="N1198">
        <v>4.5454545454545459</v>
      </c>
      <c r="O1198">
        <v>98</v>
      </c>
      <c r="P1198">
        <v>35</v>
      </c>
      <c r="Q1198">
        <v>98</v>
      </c>
      <c r="R1198">
        <v>98</v>
      </c>
      <c r="S1198">
        <v>98</v>
      </c>
      <c r="T1198">
        <v>6.75</v>
      </c>
      <c r="U1198">
        <v>6</v>
      </c>
      <c r="W1198" t="s">
        <v>497</v>
      </c>
    </row>
    <row r="1199" spans="1:23" x14ac:dyDescent="0.25">
      <c r="A1199" t="s">
        <v>1654</v>
      </c>
      <c r="B1199" t="str">
        <f t="shared" si="18"/>
        <v>TD2A00001089</v>
      </c>
      <c r="C1199" t="s">
        <v>237</v>
      </c>
      <c r="D1199" t="s">
        <v>85</v>
      </c>
      <c r="E1199" t="s">
        <v>496</v>
      </c>
      <c r="F1199">
        <v>25000</v>
      </c>
      <c r="G1199" s="13">
        <v>46086</v>
      </c>
      <c r="H1199" s="13">
        <v>46088</v>
      </c>
      <c r="I1199">
        <v>0</v>
      </c>
      <c r="J1199">
        <v>9405.81</v>
      </c>
      <c r="K1199">
        <v>9405.81</v>
      </c>
      <c r="N1199">
        <v>46.153846153846153</v>
      </c>
      <c r="O1199">
        <v>90.581000000000003</v>
      </c>
      <c r="P1199">
        <v>37.623199999999997</v>
      </c>
      <c r="Q1199">
        <v>90</v>
      </c>
      <c r="R1199">
        <v>93</v>
      </c>
      <c r="S1199">
        <v>90</v>
      </c>
      <c r="T1199">
        <v>11.4</v>
      </c>
      <c r="U1199">
        <v>6</v>
      </c>
      <c r="W1199" t="s">
        <v>497</v>
      </c>
    </row>
    <row r="1200" spans="1:23" x14ac:dyDescent="0.25">
      <c r="A1200" t="s">
        <v>1655</v>
      </c>
      <c r="B1200" t="str">
        <f t="shared" si="18"/>
        <v>CG2J00000578</v>
      </c>
      <c r="C1200" t="s">
        <v>229</v>
      </c>
      <c r="D1200" t="s">
        <v>85</v>
      </c>
      <c r="E1200" t="s">
        <v>499</v>
      </c>
      <c r="F1200">
        <v>10000</v>
      </c>
      <c r="G1200" s="13">
        <v>46091</v>
      </c>
      <c r="H1200" s="13">
        <v>46093</v>
      </c>
      <c r="I1200">
        <v>1125.19</v>
      </c>
      <c r="J1200">
        <v>8874.81</v>
      </c>
      <c r="K1200">
        <v>10000</v>
      </c>
      <c r="N1200">
        <v>29.166666666666668</v>
      </c>
      <c r="O1200">
        <v>94.943600000000004</v>
      </c>
      <c r="P1200">
        <v>156.2398</v>
      </c>
      <c r="Q1200">
        <v>90</v>
      </c>
      <c r="R1200">
        <v>95</v>
      </c>
      <c r="S1200">
        <v>90</v>
      </c>
      <c r="T1200">
        <v>12.02</v>
      </c>
      <c r="U1200">
        <v>6.5</v>
      </c>
      <c r="W1200" t="s">
        <v>497</v>
      </c>
    </row>
    <row r="1201" spans="1:23" x14ac:dyDescent="0.25">
      <c r="A1201" t="s">
        <v>1656</v>
      </c>
      <c r="B1201" t="str">
        <f t="shared" si="18"/>
        <v>CG2J00000578</v>
      </c>
      <c r="C1201" t="s">
        <v>229</v>
      </c>
      <c r="D1201" t="s">
        <v>85</v>
      </c>
      <c r="E1201" t="s">
        <v>499</v>
      </c>
      <c r="F1201">
        <v>5000</v>
      </c>
      <c r="G1201" s="13">
        <v>46092</v>
      </c>
      <c r="H1201" s="13">
        <v>46094</v>
      </c>
      <c r="I1201">
        <v>1924.57</v>
      </c>
      <c r="J1201">
        <v>0</v>
      </c>
      <c r="K1201">
        <v>1924.57</v>
      </c>
      <c r="N1201">
        <v>4.1666666666666661</v>
      </c>
      <c r="O1201">
        <v>94.943600000000004</v>
      </c>
      <c r="P1201">
        <v>38.491399999999999</v>
      </c>
      <c r="Q1201">
        <v>94.943600000000004</v>
      </c>
      <c r="R1201">
        <v>94.943600000000004</v>
      </c>
      <c r="S1201">
        <v>94.943600000000004</v>
      </c>
      <c r="T1201">
        <v>12.02</v>
      </c>
      <c r="U1201">
        <v>6.5</v>
      </c>
      <c r="W1201" t="s">
        <v>497</v>
      </c>
    </row>
    <row r="1202" spans="1:23" x14ac:dyDescent="0.25">
      <c r="A1202" t="s">
        <v>1657</v>
      </c>
      <c r="B1202" t="str">
        <f t="shared" si="18"/>
        <v>GA2K00000215</v>
      </c>
      <c r="C1202" t="s">
        <v>227</v>
      </c>
      <c r="D1202" t="s">
        <v>85</v>
      </c>
      <c r="E1202" t="s">
        <v>516</v>
      </c>
      <c r="F1202">
        <v>10000</v>
      </c>
      <c r="G1202" s="13">
        <v>46092</v>
      </c>
      <c r="H1202" s="13">
        <v>46094</v>
      </c>
      <c r="I1202">
        <v>4300</v>
      </c>
      <c r="J1202">
        <v>0</v>
      </c>
      <c r="K1202">
        <v>4300</v>
      </c>
      <c r="N1202">
        <v>4.5454545454545459</v>
      </c>
      <c r="O1202">
        <v>100.4507</v>
      </c>
      <c r="P1202">
        <v>43</v>
      </c>
      <c r="Q1202">
        <v>95</v>
      </c>
      <c r="R1202">
        <v>95</v>
      </c>
      <c r="S1202">
        <v>95</v>
      </c>
      <c r="T1202">
        <v>5.59</v>
      </c>
      <c r="U1202">
        <v>5.75</v>
      </c>
      <c r="W1202" t="s">
        <v>497</v>
      </c>
    </row>
    <row r="1203" spans="1:23" x14ac:dyDescent="0.25">
      <c r="A1203" t="s">
        <v>1658</v>
      </c>
      <c r="B1203" t="str">
        <f t="shared" si="18"/>
        <v>GA2B00000240</v>
      </c>
      <c r="C1203" t="s">
        <v>227</v>
      </c>
      <c r="D1203" t="s">
        <v>85</v>
      </c>
      <c r="E1203" t="s">
        <v>507</v>
      </c>
      <c r="F1203">
        <v>100000</v>
      </c>
      <c r="G1203" s="13">
        <v>46092</v>
      </c>
      <c r="H1203" s="13">
        <v>46094</v>
      </c>
      <c r="I1203">
        <v>100000</v>
      </c>
      <c r="J1203">
        <v>0</v>
      </c>
      <c r="K1203">
        <v>100000</v>
      </c>
      <c r="N1203">
        <v>4.5454545454545459</v>
      </c>
      <c r="O1203">
        <v>100.1103</v>
      </c>
      <c r="P1203">
        <v>100</v>
      </c>
      <c r="Q1203">
        <v>100</v>
      </c>
      <c r="R1203">
        <v>100</v>
      </c>
      <c r="S1203">
        <v>100</v>
      </c>
      <c r="T1203">
        <v>5.72</v>
      </c>
      <c r="U1203">
        <v>5.75</v>
      </c>
      <c r="W1203" t="s">
        <v>497</v>
      </c>
    </row>
    <row r="1204" spans="1:23" x14ac:dyDescent="0.25">
      <c r="A1204" t="s">
        <v>1659</v>
      </c>
      <c r="B1204" t="str">
        <f t="shared" si="18"/>
        <v>GA2C00000058</v>
      </c>
      <c r="C1204" t="s">
        <v>227</v>
      </c>
      <c r="D1204" t="s">
        <v>85</v>
      </c>
      <c r="E1204" t="s">
        <v>549</v>
      </c>
      <c r="G1204" s="13">
        <v>46092</v>
      </c>
      <c r="H1204" s="13">
        <v>46094</v>
      </c>
      <c r="J1204">
        <v>0</v>
      </c>
      <c r="N1204">
        <v>0</v>
      </c>
      <c r="T1204" t="s">
        <v>946</v>
      </c>
      <c r="W1204" t="s">
        <v>497</v>
      </c>
    </row>
    <row r="1205" spans="1:23" x14ac:dyDescent="0.25">
      <c r="A1205" t="s">
        <v>1657</v>
      </c>
      <c r="B1205" t="str">
        <f t="shared" si="18"/>
        <v>GA2K00000215</v>
      </c>
      <c r="C1205" t="s">
        <v>227</v>
      </c>
      <c r="D1205" t="s">
        <v>85</v>
      </c>
      <c r="E1205" t="s">
        <v>516</v>
      </c>
      <c r="F1205">
        <v>10000</v>
      </c>
      <c r="G1205" s="13">
        <v>46092</v>
      </c>
      <c r="H1205" s="13">
        <v>46094</v>
      </c>
      <c r="I1205">
        <v>4300</v>
      </c>
      <c r="J1205">
        <v>0</v>
      </c>
      <c r="K1205">
        <v>4300</v>
      </c>
      <c r="N1205">
        <v>4.5454545454545459</v>
      </c>
      <c r="O1205">
        <v>100.4507</v>
      </c>
      <c r="P1205">
        <v>43</v>
      </c>
      <c r="Q1205">
        <v>95</v>
      </c>
      <c r="R1205">
        <v>95</v>
      </c>
      <c r="S1205">
        <v>95</v>
      </c>
      <c r="T1205">
        <v>5.59</v>
      </c>
      <c r="U1205">
        <v>5.75</v>
      </c>
      <c r="W1205" t="s">
        <v>497</v>
      </c>
    </row>
    <row r="1206" spans="1:23" x14ac:dyDescent="0.25">
      <c r="A1206" t="s">
        <v>1660</v>
      </c>
      <c r="B1206" t="str">
        <f t="shared" si="18"/>
        <v>TD2J00000991</v>
      </c>
      <c r="C1206" t="s">
        <v>237</v>
      </c>
      <c r="D1206" t="s">
        <v>85</v>
      </c>
      <c r="E1206" t="s">
        <v>499</v>
      </c>
      <c r="F1206">
        <v>20000</v>
      </c>
      <c r="G1206" s="13">
        <v>46092</v>
      </c>
      <c r="H1206" s="13">
        <v>46094</v>
      </c>
      <c r="I1206">
        <v>0</v>
      </c>
      <c r="J1206">
        <v>4739.3999999999996</v>
      </c>
      <c r="K1206">
        <v>4739.3999999999996</v>
      </c>
      <c r="N1206">
        <v>23.076923076923077</v>
      </c>
      <c r="O1206">
        <v>90.054900000000004</v>
      </c>
      <c r="P1206">
        <v>23.696999999999999</v>
      </c>
      <c r="Q1206">
        <v>90</v>
      </c>
      <c r="R1206">
        <v>91</v>
      </c>
      <c r="S1206">
        <v>90</v>
      </c>
      <c r="T1206">
        <v>10.45</v>
      </c>
      <c r="U1206">
        <v>6.5</v>
      </c>
      <c r="W1206" t="s">
        <v>497</v>
      </c>
    </row>
    <row r="1207" spans="1:23" x14ac:dyDescent="0.25">
      <c r="A1207" t="s">
        <v>1661</v>
      </c>
      <c r="B1207" t="str">
        <f t="shared" si="18"/>
        <v>CF2K00000056</v>
      </c>
      <c r="C1207" t="s">
        <v>634</v>
      </c>
      <c r="D1207" t="s">
        <v>85</v>
      </c>
      <c r="E1207" t="s">
        <v>516</v>
      </c>
      <c r="F1207">
        <v>5000</v>
      </c>
      <c r="G1207" s="13">
        <v>46097</v>
      </c>
      <c r="H1207" s="13">
        <v>46099</v>
      </c>
      <c r="I1207">
        <v>0</v>
      </c>
      <c r="J1207">
        <v>5000</v>
      </c>
      <c r="K1207">
        <v>5000</v>
      </c>
      <c r="N1207">
        <v>30</v>
      </c>
      <c r="O1207">
        <v>92.569900000000004</v>
      </c>
      <c r="P1207">
        <v>132.7414</v>
      </c>
      <c r="Q1207">
        <v>92</v>
      </c>
      <c r="R1207">
        <v>92</v>
      </c>
      <c r="S1207">
        <v>90</v>
      </c>
      <c r="T1207">
        <v>10.73</v>
      </c>
      <c r="U1207">
        <v>6.5</v>
      </c>
      <c r="W1207" t="s">
        <v>497</v>
      </c>
    </row>
    <row r="1208" spans="1:23" x14ac:dyDescent="0.25">
      <c r="A1208" t="s">
        <v>1662</v>
      </c>
      <c r="B1208" t="str">
        <f t="shared" si="18"/>
        <v>CF2K00000056</v>
      </c>
      <c r="C1208" t="s">
        <v>634</v>
      </c>
      <c r="D1208" t="s">
        <v>85</v>
      </c>
      <c r="E1208" t="s">
        <v>516</v>
      </c>
      <c r="F1208">
        <v>2500</v>
      </c>
      <c r="G1208" s="13">
        <v>46097</v>
      </c>
      <c r="H1208" s="13">
        <v>46099</v>
      </c>
      <c r="I1208">
        <v>0</v>
      </c>
      <c r="J1208">
        <v>1608.5</v>
      </c>
      <c r="K1208">
        <v>1608.5</v>
      </c>
      <c r="N1208">
        <v>20</v>
      </c>
      <c r="O1208">
        <v>92.569900000000004</v>
      </c>
      <c r="P1208">
        <v>64.34</v>
      </c>
      <c r="Q1208">
        <v>92.569900000000004</v>
      </c>
      <c r="R1208">
        <v>92.569900000000004</v>
      </c>
      <c r="S1208">
        <v>92.569900000000004</v>
      </c>
      <c r="T1208">
        <v>10.73</v>
      </c>
      <c r="U1208">
        <v>6.5</v>
      </c>
      <c r="W1208" t="s">
        <v>497</v>
      </c>
    </row>
    <row r="1209" spans="1:23" x14ac:dyDescent="0.25">
      <c r="A1209" t="s">
        <v>1663</v>
      </c>
      <c r="B1209" t="str">
        <f t="shared" si="18"/>
        <v>CF2K00000080</v>
      </c>
      <c r="C1209" t="s">
        <v>634</v>
      </c>
      <c r="D1209" t="s">
        <v>85</v>
      </c>
      <c r="E1209" t="s">
        <v>516</v>
      </c>
      <c r="F1209">
        <v>5000</v>
      </c>
      <c r="G1209" s="13">
        <v>46097</v>
      </c>
      <c r="H1209" s="13">
        <v>46099</v>
      </c>
      <c r="I1209">
        <v>0</v>
      </c>
      <c r="J1209">
        <v>1280</v>
      </c>
      <c r="K1209">
        <v>1280</v>
      </c>
      <c r="N1209">
        <v>20</v>
      </c>
      <c r="O1209">
        <v>92.572800000000001</v>
      </c>
      <c r="P1209">
        <v>25.6</v>
      </c>
      <c r="Q1209">
        <v>90</v>
      </c>
      <c r="R1209">
        <v>91</v>
      </c>
      <c r="S1209">
        <v>90</v>
      </c>
      <c r="T1209">
        <v>9.66</v>
      </c>
      <c r="U1209">
        <v>6.75</v>
      </c>
      <c r="W1209" t="s">
        <v>497</v>
      </c>
    </row>
    <row r="1210" spans="1:23" x14ac:dyDescent="0.25">
      <c r="A1210" t="s">
        <v>1664</v>
      </c>
      <c r="B1210" t="str">
        <f t="shared" si="18"/>
        <v>CF2K00000114</v>
      </c>
      <c r="C1210" t="s">
        <v>634</v>
      </c>
      <c r="D1210" t="s">
        <v>85</v>
      </c>
      <c r="E1210" t="s">
        <v>516</v>
      </c>
      <c r="F1210">
        <v>2500</v>
      </c>
      <c r="G1210" s="13">
        <v>46097</v>
      </c>
      <c r="H1210" s="13">
        <v>46099</v>
      </c>
      <c r="I1210">
        <v>0</v>
      </c>
      <c r="J1210">
        <v>1443.75</v>
      </c>
      <c r="K1210">
        <v>1443.75</v>
      </c>
      <c r="N1210">
        <v>20</v>
      </c>
      <c r="O1210">
        <v>92.200699999999998</v>
      </c>
      <c r="P1210">
        <v>57.75</v>
      </c>
      <c r="Q1210">
        <v>90</v>
      </c>
      <c r="R1210">
        <v>90</v>
      </c>
      <c r="S1210">
        <v>90</v>
      </c>
      <c r="T1210">
        <v>9.1199999999999992</v>
      </c>
      <c r="U1210">
        <v>6.75</v>
      </c>
      <c r="W1210" t="s">
        <v>497</v>
      </c>
    </row>
    <row r="1211" spans="1:23" x14ac:dyDescent="0.25">
      <c r="A1211" t="s">
        <v>1665</v>
      </c>
      <c r="B1211" t="str">
        <f t="shared" si="18"/>
        <v>CF2K00000114</v>
      </c>
      <c r="C1211" t="s">
        <v>634</v>
      </c>
      <c r="D1211" t="s">
        <v>85</v>
      </c>
      <c r="E1211" t="s">
        <v>516</v>
      </c>
      <c r="G1211" s="13"/>
      <c r="H1211" s="13">
        <v>2</v>
      </c>
      <c r="J1211">
        <v>0</v>
      </c>
      <c r="N1211">
        <v>0</v>
      </c>
      <c r="W1211" t="s">
        <v>1547</v>
      </c>
    </row>
    <row r="1212" spans="1:23" x14ac:dyDescent="0.25">
      <c r="A1212" t="s">
        <v>1666</v>
      </c>
      <c r="B1212" t="str">
        <f t="shared" si="18"/>
        <v>CG2A00000742</v>
      </c>
      <c r="C1212" t="s">
        <v>229</v>
      </c>
      <c r="D1212" t="s">
        <v>85</v>
      </c>
      <c r="E1212" t="s">
        <v>496</v>
      </c>
      <c r="F1212">
        <v>15000</v>
      </c>
      <c r="G1212" s="13">
        <v>46098</v>
      </c>
      <c r="H1212" s="13">
        <v>46100</v>
      </c>
      <c r="I1212">
        <v>6000</v>
      </c>
      <c r="J1212">
        <v>3500.6299999999992</v>
      </c>
      <c r="K1212">
        <v>9500.6299999999992</v>
      </c>
      <c r="N1212">
        <v>8.3333333333333321</v>
      </c>
      <c r="O1212">
        <v>92.067300000000003</v>
      </c>
      <c r="P1212">
        <v>63.337499999999999</v>
      </c>
      <c r="Q1212">
        <v>90</v>
      </c>
      <c r="R1212">
        <v>90.1</v>
      </c>
      <c r="S1212">
        <v>90</v>
      </c>
      <c r="T1212">
        <v>9.9700000000000006</v>
      </c>
      <c r="U1212">
        <v>5.5</v>
      </c>
      <c r="W1212" t="s">
        <v>497</v>
      </c>
    </row>
    <row r="1213" spans="1:23" x14ac:dyDescent="0.25">
      <c r="A1213" t="s">
        <v>1667</v>
      </c>
      <c r="B1213" t="str">
        <f t="shared" si="18"/>
        <v>CG2J00000834</v>
      </c>
      <c r="C1213" t="s">
        <v>229</v>
      </c>
      <c r="D1213" t="s">
        <v>85</v>
      </c>
      <c r="E1213" t="s">
        <v>499</v>
      </c>
      <c r="G1213" s="13"/>
      <c r="H1213" s="13">
        <v>2</v>
      </c>
      <c r="J1213">
        <v>0</v>
      </c>
      <c r="N1213">
        <v>0</v>
      </c>
      <c r="T1213" t="s">
        <v>946</v>
      </c>
      <c r="W1213" t="s">
        <v>497</v>
      </c>
    </row>
    <row r="1214" spans="1:23" x14ac:dyDescent="0.25">
      <c r="A1214" t="s">
        <v>1626</v>
      </c>
      <c r="B1214" t="str">
        <f t="shared" si="18"/>
        <v>GA2K00000199</v>
      </c>
      <c r="C1214" t="s">
        <v>227</v>
      </c>
      <c r="D1214" t="s">
        <v>85</v>
      </c>
      <c r="E1214" t="s">
        <v>516</v>
      </c>
      <c r="G1214" s="13"/>
      <c r="H1214" s="13">
        <v>2</v>
      </c>
      <c r="J1214">
        <v>0</v>
      </c>
      <c r="N1214">
        <v>0</v>
      </c>
      <c r="T1214" t="s">
        <v>946</v>
      </c>
      <c r="W1214" t="s">
        <v>497</v>
      </c>
    </row>
    <row r="1215" spans="1:23" x14ac:dyDescent="0.25">
      <c r="A1215" t="s">
        <v>1668</v>
      </c>
      <c r="B1215" t="str">
        <f t="shared" si="18"/>
        <v>TD2A00001097</v>
      </c>
      <c r="C1215" t="s">
        <v>237</v>
      </c>
      <c r="D1215" t="s">
        <v>85</v>
      </c>
      <c r="E1215" t="s">
        <v>496</v>
      </c>
      <c r="F1215">
        <v>10000</v>
      </c>
      <c r="G1215" s="13">
        <v>46099</v>
      </c>
      <c r="H1215" s="13">
        <v>46101</v>
      </c>
      <c r="I1215">
        <v>0</v>
      </c>
      <c r="J1215">
        <v>10000</v>
      </c>
      <c r="K1215">
        <v>10000</v>
      </c>
      <c r="N1215">
        <v>46.153846153846153</v>
      </c>
      <c r="O1215">
        <v>90.705500000000001</v>
      </c>
      <c r="P1215">
        <v>122.8631</v>
      </c>
      <c r="Q1215">
        <v>90.5</v>
      </c>
      <c r="R1215">
        <v>92</v>
      </c>
      <c r="S1215">
        <v>90</v>
      </c>
      <c r="T1215">
        <v>11.32</v>
      </c>
      <c r="U1215">
        <v>6</v>
      </c>
      <c r="W1215" t="s">
        <v>497</v>
      </c>
    </row>
    <row r="1216" spans="1:23" x14ac:dyDescent="0.25">
      <c r="A1216" t="s">
        <v>1669</v>
      </c>
      <c r="B1216" t="str">
        <f t="shared" si="18"/>
        <v>CG2J00000578</v>
      </c>
      <c r="C1216" t="s">
        <v>229</v>
      </c>
      <c r="D1216" t="s">
        <v>85</v>
      </c>
      <c r="E1216" t="s">
        <v>499</v>
      </c>
      <c r="F1216">
        <v>20000</v>
      </c>
      <c r="G1216" s="13">
        <v>46105</v>
      </c>
      <c r="H1216" s="13">
        <v>46107</v>
      </c>
      <c r="I1216">
        <v>5157.3</v>
      </c>
      <c r="J1216">
        <v>9839.6500000000015</v>
      </c>
      <c r="K1216">
        <v>14996.95</v>
      </c>
      <c r="N1216">
        <v>37.5</v>
      </c>
      <c r="O1216">
        <v>95.285200000000003</v>
      </c>
      <c r="P1216">
        <v>74.984800000000007</v>
      </c>
      <c r="Q1216">
        <v>90</v>
      </c>
      <c r="R1216">
        <v>93</v>
      </c>
      <c r="S1216">
        <v>90</v>
      </c>
      <c r="T1216">
        <v>11.63</v>
      </c>
      <c r="U1216">
        <v>6.5</v>
      </c>
      <c r="W1216" t="s">
        <v>497</v>
      </c>
    </row>
    <row r="1217" spans="1:23" x14ac:dyDescent="0.25">
      <c r="A1217" t="s">
        <v>1504</v>
      </c>
      <c r="B1217" t="str">
        <f t="shared" si="18"/>
        <v>GA2K00000256</v>
      </c>
      <c r="C1217" t="s">
        <v>227</v>
      </c>
      <c r="D1217" t="s">
        <v>85</v>
      </c>
      <c r="E1217" t="s">
        <v>516</v>
      </c>
      <c r="G1217" s="13">
        <v>46106</v>
      </c>
      <c r="H1217" s="13">
        <v>46108</v>
      </c>
      <c r="J1217">
        <v>0</v>
      </c>
      <c r="N1217">
        <v>0</v>
      </c>
      <c r="T1217" t="s">
        <v>946</v>
      </c>
      <c r="W1217" t="s">
        <v>497</v>
      </c>
    </row>
    <row r="1218" spans="1:23" x14ac:dyDescent="0.25">
      <c r="A1218" t="s">
        <v>1670</v>
      </c>
      <c r="B1218" t="str">
        <f t="shared" si="18"/>
        <v>TD2J00001007</v>
      </c>
      <c r="C1218" t="s">
        <v>237</v>
      </c>
      <c r="D1218" t="s">
        <v>85</v>
      </c>
      <c r="E1218" t="s">
        <v>499</v>
      </c>
      <c r="F1218">
        <v>20000</v>
      </c>
      <c r="G1218" s="13">
        <v>46106</v>
      </c>
      <c r="H1218" s="13">
        <v>46108</v>
      </c>
      <c r="I1218">
        <v>0</v>
      </c>
      <c r="J1218">
        <v>3828.68</v>
      </c>
      <c r="K1218">
        <v>3828.68</v>
      </c>
      <c r="N1218">
        <v>38.461538461538467</v>
      </c>
      <c r="O1218">
        <v>90.805499999999995</v>
      </c>
      <c r="P1218">
        <v>19.1434</v>
      </c>
      <c r="Q1218">
        <v>90</v>
      </c>
      <c r="R1218">
        <v>91.5</v>
      </c>
      <c r="S1218">
        <v>90</v>
      </c>
      <c r="T1218">
        <v>10.130000000000001</v>
      </c>
      <c r="U1218">
        <v>6.5</v>
      </c>
      <c r="W1218" t="s">
        <v>497</v>
      </c>
    </row>
    <row r="1219" spans="1:23" x14ac:dyDescent="0.25">
      <c r="A1219" t="s">
        <v>1671</v>
      </c>
      <c r="B1219" t="str">
        <f t="shared" si="18"/>
        <v>CM2A00000146</v>
      </c>
      <c r="C1219" t="s">
        <v>225</v>
      </c>
      <c r="D1219" t="s">
        <v>85</v>
      </c>
      <c r="E1219" t="s">
        <v>496</v>
      </c>
      <c r="F1219">
        <v>30000</v>
      </c>
      <c r="G1219" s="13">
        <v>46111</v>
      </c>
      <c r="H1219" s="13">
        <v>46113</v>
      </c>
      <c r="I1219">
        <v>30000</v>
      </c>
      <c r="J1219">
        <v>0</v>
      </c>
      <c r="K1219">
        <v>30000</v>
      </c>
      <c r="N1219">
        <v>13.636363636363635</v>
      </c>
      <c r="O1219">
        <v>97.25</v>
      </c>
      <c r="P1219">
        <v>100</v>
      </c>
      <c r="Q1219">
        <v>97.25</v>
      </c>
      <c r="R1219">
        <v>97.25</v>
      </c>
      <c r="S1219">
        <v>97.25</v>
      </c>
      <c r="T1219">
        <v>7.51</v>
      </c>
      <c r="U1219">
        <v>6</v>
      </c>
      <c r="W1219" t="s">
        <v>875</v>
      </c>
    </row>
    <row r="1220" spans="1:23" x14ac:dyDescent="0.25">
      <c r="A1220" t="s">
        <v>1672</v>
      </c>
      <c r="B1220" t="str">
        <f t="shared" si="18"/>
        <v>CM2J00000220</v>
      </c>
      <c r="C1220" t="s">
        <v>225</v>
      </c>
      <c r="D1220" t="s">
        <v>85</v>
      </c>
      <c r="E1220" t="s">
        <v>499</v>
      </c>
      <c r="F1220">
        <v>35000</v>
      </c>
      <c r="G1220" s="13">
        <v>46111</v>
      </c>
      <c r="H1220" s="13">
        <v>46113</v>
      </c>
      <c r="I1220">
        <v>35000</v>
      </c>
      <c r="J1220">
        <v>0</v>
      </c>
      <c r="K1220">
        <v>35000</v>
      </c>
      <c r="N1220">
        <v>13.636363636363635</v>
      </c>
      <c r="O1220">
        <v>96</v>
      </c>
      <c r="P1220">
        <v>100</v>
      </c>
      <c r="Q1220">
        <v>96</v>
      </c>
      <c r="R1220">
        <v>96</v>
      </c>
      <c r="S1220">
        <v>96</v>
      </c>
      <c r="T1220">
        <v>7.77</v>
      </c>
      <c r="U1220">
        <v>6.25</v>
      </c>
      <c r="W1220" t="s">
        <v>875</v>
      </c>
    </row>
    <row r="1221" spans="1:23" x14ac:dyDescent="0.25">
      <c r="A1221" t="s">
        <v>1673</v>
      </c>
      <c r="B1221" t="str">
        <f t="shared" ref="B1221:B1241" si="19">MID(A1221,1,12)</f>
        <v>CM2K00000110</v>
      </c>
      <c r="C1221" t="s">
        <v>225</v>
      </c>
      <c r="D1221" t="s">
        <v>85</v>
      </c>
      <c r="E1221" t="s">
        <v>516</v>
      </c>
      <c r="F1221">
        <v>30000</v>
      </c>
      <c r="G1221" s="13">
        <v>46111</v>
      </c>
      <c r="H1221" s="13">
        <v>46113</v>
      </c>
      <c r="I1221">
        <v>13747</v>
      </c>
      <c r="J1221">
        <v>0</v>
      </c>
      <c r="K1221">
        <v>13747</v>
      </c>
      <c r="N1221">
        <v>13.636363636363635</v>
      </c>
      <c r="O1221">
        <v>95.5</v>
      </c>
      <c r="P1221">
        <v>45.823300000000003</v>
      </c>
      <c r="Q1221">
        <v>95.5</v>
      </c>
      <c r="R1221">
        <v>95.5</v>
      </c>
      <c r="S1221">
        <v>95.5</v>
      </c>
      <c r="T1221">
        <v>8.0399999999999991</v>
      </c>
      <c r="U1221">
        <v>6.7</v>
      </c>
      <c r="W1221" t="s">
        <v>875</v>
      </c>
    </row>
    <row r="1222" spans="1:23" x14ac:dyDescent="0.25">
      <c r="A1222" t="s">
        <v>1674</v>
      </c>
      <c r="B1222" t="str">
        <f t="shared" si="19"/>
        <v>CM2B00000079</v>
      </c>
      <c r="C1222" t="s">
        <v>225</v>
      </c>
      <c r="D1222" t="s">
        <v>85</v>
      </c>
      <c r="E1222" t="s">
        <v>507</v>
      </c>
      <c r="G1222" s="13">
        <v>46111</v>
      </c>
      <c r="H1222" s="13">
        <v>46113</v>
      </c>
      <c r="J1222">
        <v>0</v>
      </c>
      <c r="N1222">
        <v>0</v>
      </c>
      <c r="T1222" t="s">
        <v>946</v>
      </c>
      <c r="W1222" t="s">
        <v>875</v>
      </c>
    </row>
    <row r="1223" spans="1:23" x14ac:dyDescent="0.25">
      <c r="A1223" t="s">
        <v>874</v>
      </c>
      <c r="B1223" t="str">
        <f t="shared" si="19"/>
        <v>CM2B00000111</v>
      </c>
      <c r="C1223" t="s">
        <v>225</v>
      </c>
      <c r="D1223" t="s">
        <v>85</v>
      </c>
      <c r="E1223" t="s">
        <v>507</v>
      </c>
      <c r="F1223">
        <v>19000</v>
      </c>
      <c r="G1223" s="13">
        <v>46111</v>
      </c>
      <c r="H1223" s="13">
        <v>46113</v>
      </c>
      <c r="I1223">
        <v>19000</v>
      </c>
      <c r="J1223">
        <v>0</v>
      </c>
      <c r="K1223">
        <v>19000</v>
      </c>
      <c r="N1223">
        <v>9.0909090909090917</v>
      </c>
      <c r="O1223">
        <v>100.80410000000001</v>
      </c>
      <c r="P1223">
        <v>100</v>
      </c>
      <c r="Q1223">
        <v>97.7</v>
      </c>
      <c r="R1223">
        <v>97.7</v>
      </c>
      <c r="S1223">
        <v>97.7</v>
      </c>
      <c r="T1223">
        <v>4.67</v>
      </c>
      <c r="U1223">
        <v>5.5</v>
      </c>
      <c r="W1223" t="s">
        <v>875</v>
      </c>
    </row>
    <row r="1224" spans="1:23" x14ac:dyDescent="0.25">
      <c r="A1224" t="s">
        <v>1675</v>
      </c>
      <c r="B1224" t="str">
        <f t="shared" si="19"/>
        <v>CM2B00000210</v>
      </c>
      <c r="C1224" t="s">
        <v>225</v>
      </c>
      <c r="D1224" t="s">
        <v>85</v>
      </c>
      <c r="E1224" t="s">
        <v>507</v>
      </c>
      <c r="F1224">
        <v>20000</v>
      </c>
      <c r="G1224" s="13">
        <v>46111</v>
      </c>
      <c r="H1224" s="13">
        <v>46113</v>
      </c>
      <c r="I1224">
        <v>10874</v>
      </c>
      <c r="J1224">
        <v>0</v>
      </c>
      <c r="K1224">
        <v>10874</v>
      </c>
      <c r="N1224">
        <v>13.636363636363635</v>
      </c>
      <c r="O1224">
        <v>94.5</v>
      </c>
      <c r="P1224">
        <v>54.37</v>
      </c>
      <c r="Q1224">
        <v>94.5</v>
      </c>
      <c r="R1224">
        <v>94.5</v>
      </c>
      <c r="S1224">
        <v>94.5</v>
      </c>
      <c r="T1224">
        <v>8.16</v>
      </c>
      <c r="U1224">
        <v>6.8</v>
      </c>
      <c r="W1224" t="s">
        <v>875</v>
      </c>
    </row>
    <row r="1225" spans="1:23" x14ac:dyDescent="0.25">
      <c r="A1225" t="s">
        <v>1676</v>
      </c>
      <c r="B1225" t="str">
        <f t="shared" si="19"/>
        <v>CM2L00000036</v>
      </c>
      <c r="C1225" t="s">
        <v>225</v>
      </c>
      <c r="D1225" t="s">
        <v>85</v>
      </c>
      <c r="E1225" t="s">
        <v>547</v>
      </c>
      <c r="F1225">
        <v>15000</v>
      </c>
      <c r="G1225" s="13">
        <v>46111</v>
      </c>
      <c r="H1225" s="13">
        <v>46113</v>
      </c>
      <c r="I1225">
        <v>15000</v>
      </c>
      <c r="J1225">
        <v>0</v>
      </c>
      <c r="K1225">
        <v>15000</v>
      </c>
      <c r="N1225">
        <v>13.636363636363635</v>
      </c>
      <c r="O1225">
        <v>99.836699999999993</v>
      </c>
      <c r="P1225">
        <v>100</v>
      </c>
      <c r="Q1225">
        <v>97.8</v>
      </c>
      <c r="R1225">
        <v>97.8</v>
      </c>
      <c r="S1225">
        <v>97.8</v>
      </c>
      <c r="T1225">
        <v>5.9989999999999997</v>
      </c>
      <c r="U1225">
        <v>5.9</v>
      </c>
      <c r="W1225" t="s">
        <v>875</v>
      </c>
    </row>
    <row r="1226" spans="1:23" x14ac:dyDescent="0.25">
      <c r="A1226" t="s">
        <v>1677</v>
      </c>
      <c r="B1226" t="str">
        <f t="shared" si="19"/>
        <v>CM2L00000119</v>
      </c>
      <c r="C1226" t="s">
        <v>225</v>
      </c>
      <c r="D1226" t="s">
        <v>85</v>
      </c>
      <c r="E1226" t="s">
        <v>547</v>
      </c>
      <c r="F1226">
        <v>20000</v>
      </c>
      <c r="G1226" s="13">
        <v>46111</v>
      </c>
      <c r="H1226" s="13">
        <v>46113</v>
      </c>
      <c r="I1226">
        <v>14289</v>
      </c>
      <c r="J1226">
        <v>0</v>
      </c>
      <c r="K1226">
        <v>14289</v>
      </c>
      <c r="N1226">
        <v>13.636363636363635</v>
      </c>
      <c r="O1226">
        <v>94</v>
      </c>
      <c r="P1226">
        <v>71.444999999999993</v>
      </c>
      <c r="Q1226">
        <v>94</v>
      </c>
      <c r="R1226">
        <v>94</v>
      </c>
      <c r="S1226">
        <v>94</v>
      </c>
      <c r="T1226">
        <v>8.2899999999999991</v>
      </c>
      <c r="U1226">
        <v>7</v>
      </c>
      <c r="W1226" t="s">
        <v>875</v>
      </c>
    </row>
    <row r="1227" spans="1:23" x14ac:dyDescent="0.25">
      <c r="A1227" t="s">
        <v>1678</v>
      </c>
      <c r="B1227" t="str">
        <f t="shared" si="19"/>
        <v>CG2A00000684</v>
      </c>
      <c r="C1227" t="s">
        <v>229</v>
      </c>
      <c r="D1227" t="s">
        <v>85</v>
      </c>
      <c r="E1227" t="s">
        <v>496</v>
      </c>
      <c r="F1227">
        <v>10000</v>
      </c>
      <c r="G1227" s="13">
        <v>46112</v>
      </c>
      <c r="H1227" s="13">
        <v>46114</v>
      </c>
      <c r="I1227">
        <v>3765</v>
      </c>
      <c r="J1227">
        <v>6235</v>
      </c>
      <c r="K1227">
        <v>10000</v>
      </c>
      <c r="N1227">
        <v>25</v>
      </c>
      <c r="O1227">
        <v>94.440200000000004</v>
      </c>
      <c r="P1227">
        <v>110.9465</v>
      </c>
      <c r="Q1227">
        <v>90</v>
      </c>
      <c r="R1227">
        <v>91</v>
      </c>
      <c r="S1227">
        <v>90</v>
      </c>
      <c r="T1227">
        <v>11.96</v>
      </c>
      <c r="U1227">
        <v>5.9</v>
      </c>
      <c r="W1227" t="s">
        <v>497</v>
      </c>
    </row>
    <row r="1228" spans="1:23" x14ac:dyDescent="0.25">
      <c r="A1228" t="s">
        <v>1679</v>
      </c>
      <c r="B1228" t="str">
        <f t="shared" si="19"/>
        <v>CG2A00000684</v>
      </c>
      <c r="C1228" t="s">
        <v>229</v>
      </c>
      <c r="D1228" t="s">
        <v>85</v>
      </c>
      <c r="E1228" t="s">
        <v>496</v>
      </c>
      <c r="F1228">
        <v>5000</v>
      </c>
      <c r="G1228" s="13">
        <v>46114</v>
      </c>
      <c r="H1228" s="13">
        <v>46114</v>
      </c>
      <c r="I1228">
        <v>0</v>
      </c>
      <c r="J1228">
        <v>1085.26</v>
      </c>
      <c r="K1228">
        <v>1085.26</v>
      </c>
      <c r="N1228">
        <v>4.1666666666666661</v>
      </c>
      <c r="O1228">
        <v>94.440200000000004</v>
      </c>
      <c r="P1228">
        <v>21.705200000000001</v>
      </c>
      <c r="Q1228">
        <v>94.440200000000004</v>
      </c>
      <c r="R1228">
        <v>94.440200000000004</v>
      </c>
      <c r="S1228">
        <v>94.440200000000004</v>
      </c>
      <c r="T1228">
        <v>11.96</v>
      </c>
      <c r="U1228">
        <v>5.9</v>
      </c>
      <c r="W1228" t="s">
        <v>1547</v>
      </c>
    </row>
    <row r="1229" spans="1:23" x14ac:dyDescent="0.25">
      <c r="A1229" t="s">
        <v>1680</v>
      </c>
      <c r="B1229" t="str">
        <f t="shared" si="19"/>
        <v>GA2K0000058/</v>
      </c>
      <c r="C1229" t="s">
        <v>227</v>
      </c>
      <c r="D1229" t="s">
        <v>85</v>
      </c>
      <c r="E1229" t="s">
        <v>516</v>
      </c>
      <c r="F1229">
        <v>10000</v>
      </c>
      <c r="G1229" s="13">
        <v>46113</v>
      </c>
      <c r="H1229" s="13">
        <v>46115</v>
      </c>
      <c r="I1229">
        <v>0</v>
      </c>
      <c r="J1229">
        <v>10000</v>
      </c>
      <c r="K1229">
        <v>10000</v>
      </c>
      <c r="N1229">
        <v>13.636363636363635</v>
      </c>
      <c r="O1229">
        <v>95.2881</v>
      </c>
      <c r="P1229">
        <v>166.92500000000001</v>
      </c>
      <c r="Q1229">
        <v>93</v>
      </c>
      <c r="R1229">
        <v>95</v>
      </c>
      <c r="S1229">
        <v>93</v>
      </c>
      <c r="T1229">
        <v>10.85</v>
      </c>
      <c r="U1229">
        <v>5.75</v>
      </c>
      <c r="W1229" t="s">
        <v>497</v>
      </c>
    </row>
    <row r="1230" spans="1:23" x14ac:dyDescent="0.25">
      <c r="A1230" t="s">
        <v>1681</v>
      </c>
      <c r="B1230" t="str">
        <f t="shared" si="19"/>
        <v>GA2K0000058/</v>
      </c>
      <c r="C1230" t="s">
        <v>227</v>
      </c>
      <c r="D1230" t="s">
        <v>85</v>
      </c>
      <c r="E1230" t="s">
        <v>516</v>
      </c>
      <c r="F1230">
        <v>5000</v>
      </c>
      <c r="G1230" s="13">
        <v>46115</v>
      </c>
      <c r="H1230" s="13">
        <v>46115</v>
      </c>
      <c r="I1230">
        <v>0</v>
      </c>
      <c r="J1230">
        <v>5000</v>
      </c>
      <c r="K1230">
        <v>5000</v>
      </c>
      <c r="N1230">
        <v>4.5454545454545459</v>
      </c>
      <c r="O1230">
        <v>95.2881</v>
      </c>
      <c r="P1230">
        <v>110</v>
      </c>
      <c r="Q1230">
        <v>95.2881</v>
      </c>
      <c r="R1230">
        <v>95.2881</v>
      </c>
      <c r="S1230">
        <v>95.2881</v>
      </c>
      <c r="T1230">
        <v>10.85</v>
      </c>
      <c r="U1230">
        <v>5.75</v>
      </c>
      <c r="W1230" t="s">
        <v>1547</v>
      </c>
    </row>
    <row r="1231" spans="1:23" x14ac:dyDescent="0.25">
      <c r="A1231" t="s">
        <v>1682</v>
      </c>
      <c r="B1231" t="str">
        <f t="shared" si="19"/>
        <v>GQ2J00000073</v>
      </c>
      <c r="C1231" t="s">
        <v>528</v>
      </c>
      <c r="D1231" t="s">
        <v>85</v>
      </c>
      <c r="E1231" t="s">
        <v>499</v>
      </c>
      <c r="F1231">
        <v>50000</v>
      </c>
      <c r="G1231" s="13">
        <v>46112</v>
      </c>
      <c r="H1231" s="13">
        <v>46114</v>
      </c>
      <c r="I1231">
        <v>8100</v>
      </c>
      <c r="J1231">
        <v>30</v>
      </c>
      <c r="K1231">
        <v>8130</v>
      </c>
      <c r="N1231">
        <v>25</v>
      </c>
      <c r="O1231">
        <v>88.051699999999997</v>
      </c>
      <c r="P1231">
        <v>16.260000000000002</v>
      </c>
      <c r="Q1231">
        <v>88</v>
      </c>
      <c r="R1231">
        <v>92</v>
      </c>
      <c r="S1231">
        <v>88</v>
      </c>
      <c r="T1231">
        <v>10.77</v>
      </c>
      <c r="U1231">
        <v>6</v>
      </c>
      <c r="W1231" t="s">
        <v>497</v>
      </c>
    </row>
    <row r="1232" spans="1:23" x14ac:dyDescent="0.25">
      <c r="A1232" t="s">
        <v>1683</v>
      </c>
      <c r="B1232" t="str">
        <f t="shared" si="19"/>
        <v>GA2A00000423</v>
      </c>
      <c r="C1232" t="s">
        <v>227</v>
      </c>
      <c r="D1232" t="s">
        <v>85</v>
      </c>
      <c r="E1232" t="s">
        <v>496</v>
      </c>
      <c r="F1232">
        <v>10000</v>
      </c>
      <c r="G1232" s="13">
        <v>46113</v>
      </c>
      <c r="H1232" s="13">
        <v>46115</v>
      </c>
      <c r="I1232">
        <v>0</v>
      </c>
      <c r="J1232">
        <v>5980</v>
      </c>
      <c r="K1232">
        <v>5980</v>
      </c>
      <c r="N1232">
        <v>18.181818181818183</v>
      </c>
      <c r="O1232">
        <v>91.327799999999996</v>
      </c>
      <c r="P1232">
        <v>59.9</v>
      </c>
      <c r="Q1232">
        <v>91</v>
      </c>
      <c r="R1232">
        <v>93</v>
      </c>
      <c r="S1232">
        <v>87</v>
      </c>
      <c r="T1232">
        <v>10.42</v>
      </c>
      <c r="U1232">
        <v>5.5</v>
      </c>
      <c r="W1232" t="s">
        <v>497</v>
      </c>
    </row>
    <row r="1233" spans="1:23" x14ac:dyDescent="0.25">
      <c r="A1233" t="s">
        <v>1684</v>
      </c>
      <c r="B1233" t="str">
        <f t="shared" si="19"/>
        <v>GA2J00000598</v>
      </c>
      <c r="C1233" t="s">
        <v>227</v>
      </c>
      <c r="D1233" t="s">
        <v>85</v>
      </c>
      <c r="E1233" t="s">
        <v>499</v>
      </c>
      <c r="G1233" s="13">
        <v>46113</v>
      </c>
      <c r="H1233" s="13">
        <v>46115</v>
      </c>
      <c r="J1233">
        <v>0</v>
      </c>
      <c r="N1233">
        <v>0</v>
      </c>
      <c r="T1233" t="s">
        <v>946</v>
      </c>
      <c r="W1233" t="s">
        <v>497</v>
      </c>
    </row>
    <row r="1234" spans="1:23" x14ac:dyDescent="0.25">
      <c r="A1234" t="s">
        <v>1685</v>
      </c>
      <c r="B1234" t="str">
        <f t="shared" si="19"/>
        <v>GA2K0000256</v>
      </c>
      <c r="C1234" t="s">
        <v>227</v>
      </c>
      <c r="D1234" t="s">
        <v>85</v>
      </c>
      <c r="E1234" t="s">
        <v>516</v>
      </c>
      <c r="G1234" s="13">
        <v>46113</v>
      </c>
      <c r="H1234" s="13">
        <v>46115</v>
      </c>
      <c r="J1234">
        <v>0</v>
      </c>
      <c r="N1234">
        <v>0</v>
      </c>
      <c r="T1234" t="s">
        <v>946</v>
      </c>
      <c r="W1234" t="s">
        <v>497</v>
      </c>
    </row>
    <row r="1235" spans="1:23" x14ac:dyDescent="0.25">
      <c r="A1235" t="s">
        <v>1534</v>
      </c>
      <c r="B1235" t="str">
        <f t="shared" si="19"/>
        <v>GA2B00000232</v>
      </c>
      <c r="C1235" t="s">
        <v>227</v>
      </c>
      <c r="D1235" t="s">
        <v>85</v>
      </c>
      <c r="E1235" t="s">
        <v>507</v>
      </c>
      <c r="G1235" s="13">
        <v>46113</v>
      </c>
      <c r="H1235" s="13">
        <v>46115</v>
      </c>
      <c r="J1235">
        <v>0</v>
      </c>
      <c r="N1235">
        <v>0</v>
      </c>
      <c r="T1235" t="s">
        <v>946</v>
      </c>
      <c r="W1235" t="s">
        <v>497</v>
      </c>
    </row>
    <row r="1236" spans="1:23" x14ac:dyDescent="0.25">
      <c r="A1236" t="s">
        <v>1686</v>
      </c>
      <c r="B1236" t="str">
        <f t="shared" si="19"/>
        <v>TD2A00001105</v>
      </c>
      <c r="C1236" t="s">
        <v>237</v>
      </c>
      <c r="D1236" t="s">
        <v>85</v>
      </c>
      <c r="E1236" t="s">
        <v>496</v>
      </c>
      <c r="F1236">
        <v>50000</v>
      </c>
      <c r="G1236" s="13">
        <v>46113</v>
      </c>
      <c r="H1236" s="13">
        <v>46115</v>
      </c>
      <c r="I1236">
        <v>7000</v>
      </c>
      <c r="J1236">
        <v>22035.45</v>
      </c>
      <c r="K1236">
        <v>29035.45</v>
      </c>
      <c r="N1236">
        <v>38.461538461538467</v>
      </c>
      <c r="O1236">
        <v>90.052899999999994</v>
      </c>
      <c r="P1236">
        <v>58.070900000000002</v>
      </c>
      <c r="Q1236">
        <v>90</v>
      </c>
      <c r="R1236">
        <v>92</v>
      </c>
      <c r="S1236">
        <v>90</v>
      </c>
      <c r="T1236">
        <v>11.72</v>
      </c>
      <c r="U1236">
        <v>6</v>
      </c>
      <c r="W1236" t="s">
        <v>497</v>
      </c>
    </row>
    <row r="1237" spans="1:23" x14ac:dyDescent="0.25">
      <c r="A1237" t="s">
        <v>1687</v>
      </c>
      <c r="B1237" t="str">
        <f t="shared" si="19"/>
        <v>TD2J00001015</v>
      </c>
      <c r="C1237" t="s">
        <v>237</v>
      </c>
      <c r="D1237" t="s">
        <v>85</v>
      </c>
      <c r="E1237" t="s">
        <v>499</v>
      </c>
      <c r="G1237" s="13">
        <v>46113</v>
      </c>
      <c r="H1237" s="13">
        <v>46115</v>
      </c>
      <c r="J1237">
        <v>0</v>
      </c>
      <c r="N1237">
        <v>0</v>
      </c>
      <c r="T1237" t="s">
        <v>946</v>
      </c>
      <c r="W1237" t="s">
        <v>497</v>
      </c>
    </row>
    <row r="1238" spans="1:23" x14ac:dyDescent="0.25">
      <c r="A1238" t="s">
        <v>1688</v>
      </c>
      <c r="B1238" t="str">
        <f t="shared" si="19"/>
        <v>CG2A00000825</v>
      </c>
      <c r="C1238" t="s">
        <v>229</v>
      </c>
      <c r="D1238" t="s">
        <v>85</v>
      </c>
      <c r="E1238" t="s">
        <v>496</v>
      </c>
      <c r="G1238" s="13">
        <v>46119</v>
      </c>
      <c r="H1238" s="13">
        <v>46121</v>
      </c>
      <c r="J1238">
        <v>0</v>
      </c>
      <c r="N1238">
        <v>0</v>
      </c>
      <c r="T1238" t="s">
        <v>946</v>
      </c>
      <c r="W1238" t="s">
        <v>497</v>
      </c>
    </row>
    <row r="1239" spans="1:23" x14ac:dyDescent="0.25">
      <c r="A1239" t="s">
        <v>1689</v>
      </c>
      <c r="B1239" t="str">
        <f t="shared" si="19"/>
        <v>CG2K00000146</v>
      </c>
      <c r="C1239" t="s">
        <v>229</v>
      </c>
      <c r="D1239" t="s">
        <v>85</v>
      </c>
      <c r="E1239" t="s">
        <v>516</v>
      </c>
      <c r="F1239">
        <v>15000</v>
      </c>
      <c r="G1239" s="13">
        <v>46119</v>
      </c>
      <c r="H1239" s="13">
        <v>46121</v>
      </c>
      <c r="I1239">
        <v>3600</v>
      </c>
      <c r="J1239">
        <v>699.30000000000018</v>
      </c>
      <c r="K1239">
        <v>4299.3</v>
      </c>
      <c r="N1239">
        <v>20.833333333333336</v>
      </c>
      <c r="O1239">
        <v>93.981899999999996</v>
      </c>
      <c r="P1239">
        <v>28.661999999999999</v>
      </c>
      <c r="Q1239">
        <v>90</v>
      </c>
      <c r="R1239">
        <v>95</v>
      </c>
      <c r="S1239">
        <v>90</v>
      </c>
      <c r="T1239">
        <v>12.8</v>
      </c>
      <c r="U1239">
        <v>6.2</v>
      </c>
      <c r="W1239" t="s">
        <v>497</v>
      </c>
    </row>
    <row r="1240" spans="1:23" x14ac:dyDescent="0.25">
      <c r="A1240" t="s">
        <v>1690</v>
      </c>
      <c r="B1240" t="str">
        <f t="shared" si="19"/>
        <v>TD2A00001105</v>
      </c>
      <c r="C1240" t="s">
        <v>237</v>
      </c>
      <c r="D1240" t="s">
        <v>85</v>
      </c>
      <c r="E1240" t="s">
        <v>496</v>
      </c>
      <c r="F1240">
        <v>20000</v>
      </c>
      <c r="G1240" s="13">
        <v>46120</v>
      </c>
      <c r="H1240" s="13">
        <v>46122</v>
      </c>
      <c r="I1240">
        <v>0</v>
      </c>
      <c r="J1240">
        <v>15000</v>
      </c>
      <c r="K1240">
        <v>15000</v>
      </c>
      <c r="N1240">
        <v>7.6923076923076925</v>
      </c>
      <c r="O1240">
        <v>90.115099999999998</v>
      </c>
      <c r="P1240">
        <v>75</v>
      </c>
      <c r="Q1240">
        <v>90</v>
      </c>
      <c r="R1240">
        <v>90</v>
      </c>
      <c r="S1240">
        <v>90</v>
      </c>
      <c r="T1240">
        <v>11.69</v>
      </c>
      <c r="U1240">
        <v>6</v>
      </c>
      <c r="W1240" t="s">
        <v>497</v>
      </c>
    </row>
    <row r="1241" spans="1:23" x14ac:dyDescent="0.25">
      <c r="A1241" t="s">
        <v>1691</v>
      </c>
      <c r="B1241" t="str">
        <f t="shared" si="19"/>
        <v>TD2A00001113</v>
      </c>
      <c r="C1241" t="s">
        <v>237</v>
      </c>
      <c r="D1241" t="s">
        <v>85</v>
      </c>
      <c r="E1241" t="s">
        <v>496</v>
      </c>
      <c r="F1241">
        <v>20000</v>
      </c>
      <c r="G1241" s="13">
        <v>46120</v>
      </c>
      <c r="H1241" s="13">
        <v>46122</v>
      </c>
      <c r="I1241">
        <v>2500</v>
      </c>
      <c r="J1241">
        <v>209.7199999999998</v>
      </c>
      <c r="K1241">
        <v>2709.72</v>
      </c>
      <c r="N1241">
        <v>30.76923076923077</v>
      </c>
      <c r="O1241">
        <v>90.544600000000003</v>
      </c>
      <c r="P1241">
        <v>13.5486</v>
      </c>
      <c r="Q1241">
        <v>90.5</v>
      </c>
      <c r="R1241">
        <v>92</v>
      </c>
      <c r="S1241">
        <v>90.5</v>
      </c>
      <c r="T1241">
        <v>11.42</v>
      </c>
      <c r="U1241">
        <v>6</v>
      </c>
      <c r="W1241" t="s">
        <v>497</v>
      </c>
    </row>
    <row r="1242" spans="1:23" x14ac:dyDescent="0.25">
      <c r="A1242" t="s">
        <v>1693</v>
      </c>
      <c r="B1242" t="str">
        <f>MID(A1242,1,12)</f>
        <v>CM1100000015</v>
      </c>
      <c r="C1242" t="s">
        <v>225</v>
      </c>
      <c r="D1242" t="s">
        <v>77</v>
      </c>
      <c r="E1242" t="s">
        <v>78</v>
      </c>
      <c r="F1242">
        <v>8000</v>
      </c>
      <c r="G1242" s="13">
        <v>40870</v>
      </c>
      <c r="H1242" s="13">
        <v>40963</v>
      </c>
      <c r="I1242">
        <v>6000</v>
      </c>
      <c r="J1242">
        <v>2000</v>
      </c>
      <c r="K1242">
        <v>8000</v>
      </c>
      <c r="N1242">
        <v>0</v>
      </c>
      <c r="O1242">
        <v>1.75</v>
      </c>
      <c r="P1242">
        <v>270.65000000000003</v>
      </c>
      <c r="Q1242">
        <v>2.8</v>
      </c>
      <c r="T1242">
        <v>99.557638888888889</v>
      </c>
      <c r="W1242" t="s">
        <v>497</v>
      </c>
    </row>
    <row r="1243" spans="1:23" x14ac:dyDescent="0.25">
      <c r="A1243" t="s">
        <v>1694</v>
      </c>
      <c r="B1243" t="str">
        <f t="shared" ref="B1243:B1306" si="20">MID(A1243,1,12)</f>
        <v>CM1200000014</v>
      </c>
      <c r="C1243" t="s">
        <v>225</v>
      </c>
      <c r="D1243" t="s">
        <v>77</v>
      </c>
      <c r="E1243" t="s">
        <v>82</v>
      </c>
      <c r="F1243">
        <v>10000</v>
      </c>
      <c r="G1243" s="13">
        <v>40884</v>
      </c>
      <c r="H1243" s="13">
        <v>41068</v>
      </c>
      <c r="I1243">
        <v>10000</v>
      </c>
      <c r="K1243">
        <v>10000</v>
      </c>
      <c r="N1243">
        <v>0</v>
      </c>
      <c r="O1243">
        <v>2.78</v>
      </c>
      <c r="P1243">
        <v>296.20000000000005</v>
      </c>
      <c r="Q1243">
        <v>3</v>
      </c>
      <c r="R1243">
        <v>1.75</v>
      </c>
      <c r="S1243">
        <v>5.25</v>
      </c>
      <c r="T1243">
        <v>98.594555555555559</v>
      </c>
      <c r="W1243" t="s">
        <v>497</v>
      </c>
    </row>
    <row r="1244" spans="1:23" x14ac:dyDescent="0.25">
      <c r="A1244" t="s">
        <v>1695</v>
      </c>
      <c r="B1244" t="str">
        <f t="shared" si="20"/>
        <v>CM1100000023</v>
      </c>
      <c r="C1244" t="s">
        <v>225</v>
      </c>
      <c r="D1244" t="s">
        <v>77</v>
      </c>
      <c r="E1244" t="s">
        <v>78</v>
      </c>
      <c r="F1244">
        <v>17000</v>
      </c>
      <c r="G1244" s="13">
        <v>40891</v>
      </c>
      <c r="H1244" s="13">
        <v>40984</v>
      </c>
      <c r="I1244">
        <v>16800</v>
      </c>
      <c r="J1244">
        <v>200</v>
      </c>
      <c r="K1244">
        <v>17000</v>
      </c>
      <c r="N1244">
        <v>0</v>
      </c>
      <c r="O1244">
        <v>1.93</v>
      </c>
      <c r="P1244">
        <v>219.05</v>
      </c>
      <c r="Q1244">
        <v>2.75</v>
      </c>
      <c r="R1244">
        <v>1.25</v>
      </c>
      <c r="S1244">
        <v>4</v>
      </c>
      <c r="T1244">
        <v>99.512138888888884</v>
      </c>
      <c r="W1244" t="s">
        <v>497</v>
      </c>
    </row>
    <row r="1245" spans="1:23" x14ac:dyDescent="0.25">
      <c r="A1245" t="s">
        <v>1696</v>
      </c>
      <c r="B1245" t="str">
        <f t="shared" si="20"/>
        <v>CM1200000022</v>
      </c>
      <c r="C1245" t="s">
        <v>225</v>
      </c>
      <c r="D1245" t="s">
        <v>77</v>
      </c>
      <c r="E1245" t="s">
        <v>82</v>
      </c>
      <c r="F1245">
        <v>15000</v>
      </c>
      <c r="G1245" s="13">
        <v>40898</v>
      </c>
      <c r="H1245" s="13">
        <v>41082</v>
      </c>
      <c r="I1245">
        <v>12545</v>
      </c>
      <c r="J1245">
        <v>2455</v>
      </c>
      <c r="K1245">
        <v>15000</v>
      </c>
      <c r="N1245">
        <v>0</v>
      </c>
      <c r="O1245">
        <v>2.4900000000000002</v>
      </c>
      <c r="P1245">
        <v>220.17000000000002</v>
      </c>
      <c r="Q1245">
        <v>2.75</v>
      </c>
      <c r="R1245">
        <v>2</v>
      </c>
      <c r="S1245">
        <v>4.5</v>
      </c>
      <c r="T1245">
        <v>98.741166666666672</v>
      </c>
      <c r="W1245" t="s">
        <v>497</v>
      </c>
    </row>
    <row r="1246" spans="1:23" x14ac:dyDescent="0.25">
      <c r="A1246" t="s">
        <v>1697</v>
      </c>
      <c r="B1246" t="str">
        <f t="shared" si="20"/>
        <v>CF1200000013</v>
      </c>
      <c r="C1246" t="s">
        <v>634</v>
      </c>
      <c r="D1246" t="s">
        <v>77</v>
      </c>
      <c r="E1246" t="s">
        <v>82</v>
      </c>
      <c r="F1246">
        <v>1560</v>
      </c>
      <c r="G1246" s="13">
        <v>40905</v>
      </c>
      <c r="H1246" s="13">
        <v>41089</v>
      </c>
      <c r="I1246">
        <v>9400</v>
      </c>
      <c r="K1246">
        <v>1560</v>
      </c>
      <c r="N1246">
        <v>0</v>
      </c>
      <c r="O1246">
        <v>4.66</v>
      </c>
      <c r="P1246">
        <v>43.8</v>
      </c>
      <c r="T1246">
        <v>97.644111111111116</v>
      </c>
      <c r="W1246" t="s">
        <v>497</v>
      </c>
    </row>
    <row r="1247" spans="1:23" x14ac:dyDescent="0.25">
      <c r="A1247" t="s">
        <v>1698</v>
      </c>
      <c r="B1247" t="str">
        <f t="shared" si="20"/>
        <v>CF1100000014</v>
      </c>
      <c r="C1247" t="s">
        <v>634</v>
      </c>
      <c r="D1247" t="s">
        <v>77</v>
      </c>
      <c r="E1247" t="s">
        <v>78</v>
      </c>
      <c r="F1247">
        <v>2000</v>
      </c>
      <c r="G1247" s="13">
        <v>40926</v>
      </c>
      <c r="H1247" s="13">
        <v>41019</v>
      </c>
      <c r="K1247">
        <v>0</v>
      </c>
      <c r="N1247">
        <v>0</v>
      </c>
      <c r="O1247">
        <v>4.95</v>
      </c>
      <c r="P1247">
        <v>50.5</v>
      </c>
      <c r="T1247">
        <v>98.748750000000001</v>
      </c>
      <c r="W1247" t="s">
        <v>497</v>
      </c>
    </row>
    <row r="1248" spans="1:23" x14ac:dyDescent="0.25">
      <c r="A1248" t="s">
        <v>1699</v>
      </c>
      <c r="B1248" t="str">
        <f t="shared" si="20"/>
        <v>CM1200000031</v>
      </c>
      <c r="C1248" t="s">
        <v>225</v>
      </c>
      <c r="D1248" t="s">
        <v>77</v>
      </c>
      <c r="E1248" t="s">
        <v>82</v>
      </c>
      <c r="F1248">
        <v>10000</v>
      </c>
      <c r="G1248" s="13">
        <v>40954</v>
      </c>
      <c r="H1248" s="13">
        <v>41138</v>
      </c>
      <c r="I1248">
        <v>10000</v>
      </c>
      <c r="K1248">
        <v>10000</v>
      </c>
      <c r="N1248">
        <v>0</v>
      </c>
      <c r="O1248">
        <v>2.23</v>
      </c>
      <c r="P1248">
        <v>339.59999999999997</v>
      </c>
      <c r="Q1248">
        <v>2.5</v>
      </c>
      <c r="R1248">
        <v>2</v>
      </c>
      <c r="S1248">
        <v>5.05</v>
      </c>
      <c r="T1248">
        <v>98.872611111111112</v>
      </c>
      <c r="W1248" t="s">
        <v>497</v>
      </c>
    </row>
    <row r="1249" spans="1:23" x14ac:dyDescent="0.25">
      <c r="A1249" t="s">
        <v>1700</v>
      </c>
      <c r="B1249" t="str">
        <f t="shared" si="20"/>
        <v>CM1200000048</v>
      </c>
      <c r="C1249" t="s">
        <v>225</v>
      </c>
      <c r="D1249" t="s">
        <v>77</v>
      </c>
      <c r="E1249" t="s">
        <v>82</v>
      </c>
      <c r="F1249">
        <v>5000</v>
      </c>
      <c r="G1249" s="13">
        <v>40961</v>
      </c>
      <c r="H1249" s="13">
        <v>41145</v>
      </c>
      <c r="I1249">
        <v>4833</v>
      </c>
      <c r="J1249">
        <v>167</v>
      </c>
      <c r="K1249">
        <v>5000</v>
      </c>
      <c r="N1249">
        <v>0</v>
      </c>
      <c r="O1249">
        <v>2.25</v>
      </c>
      <c r="P1249">
        <v>296</v>
      </c>
      <c r="Q1249">
        <v>2.4500000000000002</v>
      </c>
      <c r="R1249">
        <v>2.0499999999999998</v>
      </c>
      <c r="S1249">
        <v>3.8</v>
      </c>
      <c r="T1249">
        <v>98.862499999999997</v>
      </c>
      <c r="W1249" t="s">
        <v>497</v>
      </c>
    </row>
    <row r="1250" spans="1:23" x14ac:dyDescent="0.25">
      <c r="A1250" t="s">
        <v>1701</v>
      </c>
      <c r="B1250" t="str">
        <f t="shared" si="20"/>
        <v>CM1200000055</v>
      </c>
      <c r="C1250" t="s">
        <v>225</v>
      </c>
      <c r="D1250" t="s">
        <v>77</v>
      </c>
      <c r="E1250" t="s">
        <v>82</v>
      </c>
      <c r="F1250">
        <v>5000</v>
      </c>
      <c r="G1250" s="13">
        <v>40968</v>
      </c>
      <c r="H1250" s="13">
        <v>41152</v>
      </c>
      <c r="I1250">
        <v>5000</v>
      </c>
      <c r="K1250">
        <v>5000</v>
      </c>
      <c r="N1250">
        <v>0</v>
      </c>
      <c r="O1250">
        <v>2.2400000000000002</v>
      </c>
      <c r="P1250">
        <v>362.5</v>
      </c>
      <c r="Q1250">
        <v>2.35</v>
      </c>
      <c r="R1250">
        <v>2.0499999999999998</v>
      </c>
      <c r="S1250">
        <v>5</v>
      </c>
      <c r="T1250">
        <v>98.867555555555555</v>
      </c>
      <c r="W1250" t="s">
        <v>497</v>
      </c>
    </row>
    <row r="1251" spans="1:23" x14ac:dyDescent="0.25">
      <c r="A1251" t="s">
        <v>1702</v>
      </c>
      <c r="B1251" t="str">
        <f t="shared" si="20"/>
        <v>CM1200000063</v>
      </c>
      <c r="C1251" t="s">
        <v>225</v>
      </c>
      <c r="D1251" t="s">
        <v>77</v>
      </c>
      <c r="E1251" t="s">
        <v>82</v>
      </c>
      <c r="F1251">
        <v>10000</v>
      </c>
      <c r="G1251" s="13">
        <v>41038</v>
      </c>
      <c r="H1251" s="13">
        <v>41222</v>
      </c>
      <c r="I1251">
        <v>9250</v>
      </c>
      <c r="J1251">
        <v>750</v>
      </c>
      <c r="K1251">
        <v>10000</v>
      </c>
      <c r="N1251">
        <v>0</v>
      </c>
      <c r="O1251">
        <v>2.17</v>
      </c>
      <c r="P1251">
        <v>254.9</v>
      </c>
      <c r="Q1251">
        <v>2.2999999999999998</v>
      </c>
      <c r="R1251">
        <v>1.95</v>
      </c>
      <c r="S1251">
        <v>5</v>
      </c>
      <c r="T1251">
        <v>98.902944444444444</v>
      </c>
      <c r="W1251" t="s">
        <v>497</v>
      </c>
    </row>
    <row r="1252" spans="1:23" x14ac:dyDescent="0.25">
      <c r="A1252" t="s">
        <v>1703</v>
      </c>
      <c r="B1252" t="str">
        <f t="shared" si="20"/>
        <v>CM1200000071</v>
      </c>
      <c r="C1252" t="s">
        <v>225</v>
      </c>
      <c r="D1252" t="s">
        <v>77</v>
      </c>
      <c r="E1252" t="s">
        <v>82</v>
      </c>
      <c r="F1252">
        <v>5000</v>
      </c>
      <c r="G1252" s="13">
        <v>41059</v>
      </c>
      <c r="H1252" s="13">
        <v>41243</v>
      </c>
      <c r="I1252">
        <v>4000</v>
      </c>
      <c r="J1252">
        <v>1000</v>
      </c>
      <c r="K1252">
        <v>5000</v>
      </c>
      <c r="N1252">
        <v>0</v>
      </c>
      <c r="O1252">
        <v>2.17</v>
      </c>
      <c r="P1252">
        <v>438.1</v>
      </c>
      <c r="Q1252">
        <v>2.25</v>
      </c>
      <c r="R1252">
        <v>1.95</v>
      </c>
      <c r="S1252">
        <v>3.75</v>
      </c>
      <c r="T1252">
        <v>98.902944444444444</v>
      </c>
      <c r="W1252" t="s">
        <v>497</v>
      </c>
    </row>
    <row r="1253" spans="1:23" x14ac:dyDescent="0.25">
      <c r="A1253" t="s">
        <v>1704</v>
      </c>
      <c r="B1253" t="str">
        <f t="shared" si="20"/>
        <v>CM1100000031</v>
      </c>
      <c r="C1253" t="s">
        <v>225</v>
      </c>
      <c r="D1253" t="s">
        <v>77</v>
      </c>
      <c r="E1253" t="s">
        <v>78</v>
      </c>
      <c r="F1253">
        <v>5000</v>
      </c>
      <c r="G1253" s="13">
        <v>41066</v>
      </c>
      <c r="H1253" s="13">
        <v>41159</v>
      </c>
      <c r="I1253">
        <v>3541</v>
      </c>
      <c r="J1253">
        <v>1459</v>
      </c>
      <c r="K1253">
        <v>5000</v>
      </c>
      <c r="N1253">
        <v>0</v>
      </c>
      <c r="O1253">
        <v>2.04</v>
      </c>
      <c r="P1253">
        <v>488.5</v>
      </c>
      <c r="Q1253">
        <v>2.1</v>
      </c>
      <c r="R1253">
        <v>1.75</v>
      </c>
      <c r="S1253">
        <v>3.25</v>
      </c>
      <c r="T1253">
        <v>99.484333333333339</v>
      </c>
      <c r="W1253" t="s">
        <v>497</v>
      </c>
    </row>
    <row r="1254" spans="1:23" x14ac:dyDescent="0.25">
      <c r="A1254" t="s">
        <v>1705</v>
      </c>
      <c r="B1254" t="str">
        <f t="shared" si="20"/>
        <v>CF1100000022</v>
      </c>
      <c r="C1254" t="s">
        <v>634</v>
      </c>
      <c r="D1254" t="s">
        <v>77</v>
      </c>
      <c r="E1254" t="s">
        <v>78</v>
      </c>
      <c r="F1254">
        <v>1650</v>
      </c>
      <c r="G1254" s="13">
        <v>41080</v>
      </c>
      <c r="H1254" s="13">
        <v>41173</v>
      </c>
      <c r="K1254">
        <v>0</v>
      </c>
      <c r="N1254">
        <v>0</v>
      </c>
      <c r="O1254">
        <v>4.9000000000000004</v>
      </c>
      <c r="P1254">
        <v>55.000000000000007</v>
      </c>
      <c r="T1254">
        <v>98.761388888888888</v>
      </c>
      <c r="W1254" t="s">
        <v>497</v>
      </c>
    </row>
    <row r="1255" spans="1:23" x14ac:dyDescent="0.25">
      <c r="A1255" t="s">
        <v>1706</v>
      </c>
      <c r="B1255" t="str">
        <f t="shared" si="20"/>
        <v>CM1300000013</v>
      </c>
      <c r="C1255" t="s">
        <v>225</v>
      </c>
      <c r="D1255" t="s">
        <v>77</v>
      </c>
      <c r="E1255" t="s">
        <v>287</v>
      </c>
      <c r="F1255">
        <v>5000</v>
      </c>
      <c r="G1255" s="13">
        <v>41080</v>
      </c>
      <c r="H1255" s="13">
        <v>41446</v>
      </c>
      <c r="I1255">
        <v>1500</v>
      </c>
      <c r="J1255">
        <v>3500</v>
      </c>
      <c r="K1255">
        <v>5000</v>
      </c>
      <c r="N1255">
        <v>0</v>
      </c>
      <c r="O1255">
        <v>2.4700000000000002</v>
      </c>
      <c r="P1255">
        <v>286.98</v>
      </c>
      <c r="Q1255">
        <v>2.6</v>
      </c>
      <c r="R1255">
        <v>2.2999999999999998</v>
      </c>
      <c r="S1255">
        <v>5.5</v>
      </c>
      <c r="T1255">
        <v>97.50255555555556</v>
      </c>
      <c r="W1255" t="s">
        <v>497</v>
      </c>
    </row>
    <row r="1256" spans="1:23" x14ac:dyDescent="0.25">
      <c r="A1256" t="s">
        <v>1707</v>
      </c>
      <c r="B1256" t="str">
        <f t="shared" si="20"/>
        <v>CM1200000089</v>
      </c>
      <c r="C1256" t="s">
        <v>225</v>
      </c>
      <c r="D1256" t="s">
        <v>77</v>
      </c>
      <c r="E1256" t="s">
        <v>82</v>
      </c>
      <c r="F1256">
        <v>10000</v>
      </c>
      <c r="G1256" s="13">
        <v>41087</v>
      </c>
      <c r="H1256" s="13">
        <v>41271</v>
      </c>
      <c r="I1256">
        <v>10000</v>
      </c>
      <c r="K1256">
        <v>10000</v>
      </c>
      <c r="N1256">
        <v>0</v>
      </c>
      <c r="O1256">
        <v>2.04</v>
      </c>
      <c r="P1256">
        <v>199.62</v>
      </c>
      <c r="Q1256">
        <v>2.1</v>
      </c>
      <c r="R1256">
        <v>2</v>
      </c>
      <c r="S1256">
        <v>3.25</v>
      </c>
      <c r="T1256">
        <v>98.968666666666664</v>
      </c>
      <c r="W1256" t="s">
        <v>497</v>
      </c>
    </row>
    <row r="1257" spans="1:23" x14ac:dyDescent="0.25">
      <c r="A1257" t="s">
        <v>1708</v>
      </c>
      <c r="B1257" t="str">
        <f t="shared" si="20"/>
        <v>CM1200000097</v>
      </c>
      <c r="C1257" t="s">
        <v>225</v>
      </c>
      <c r="D1257" t="s">
        <v>77</v>
      </c>
      <c r="E1257" t="s">
        <v>82</v>
      </c>
      <c r="F1257">
        <v>5000</v>
      </c>
      <c r="G1257" s="13">
        <v>41143</v>
      </c>
      <c r="H1257" s="13">
        <v>41327</v>
      </c>
      <c r="I1257">
        <v>5000</v>
      </c>
      <c r="K1257">
        <v>5000</v>
      </c>
      <c r="N1257">
        <v>0</v>
      </c>
      <c r="O1257">
        <v>2</v>
      </c>
      <c r="P1257">
        <v>534.4</v>
      </c>
      <c r="Q1257">
        <v>2</v>
      </c>
      <c r="R1257">
        <v>2</v>
      </c>
      <c r="S1257">
        <v>4</v>
      </c>
      <c r="T1257">
        <v>98.988888888888894</v>
      </c>
      <c r="W1257" t="s">
        <v>497</v>
      </c>
    </row>
    <row r="1258" spans="1:23" x14ac:dyDescent="0.25">
      <c r="A1258" t="s">
        <v>1709</v>
      </c>
      <c r="B1258" t="str">
        <f t="shared" si="20"/>
        <v>CM1300000021</v>
      </c>
      <c r="C1258" t="s">
        <v>225</v>
      </c>
      <c r="D1258" t="s">
        <v>77</v>
      </c>
      <c r="E1258" t="s">
        <v>287</v>
      </c>
      <c r="F1258">
        <v>5000</v>
      </c>
      <c r="G1258" s="13">
        <v>41150</v>
      </c>
      <c r="H1258" s="13">
        <v>41516</v>
      </c>
      <c r="K1258">
        <v>0</v>
      </c>
      <c r="N1258">
        <v>0</v>
      </c>
      <c r="O1258">
        <v>2.97</v>
      </c>
      <c r="P1258">
        <v>152.69999999999999</v>
      </c>
      <c r="T1258">
        <v>96.997</v>
      </c>
      <c r="W1258" t="s">
        <v>497</v>
      </c>
    </row>
    <row r="1259" spans="1:23" x14ac:dyDescent="0.25">
      <c r="A1259" t="s">
        <v>1710</v>
      </c>
      <c r="B1259" t="str">
        <f t="shared" si="20"/>
        <v>CF1200000021</v>
      </c>
      <c r="C1259" t="s">
        <v>634</v>
      </c>
      <c r="D1259" t="s">
        <v>77</v>
      </c>
      <c r="E1259" t="s">
        <v>82</v>
      </c>
      <c r="F1259">
        <v>2750</v>
      </c>
      <c r="G1259" s="13">
        <v>41164</v>
      </c>
      <c r="H1259" s="13">
        <v>41348</v>
      </c>
      <c r="K1259">
        <v>0</v>
      </c>
      <c r="N1259">
        <v>0</v>
      </c>
      <c r="O1259">
        <v>5.25</v>
      </c>
      <c r="P1259">
        <v>91.600000000000009</v>
      </c>
      <c r="T1259">
        <v>97.345833333333331</v>
      </c>
      <c r="W1259" t="s">
        <v>497</v>
      </c>
    </row>
    <row r="1260" spans="1:23" x14ac:dyDescent="0.25">
      <c r="A1260" t="s">
        <v>1711</v>
      </c>
      <c r="B1260" t="str">
        <f t="shared" si="20"/>
        <v>CM1200000105</v>
      </c>
      <c r="C1260" t="s">
        <v>225</v>
      </c>
      <c r="D1260" t="s">
        <v>77</v>
      </c>
      <c r="E1260" t="s">
        <v>82</v>
      </c>
      <c r="F1260">
        <v>5000</v>
      </c>
      <c r="G1260" s="13">
        <v>41171</v>
      </c>
      <c r="H1260" s="13">
        <v>41355</v>
      </c>
      <c r="I1260">
        <v>3235</v>
      </c>
      <c r="J1260">
        <v>1765</v>
      </c>
      <c r="K1260">
        <v>5000</v>
      </c>
      <c r="N1260">
        <v>0</v>
      </c>
      <c r="O1260">
        <v>1.73</v>
      </c>
      <c r="P1260">
        <v>391.92</v>
      </c>
      <c r="Q1260">
        <v>1.75</v>
      </c>
      <c r="R1260">
        <v>1.7</v>
      </c>
      <c r="S1260">
        <v>4</v>
      </c>
      <c r="T1260">
        <v>99.125388888888892</v>
      </c>
      <c r="W1260" t="s">
        <v>497</v>
      </c>
    </row>
    <row r="1261" spans="1:23" x14ac:dyDescent="0.25">
      <c r="A1261" t="s">
        <v>1712</v>
      </c>
      <c r="B1261" t="str">
        <f t="shared" si="20"/>
        <v>CM1200000113</v>
      </c>
      <c r="C1261" t="s">
        <v>225</v>
      </c>
      <c r="D1261" t="s">
        <v>77</v>
      </c>
      <c r="E1261" t="s">
        <v>82</v>
      </c>
      <c r="F1261">
        <v>5000</v>
      </c>
      <c r="G1261" s="13">
        <v>41178</v>
      </c>
      <c r="H1261" s="13">
        <v>41362</v>
      </c>
      <c r="I1261">
        <v>5000</v>
      </c>
      <c r="K1261">
        <v>5000</v>
      </c>
      <c r="N1261">
        <v>0</v>
      </c>
      <c r="O1261">
        <v>1.68</v>
      </c>
      <c r="P1261">
        <v>492</v>
      </c>
      <c r="Q1261">
        <v>1.7</v>
      </c>
      <c r="R1261">
        <v>1.65</v>
      </c>
      <c r="S1261">
        <v>4</v>
      </c>
      <c r="T1261">
        <v>99.150666666666666</v>
      </c>
      <c r="W1261" t="s">
        <v>497</v>
      </c>
    </row>
    <row r="1262" spans="1:23" x14ac:dyDescent="0.25">
      <c r="A1262" t="s">
        <v>1713</v>
      </c>
      <c r="B1262" t="str">
        <f t="shared" si="20"/>
        <v>CM1100000049</v>
      </c>
      <c r="C1262" t="s">
        <v>225</v>
      </c>
      <c r="D1262" t="s">
        <v>77</v>
      </c>
      <c r="E1262" t="s">
        <v>78</v>
      </c>
      <c r="F1262">
        <v>10000</v>
      </c>
      <c r="G1262" s="13">
        <v>41206</v>
      </c>
      <c r="H1262" s="13">
        <v>41299</v>
      </c>
      <c r="I1262">
        <v>7500</v>
      </c>
      <c r="J1262">
        <v>2500</v>
      </c>
      <c r="K1262">
        <v>10000</v>
      </c>
      <c r="N1262">
        <v>0</v>
      </c>
      <c r="O1262">
        <v>1.68</v>
      </c>
      <c r="P1262">
        <v>163</v>
      </c>
      <c r="Q1262">
        <v>1.9</v>
      </c>
      <c r="R1262">
        <v>1.4</v>
      </c>
      <c r="S1262">
        <v>3.25</v>
      </c>
      <c r="T1262">
        <v>99.575333333333333</v>
      </c>
      <c r="W1262" t="s">
        <v>497</v>
      </c>
    </row>
    <row r="1263" spans="1:23" x14ac:dyDescent="0.25">
      <c r="A1263" t="s">
        <v>1714</v>
      </c>
      <c r="B1263" t="str">
        <f t="shared" si="20"/>
        <v>CM1200000121</v>
      </c>
      <c r="C1263" t="s">
        <v>225</v>
      </c>
      <c r="D1263" t="s">
        <v>77</v>
      </c>
      <c r="E1263" t="s">
        <v>82</v>
      </c>
      <c r="F1263">
        <v>5000</v>
      </c>
      <c r="G1263" s="13">
        <v>41213</v>
      </c>
      <c r="H1263" s="13">
        <v>41397</v>
      </c>
      <c r="I1263">
        <v>3000</v>
      </c>
      <c r="J1263">
        <v>2000</v>
      </c>
      <c r="K1263">
        <v>5000</v>
      </c>
      <c r="N1263">
        <v>0</v>
      </c>
      <c r="O1263">
        <v>1.62</v>
      </c>
      <c r="P1263">
        <v>426</v>
      </c>
      <c r="Q1263">
        <v>1.75</v>
      </c>
      <c r="R1263">
        <v>1.3</v>
      </c>
      <c r="S1263">
        <v>3.25</v>
      </c>
      <c r="T1263">
        <v>99.180999999999997</v>
      </c>
      <c r="W1263" t="s">
        <v>497</v>
      </c>
    </row>
    <row r="1264" spans="1:23" x14ac:dyDescent="0.25">
      <c r="A1264" t="s">
        <v>1715</v>
      </c>
      <c r="B1264" t="str">
        <f t="shared" si="20"/>
        <v>CM1100000056</v>
      </c>
      <c r="C1264" t="s">
        <v>225</v>
      </c>
      <c r="D1264" t="s">
        <v>77</v>
      </c>
      <c r="E1264" t="s">
        <v>78</v>
      </c>
      <c r="F1264">
        <v>5000</v>
      </c>
      <c r="G1264" s="13">
        <v>41234</v>
      </c>
      <c r="H1264" s="13">
        <v>41327</v>
      </c>
      <c r="I1264">
        <v>2222</v>
      </c>
      <c r="J1264">
        <v>2778</v>
      </c>
      <c r="K1264">
        <v>5000</v>
      </c>
      <c r="N1264">
        <v>0</v>
      </c>
      <c r="O1264">
        <v>1.5</v>
      </c>
      <c r="P1264">
        <v>584</v>
      </c>
      <c r="Q1264">
        <v>1.5</v>
      </c>
      <c r="T1264">
        <v>99.620833333333337</v>
      </c>
      <c r="W1264" t="s">
        <v>497</v>
      </c>
    </row>
    <row r="1265" spans="1:23" x14ac:dyDescent="0.25">
      <c r="A1265" t="s">
        <v>1716</v>
      </c>
      <c r="B1265" t="str">
        <f t="shared" si="20"/>
        <v>CM1100000064</v>
      </c>
      <c r="C1265" t="s">
        <v>225</v>
      </c>
      <c r="D1265" t="s">
        <v>77</v>
      </c>
      <c r="E1265" t="s">
        <v>78</v>
      </c>
      <c r="F1265">
        <v>5000</v>
      </c>
      <c r="G1265" s="13">
        <v>41248</v>
      </c>
      <c r="H1265" s="13">
        <v>41341</v>
      </c>
      <c r="I1265">
        <v>3846</v>
      </c>
      <c r="J1265">
        <v>1154</v>
      </c>
      <c r="K1265">
        <v>5000</v>
      </c>
      <c r="N1265">
        <v>0</v>
      </c>
      <c r="O1265">
        <v>1.4</v>
      </c>
      <c r="P1265">
        <v>690</v>
      </c>
      <c r="Q1265">
        <v>1.45</v>
      </c>
      <c r="R1265">
        <v>1.4</v>
      </c>
      <c r="S1265">
        <v>3.25</v>
      </c>
      <c r="T1265">
        <v>99.646111111111111</v>
      </c>
      <c r="W1265" t="s">
        <v>497</v>
      </c>
    </row>
    <row r="1266" spans="1:23" x14ac:dyDescent="0.25">
      <c r="A1266" t="s">
        <v>1717</v>
      </c>
      <c r="B1266" t="str">
        <f t="shared" si="20"/>
        <v>CM1200000139</v>
      </c>
      <c r="C1266" t="s">
        <v>225</v>
      </c>
      <c r="D1266" t="s">
        <v>77</v>
      </c>
      <c r="E1266" t="s">
        <v>82</v>
      </c>
      <c r="F1266">
        <v>10000</v>
      </c>
      <c r="G1266" s="13">
        <v>41255</v>
      </c>
      <c r="H1266" s="13">
        <v>41439</v>
      </c>
      <c r="I1266">
        <v>4568</v>
      </c>
      <c r="J1266">
        <v>5432</v>
      </c>
      <c r="K1266">
        <v>10000</v>
      </c>
      <c r="N1266">
        <v>0</v>
      </c>
      <c r="O1266">
        <v>1.56</v>
      </c>
      <c r="P1266">
        <v>355</v>
      </c>
      <c r="Q1266">
        <v>1.65</v>
      </c>
      <c r="R1266">
        <v>1.4</v>
      </c>
      <c r="S1266">
        <v>4</v>
      </c>
      <c r="T1266">
        <v>99.211333333333329</v>
      </c>
      <c r="W1266" t="s">
        <v>497</v>
      </c>
    </row>
    <row r="1267" spans="1:23" x14ac:dyDescent="0.25">
      <c r="A1267" t="s">
        <v>1718</v>
      </c>
      <c r="B1267" t="str">
        <f t="shared" si="20"/>
        <v>CF1200000039</v>
      </c>
      <c r="C1267" t="s">
        <v>634</v>
      </c>
      <c r="D1267" t="s">
        <v>77</v>
      </c>
      <c r="E1267" t="s">
        <v>82</v>
      </c>
      <c r="F1267">
        <v>3000</v>
      </c>
      <c r="G1267" s="13">
        <v>41262</v>
      </c>
      <c r="H1267" s="13">
        <v>41446</v>
      </c>
      <c r="I1267">
        <v>1000</v>
      </c>
      <c r="J1267">
        <v>2000</v>
      </c>
      <c r="K1267">
        <v>3000</v>
      </c>
      <c r="N1267">
        <v>0</v>
      </c>
      <c r="O1267">
        <v>5.2</v>
      </c>
      <c r="P1267">
        <v>75</v>
      </c>
      <c r="Q1267">
        <v>5.25</v>
      </c>
      <c r="T1267">
        <v>97.371111111111105</v>
      </c>
      <c r="W1267" t="s">
        <v>497</v>
      </c>
    </row>
    <row r="1268" spans="1:23" x14ac:dyDescent="0.25">
      <c r="A1268" t="s">
        <v>1719</v>
      </c>
      <c r="B1268" t="str">
        <f t="shared" si="20"/>
        <v>CM1300000039</v>
      </c>
      <c r="C1268" t="s">
        <v>225</v>
      </c>
      <c r="D1268" t="s">
        <v>77</v>
      </c>
      <c r="E1268" t="s">
        <v>287</v>
      </c>
      <c r="F1268">
        <v>15000</v>
      </c>
      <c r="G1268" s="13">
        <v>41304</v>
      </c>
      <c r="H1268" s="13">
        <v>41670</v>
      </c>
      <c r="K1268">
        <v>0</v>
      </c>
      <c r="N1268">
        <v>0</v>
      </c>
      <c r="O1268">
        <v>2.15</v>
      </c>
      <c r="P1268">
        <v>340.33000000000004</v>
      </c>
      <c r="T1268">
        <v>97.826111111111118</v>
      </c>
      <c r="W1268" t="s">
        <v>497</v>
      </c>
    </row>
    <row r="1269" spans="1:23" x14ac:dyDescent="0.25">
      <c r="A1269" t="s">
        <v>1720</v>
      </c>
      <c r="B1269" t="str">
        <f t="shared" si="20"/>
        <v>CM1300000047</v>
      </c>
      <c r="C1269" t="s">
        <v>225</v>
      </c>
      <c r="D1269" t="s">
        <v>77</v>
      </c>
      <c r="E1269" t="s">
        <v>287</v>
      </c>
      <c r="F1269">
        <v>10000</v>
      </c>
      <c r="G1269" s="13">
        <v>41325</v>
      </c>
      <c r="H1269" s="13">
        <v>41691</v>
      </c>
      <c r="I1269">
        <v>8500</v>
      </c>
      <c r="J1269">
        <v>1500</v>
      </c>
      <c r="K1269">
        <v>10000</v>
      </c>
      <c r="N1269">
        <v>0</v>
      </c>
      <c r="O1269">
        <v>2.4500000000000002</v>
      </c>
      <c r="P1269">
        <v>370</v>
      </c>
      <c r="Q1269">
        <v>2.5499999999999998</v>
      </c>
      <c r="T1269">
        <v>97.522777777777776</v>
      </c>
      <c r="W1269" t="s">
        <v>497</v>
      </c>
    </row>
    <row r="1270" spans="1:23" x14ac:dyDescent="0.25">
      <c r="A1270" t="s">
        <v>1721</v>
      </c>
      <c r="B1270" t="str">
        <f t="shared" si="20"/>
        <v>CF1200000047</v>
      </c>
      <c r="C1270" t="s">
        <v>634</v>
      </c>
      <c r="D1270" t="s">
        <v>77</v>
      </c>
      <c r="E1270" t="s">
        <v>82</v>
      </c>
      <c r="F1270">
        <v>2500</v>
      </c>
      <c r="G1270" s="13">
        <v>41325</v>
      </c>
      <c r="H1270" s="13">
        <v>41509</v>
      </c>
      <c r="K1270">
        <v>0</v>
      </c>
      <c r="N1270">
        <v>0</v>
      </c>
      <c r="O1270">
        <v>5.5</v>
      </c>
      <c r="P1270">
        <v>56.2</v>
      </c>
      <c r="T1270">
        <v>97.219444444444449</v>
      </c>
      <c r="W1270" t="s">
        <v>497</v>
      </c>
    </row>
    <row r="1271" spans="1:23" x14ac:dyDescent="0.25">
      <c r="A1271" t="s">
        <v>1722</v>
      </c>
      <c r="B1271" t="str">
        <f t="shared" si="20"/>
        <v>CM1200000147</v>
      </c>
      <c r="C1271" t="s">
        <v>225</v>
      </c>
      <c r="D1271" t="s">
        <v>77</v>
      </c>
      <c r="E1271" t="s">
        <v>82</v>
      </c>
      <c r="F1271">
        <v>10000</v>
      </c>
      <c r="G1271" s="13">
        <v>41388</v>
      </c>
      <c r="H1271" s="13">
        <v>41572</v>
      </c>
      <c r="I1271">
        <v>7500</v>
      </c>
      <c r="J1271">
        <v>2500</v>
      </c>
      <c r="K1271">
        <v>10000</v>
      </c>
      <c r="N1271">
        <v>0</v>
      </c>
      <c r="O1271">
        <v>1.4</v>
      </c>
      <c r="P1271">
        <v>420</v>
      </c>
      <c r="Q1271">
        <v>1.45</v>
      </c>
      <c r="T1271">
        <v>99.292222222222222</v>
      </c>
      <c r="W1271" t="s">
        <v>497</v>
      </c>
    </row>
    <row r="1272" spans="1:23" x14ac:dyDescent="0.25">
      <c r="A1272" t="s">
        <v>1723</v>
      </c>
      <c r="B1272" t="str">
        <f t="shared" si="20"/>
        <v>CM1300000054</v>
      </c>
      <c r="C1272" t="s">
        <v>225</v>
      </c>
      <c r="D1272" t="s">
        <v>77</v>
      </c>
      <c r="E1272" t="s">
        <v>287</v>
      </c>
      <c r="F1272">
        <v>10000</v>
      </c>
      <c r="G1272" s="13">
        <v>41402</v>
      </c>
      <c r="H1272" s="13">
        <v>41768</v>
      </c>
      <c r="I1272">
        <v>9000</v>
      </c>
      <c r="J1272">
        <v>1000</v>
      </c>
      <c r="K1272">
        <v>10000</v>
      </c>
      <c r="N1272">
        <v>0</v>
      </c>
      <c r="O1272">
        <v>2.25</v>
      </c>
      <c r="P1272">
        <v>376.5</v>
      </c>
      <c r="Q1272">
        <v>2.2999999999999998</v>
      </c>
      <c r="R1272">
        <v>2.1</v>
      </c>
      <c r="S1272">
        <v>3.1</v>
      </c>
      <c r="T1272">
        <v>97.724999999999994</v>
      </c>
      <c r="W1272" t="s">
        <v>497</v>
      </c>
    </row>
    <row r="1273" spans="1:23" x14ac:dyDescent="0.25">
      <c r="A1273" t="s">
        <v>1724</v>
      </c>
      <c r="B1273" t="str">
        <f t="shared" si="20"/>
        <v>GA1100000015</v>
      </c>
      <c r="C1273" t="s">
        <v>227</v>
      </c>
      <c r="D1273" t="s">
        <v>77</v>
      </c>
      <c r="E1273" t="s">
        <v>78</v>
      </c>
      <c r="F1273">
        <v>10000</v>
      </c>
      <c r="G1273" s="13">
        <v>41402</v>
      </c>
      <c r="H1273" s="13">
        <v>41495</v>
      </c>
      <c r="J1273">
        <v>10000</v>
      </c>
      <c r="K1273">
        <v>10000</v>
      </c>
      <c r="N1273">
        <v>0</v>
      </c>
      <c r="O1273">
        <v>1.48</v>
      </c>
      <c r="P1273">
        <v>405</v>
      </c>
      <c r="Q1273">
        <v>1.65</v>
      </c>
      <c r="T1273">
        <v>99.625888888888895</v>
      </c>
      <c r="W1273" t="s">
        <v>497</v>
      </c>
    </row>
    <row r="1274" spans="1:23" x14ac:dyDescent="0.25">
      <c r="A1274" t="s">
        <v>1725</v>
      </c>
      <c r="B1274" t="str">
        <f t="shared" si="20"/>
        <v>GA1100000023</v>
      </c>
      <c r="C1274" t="s">
        <v>227</v>
      </c>
      <c r="D1274" t="s">
        <v>77</v>
      </c>
      <c r="E1274" t="s">
        <v>78</v>
      </c>
      <c r="F1274">
        <v>15000</v>
      </c>
      <c r="G1274" s="13">
        <v>41416</v>
      </c>
      <c r="H1274" s="13">
        <v>41509</v>
      </c>
      <c r="K1274">
        <v>15000</v>
      </c>
      <c r="N1274">
        <v>0</v>
      </c>
      <c r="O1274">
        <v>1.48</v>
      </c>
      <c r="P1274">
        <v>270</v>
      </c>
      <c r="T1274">
        <v>99.625888888888895</v>
      </c>
      <c r="W1274" t="s">
        <v>497</v>
      </c>
    </row>
    <row r="1275" spans="1:23" x14ac:dyDescent="0.25">
      <c r="A1275" t="s">
        <v>1726</v>
      </c>
      <c r="B1275" t="str">
        <f t="shared" si="20"/>
        <v>CM1100000072</v>
      </c>
      <c r="C1275" t="s">
        <v>225</v>
      </c>
      <c r="D1275" t="s">
        <v>77</v>
      </c>
      <c r="E1275" t="s">
        <v>78</v>
      </c>
      <c r="F1275">
        <v>5000</v>
      </c>
      <c r="G1275" s="13">
        <v>41437</v>
      </c>
      <c r="H1275" s="13">
        <v>41530</v>
      </c>
      <c r="K1275">
        <v>0</v>
      </c>
      <c r="N1275">
        <v>0</v>
      </c>
      <c r="O1275">
        <v>1.3</v>
      </c>
      <c r="P1275">
        <v>590</v>
      </c>
      <c r="T1275">
        <v>99.671388888888885</v>
      </c>
      <c r="W1275" t="s">
        <v>497</v>
      </c>
    </row>
    <row r="1276" spans="1:23" x14ac:dyDescent="0.25">
      <c r="A1276" t="s">
        <v>1727</v>
      </c>
      <c r="B1276" t="str">
        <f t="shared" si="20"/>
        <v>GA1100000031</v>
      </c>
      <c r="C1276" t="s">
        <v>227</v>
      </c>
      <c r="D1276" t="s">
        <v>77</v>
      </c>
      <c r="E1276" t="s">
        <v>78</v>
      </c>
      <c r="F1276">
        <v>15000</v>
      </c>
      <c r="G1276" s="13">
        <v>41437</v>
      </c>
      <c r="H1276" s="13">
        <v>41530</v>
      </c>
      <c r="K1276">
        <v>15000</v>
      </c>
      <c r="N1276">
        <v>0</v>
      </c>
      <c r="O1276">
        <v>1.55</v>
      </c>
      <c r="P1276">
        <v>226.7</v>
      </c>
      <c r="T1276">
        <v>99.60819444444445</v>
      </c>
      <c r="W1276" t="s">
        <v>497</v>
      </c>
    </row>
    <row r="1277" spans="1:23" x14ac:dyDescent="0.25">
      <c r="A1277" t="s">
        <v>1728</v>
      </c>
      <c r="B1277" t="str">
        <f t="shared" si="20"/>
        <v>CF1200000054</v>
      </c>
      <c r="C1277" t="s">
        <v>634</v>
      </c>
      <c r="D1277" t="s">
        <v>77</v>
      </c>
      <c r="E1277" t="s">
        <v>82</v>
      </c>
      <c r="F1277">
        <v>3000</v>
      </c>
      <c r="G1277" s="13">
        <v>41445</v>
      </c>
      <c r="H1277" s="13">
        <v>41628</v>
      </c>
      <c r="I1277">
        <v>2000</v>
      </c>
      <c r="J1277">
        <v>1000</v>
      </c>
      <c r="K1277">
        <v>3000</v>
      </c>
      <c r="N1277">
        <v>0</v>
      </c>
      <c r="O1277">
        <v>5.25</v>
      </c>
      <c r="P1277">
        <v>100</v>
      </c>
      <c r="Q1277">
        <v>5.25</v>
      </c>
      <c r="R1277">
        <v>5.25</v>
      </c>
      <c r="S1277">
        <v>5.25</v>
      </c>
      <c r="T1277">
        <v>97.360416666666666</v>
      </c>
      <c r="W1277" t="s">
        <v>497</v>
      </c>
    </row>
    <row r="1278" spans="1:23" x14ac:dyDescent="0.25">
      <c r="A1278" t="s">
        <v>1729</v>
      </c>
      <c r="B1278" t="str">
        <f t="shared" si="20"/>
        <v>GA1100000049</v>
      </c>
      <c r="C1278" t="s">
        <v>227</v>
      </c>
      <c r="D1278" t="s">
        <v>77</v>
      </c>
      <c r="E1278" t="s">
        <v>78</v>
      </c>
      <c r="F1278">
        <v>10000</v>
      </c>
      <c r="G1278" s="13">
        <v>41451</v>
      </c>
      <c r="H1278" s="13">
        <v>41544</v>
      </c>
      <c r="K1278">
        <v>10000</v>
      </c>
      <c r="N1278">
        <v>0</v>
      </c>
      <c r="O1278">
        <v>1.38</v>
      </c>
      <c r="P1278">
        <v>268.5</v>
      </c>
      <c r="T1278">
        <v>99.651166666666668</v>
      </c>
      <c r="W1278" t="s">
        <v>497</v>
      </c>
    </row>
    <row r="1279" spans="1:23" x14ac:dyDescent="0.25">
      <c r="A1279" t="s">
        <v>1730</v>
      </c>
      <c r="B1279" t="str">
        <f t="shared" si="20"/>
        <v>CM1300000062</v>
      </c>
      <c r="C1279" t="s">
        <v>225</v>
      </c>
      <c r="D1279" t="s">
        <v>77</v>
      </c>
      <c r="E1279" t="s">
        <v>287</v>
      </c>
      <c r="F1279">
        <v>10000</v>
      </c>
      <c r="G1279" s="13">
        <v>41451</v>
      </c>
      <c r="H1279" s="13">
        <v>41817</v>
      </c>
      <c r="I1279">
        <v>10000</v>
      </c>
      <c r="K1279">
        <v>10000</v>
      </c>
      <c r="N1279">
        <v>0</v>
      </c>
      <c r="O1279">
        <v>1.88</v>
      </c>
      <c r="P1279">
        <v>407.5</v>
      </c>
      <c r="Q1279">
        <v>2.0499999999999998</v>
      </c>
      <c r="R1279">
        <v>1.75</v>
      </c>
      <c r="S1279">
        <v>4</v>
      </c>
      <c r="T1279">
        <v>98.099111111111114</v>
      </c>
      <c r="W1279" t="s">
        <v>497</v>
      </c>
    </row>
    <row r="1280" spans="1:23" x14ac:dyDescent="0.25">
      <c r="A1280" t="s">
        <v>1731</v>
      </c>
      <c r="B1280" t="str">
        <f t="shared" si="20"/>
        <v>GA1100000056</v>
      </c>
      <c r="C1280" t="s">
        <v>227</v>
      </c>
      <c r="D1280" t="s">
        <v>77</v>
      </c>
      <c r="E1280" t="s">
        <v>78</v>
      </c>
      <c r="F1280">
        <v>15000</v>
      </c>
      <c r="G1280" s="13">
        <v>41465</v>
      </c>
      <c r="H1280" s="13">
        <v>41558</v>
      </c>
      <c r="I1280">
        <v>4000</v>
      </c>
      <c r="J1280">
        <v>11000</v>
      </c>
      <c r="K1280">
        <v>15000</v>
      </c>
      <c r="N1280">
        <v>0</v>
      </c>
      <c r="O1280">
        <v>1.33</v>
      </c>
      <c r="P1280">
        <v>222.00000000000003</v>
      </c>
      <c r="Q1280">
        <v>1.4</v>
      </c>
      <c r="T1280">
        <v>99.663805555555555</v>
      </c>
      <c r="W1280" t="s">
        <v>497</v>
      </c>
    </row>
    <row r="1281" spans="1:23" x14ac:dyDescent="0.25">
      <c r="A1281" t="s">
        <v>1732</v>
      </c>
      <c r="B1281" t="str">
        <f t="shared" si="20"/>
        <v>GA1100000064</v>
      </c>
      <c r="C1281" t="s">
        <v>227</v>
      </c>
      <c r="D1281" t="s">
        <v>77</v>
      </c>
      <c r="E1281" t="s">
        <v>78</v>
      </c>
      <c r="F1281">
        <v>10000</v>
      </c>
      <c r="G1281" s="13">
        <v>41479</v>
      </c>
      <c r="H1281" s="13">
        <v>41572</v>
      </c>
      <c r="I1281">
        <v>2500</v>
      </c>
      <c r="J1281">
        <v>7500</v>
      </c>
      <c r="K1281">
        <v>10000</v>
      </c>
      <c r="N1281">
        <v>0</v>
      </c>
      <c r="O1281">
        <v>1.355</v>
      </c>
      <c r="P1281">
        <v>160</v>
      </c>
      <c r="Q1281">
        <v>1.5</v>
      </c>
      <c r="R1281">
        <v>1.3</v>
      </c>
      <c r="S1281">
        <v>2.95</v>
      </c>
      <c r="T1281">
        <v>99.657486111111112</v>
      </c>
      <c r="W1281" t="s">
        <v>497</v>
      </c>
    </row>
    <row r="1282" spans="1:23" x14ac:dyDescent="0.25">
      <c r="A1282" t="s">
        <v>1733</v>
      </c>
      <c r="B1282" t="str">
        <f t="shared" si="20"/>
        <v>CM1300000071</v>
      </c>
      <c r="C1282" t="s">
        <v>225</v>
      </c>
      <c r="D1282" t="s">
        <v>77</v>
      </c>
      <c r="E1282" t="s">
        <v>287</v>
      </c>
      <c r="F1282">
        <v>10000</v>
      </c>
      <c r="G1282" s="13">
        <v>41479</v>
      </c>
      <c r="H1282" s="13">
        <v>41845</v>
      </c>
      <c r="I1282">
        <v>9900</v>
      </c>
      <c r="J1282">
        <v>100</v>
      </c>
      <c r="K1282">
        <v>10000</v>
      </c>
      <c r="N1282">
        <v>0</v>
      </c>
      <c r="O1282">
        <v>1.95</v>
      </c>
      <c r="P1282">
        <v>204.1</v>
      </c>
      <c r="Q1282">
        <v>2.0499999999999998</v>
      </c>
      <c r="T1282">
        <v>98.028333333333336</v>
      </c>
      <c r="W1282" t="s">
        <v>497</v>
      </c>
    </row>
    <row r="1283" spans="1:23" x14ac:dyDescent="0.25">
      <c r="A1283" t="s">
        <v>1734</v>
      </c>
      <c r="B1283" t="str">
        <f t="shared" si="20"/>
        <v>GA1200000014</v>
      </c>
      <c r="C1283" t="s">
        <v>227</v>
      </c>
      <c r="D1283" t="s">
        <v>77</v>
      </c>
      <c r="E1283" t="s">
        <v>82</v>
      </c>
      <c r="F1283">
        <v>10000</v>
      </c>
      <c r="G1283" s="13">
        <v>41500</v>
      </c>
      <c r="H1283" s="13">
        <v>41684</v>
      </c>
      <c r="I1283">
        <v>5000</v>
      </c>
      <c r="J1283">
        <v>5000</v>
      </c>
      <c r="K1283">
        <v>10000</v>
      </c>
      <c r="N1283">
        <v>0</v>
      </c>
      <c r="O1283">
        <v>1.7375</v>
      </c>
      <c r="P1283">
        <v>113.333</v>
      </c>
      <c r="Q1283">
        <v>2.1</v>
      </c>
      <c r="R1283">
        <v>1.55</v>
      </c>
      <c r="S1283">
        <v>4.1500000000000004</v>
      </c>
      <c r="T1283">
        <v>99.121597222222221</v>
      </c>
      <c r="W1283" t="s">
        <v>497</v>
      </c>
    </row>
    <row r="1284" spans="1:23" x14ac:dyDescent="0.25">
      <c r="A1284" t="s">
        <v>1735</v>
      </c>
      <c r="B1284" t="str">
        <f t="shared" si="20"/>
        <v>CF1200000062</v>
      </c>
      <c r="C1284" t="s">
        <v>634</v>
      </c>
      <c r="D1284" t="s">
        <v>77</v>
      </c>
      <c r="E1284" t="s">
        <v>82</v>
      </c>
      <c r="F1284">
        <v>2500</v>
      </c>
      <c r="G1284" s="13">
        <v>41507</v>
      </c>
      <c r="H1284" s="13">
        <v>41691</v>
      </c>
      <c r="I1284">
        <v>2500</v>
      </c>
      <c r="K1284">
        <v>2500</v>
      </c>
      <c r="N1284">
        <v>0</v>
      </c>
      <c r="O1284">
        <v>5.5</v>
      </c>
      <c r="P1284">
        <v>100</v>
      </c>
      <c r="Q1284">
        <v>5.5</v>
      </c>
      <c r="R1284">
        <v>5.5</v>
      </c>
      <c r="S1284">
        <v>5.5</v>
      </c>
      <c r="T1284">
        <v>97.219444444444449</v>
      </c>
      <c r="W1284" t="s">
        <v>497</v>
      </c>
    </row>
    <row r="1285" spans="1:23" x14ac:dyDescent="0.25">
      <c r="A1285" t="s">
        <v>1736</v>
      </c>
      <c r="B1285" t="str">
        <f t="shared" si="20"/>
        <v>GA1200000022</v>
      </c>
      <c r="C1285" t="s">
        <v>227</v>
      </c>
      <c r="D1285" t="s">
        <v>77</v>
      </c>
      <c r="E1285" t="s">
        <v>82</v>
      </c>
      <c r="F1285">
        <v>9000</v>
      </c>
      <c r="G1285" s="13">
        <v>41514</v>
      </c>
      <c r="H1285" s="13">
        <v>41698</v>
      </c>
      <c r="I1285">
        <v>6000</v>
      </c>
      <c r="J1285">
        <v>3000</v>
      </c>
      <c r="K1285">
        <v>9000</v>
      </c>
      <c r="N1285">
        <v>0</v>
      </c>
      <c r="O1285">
        <v>1.95</v>
      </c>
      <c r="P1285">
        <v>105</v>
      </c>
      <c r="Q1285">
        <v>2.0499999999999998</v>
      </c>
      <c r="R1285">
        <v>1.8</v>
      </c>
      <c r="S1285">
        <v>2.5</v>
      </c>
      <c r="T1285">
        <v>99.014166666666668</v>
      </c>
      <c r="W1285" t="s">
        <v>497</v>
      </c>
    </row>
    <row r="1286" spans="1:23" x14ac:dyDescent="0.25">
      <c r="A1286" t="s">
        <v>1737</v>
      </c>
      <c r="B1286" t="str">
        <f t="shared" si="20"/>
        <v>CM1100000081</v>
      </c>
      <c r="C1286" t="s">
        <v>225</v>
      </c>
      <c r="D1286" t="s">
        <v>77</v>
      </c>
      <c r="E1286" t="s">
        <v>78</v>
      </c>
      <c r="F1286">
        <v>5000</v>
      </c>
      <c r="G1286" s="13">
        <v>41514</v>
      </c>
      <c r="H1286" s="13">
        <v>41607</v>
      </c>
      <c r="I1286">
        <v>5000</v>
      </c>
      <c r="K1286">
        <v>5000</v>
      </c>
      <c r="N1286">
        <v>0</v>
      </c>
      <c r="O1286">
        <v>1.1499999999999999</v>
      </c>
      <c r="P1286">
        <v>320</v>
      </c>
      <c r="Q1286">
        <v>1.25</v>
      </c>
      <c r="R1286">
        <v>1.1000000000000001</v>
      </c>
      <c r="S1286">
        <v>3.25</v>
      </c>
      <c r="T1286">
        <v>99.709305555555559</v>
      </c>
      <c r="W1286" t="s">
        <v>497</v>
      </c>
    </row>
    <row r="1287" spans="1:23" x14ac:dyDescent="0.25">
      <c r="A1287" t="s">
        <v>1738</v>
      </c>
      <c r="B1287" t="str">
        <f t="shared" si="20"/>
        <v>GA1100000072</v>
      </c>
      <c r="C1287" t="s">
        <v>227</v>
      </c>
      <c r="D1287" t="s">
        <v>77</v>
      </c>
      <c r="E1287" t="s">
        <v>78</v>
      </c>
      <c r="F1287">
        <v>15000</v>
      </c>
      <c r="G1287" s="13">
        <v>41521</v>
      </c>
      <c r="H1287" s="13">
        <v>41614</v>
      </c>
      <c r="I1287">
        <v>1250</v>
      </c>
      <c r="J1287">
        <v>13750</v>
      </c>
      <c r="K1287">
        <v>15000</v>
      </c>
      <c r="N1287">
        <v>0</v>
      </c>
      <c r="O1287">
        <v>1.44</v>
      </c>
      <c r="P1287">
        <v>133.29999999999998</v>
      </c>
      <c r="Q1287">
        <v>1.55</v>
      </c>
      <c r="T1287">
        <v>99.635999999999996</v>
      </c>
      <c r="W1287" t="s">
        <v>497</v>
      </c>
    </row>
    <row r="1288" spans="1:23" x14ac:dyDescent="0.25">
      <c r="A1288" t="s">
        <v>1739</v>
      </c>
      <c r="B1288" t="str">
        <f t="shared" si="20"/>
        <v>CM1300000088</v>
      </c>
      <c r="C1288" t="s">
        <v>225</v>
      </c>
      <c r="D1288" t="s">
        <v>77</v>
      </c>
      <c r="E1288" t="s">
        <v>287</v>
      </c>
      <c r="F1288">
        <v>10000</v>
      </c>
      <c r="G1288" s="13">
        <v>41528</v>
      </c>
      <c r="H1288" s="13">
        <v>41894</v>
      </c>
      <c r="I1288">
        <v>9067</v>
      </c>
      <c r="J1288">
        <v>933</v>
      </c>
      <c r="K1288">
        <v>10000</v>
      </c>
      <c r="N1288">
        <v>0</v>
      </c>
      <c r="O1288">
        <v>2.02</v>
      </c>
      <c r="P1288">
        <v>174</v>
      </c>
      <c r="Q1288">
        <v>2.1</v>
      </c>
      <c r="T1288">
        <v>97.957555555555558</v>
      </c>
      <c r="W1288" t="s">
        <v>497</v>
      </c>
    </row>
    <row r="1289" spans="1:23" x14ac:dyDescent="0.25">
      <c r="A1289" t="s">
        <v>1740</v>
      </c>
      <c r="B1289" t="str">
        <f t="shared" si="20"/>
        <v>GA1100000081</v>
      </c>
      <c r="C1289" t="s">
        <v>227</v>
      </c>
      <c r="D1289" t="s">
        <v>77</v>
      </c>
      <c r="E1289" t="s">
        <v>78</v>
      </c>
      <c r="F1289">
        <v>15000</v>
      </c>
      <c r="G1289" s="13">
        <v>41542</v>
      </c>
      <c r="H1289" s="13">
        <v>41635</v>
      </c>
      <c r="I1289">
        <v>7000</v>
      </c>
      <c r="J1289">
        <v>8000</v>
      </c>
      <c r="K1289">
        <v>15000</v>
      </c>
      <c r="N1289">
        <v>0</v>
      </c>
      <c r="O1289">
        <v>1.68333</v>
      </c>
      <c r="P1289">
        <v>106.666</v>
      </c>
      <c r="Q1289">
        <v>2.1</v>
      </c>
      <c r="R1289">
        <v>1.4</v>
      </c>
      <c r="S1289">
        <v>2.15</v>
      </c>
      <c r="T1289">
        <v>99.574491583333327</v>
      </c>
      <c r="W1289" t="s">
        <v>497</v>
      </c>
    </row>
    <row r="1290" spans="1:23" x14ac:dyDescent="0.25">
      <c r="A1290" t="s">
        <v>1741</v>
      </c>
      <c r="B1290" t="str">
        <f t="shared" si="20"/>
        <v>GA1100000098</v>
      </c>
      <c r="C1290" t="s">
        <v>227</v>
      </c>
      <c r="D1290" t="s">
        <v>77</v>
      </c>
      <c r="E1290" t="s">
        <v>78</v>
      </c>
      <c r="F1290">
        <v>15000</v>
      </c>
      <c r="G1290" s="13">
        <v>41556</v>
      </c>
      <c r="H1290" s="13">
        <v>41649</v>
      </c>
      <c r="I1290">
        <v>1000</v>
      </c>
      <c r="J1290">
        <v>14000</v>
      </c>
      <c r="K1290">
        <v>15000</v>
      </c>
      <c r="N1290">
        <v>0</v>
      </c>
      <c r="O1290">
        <v>1.8149999999999999</v>
      </c>
      <c r="P1290">
        <v>173.33</v>
      </c>
      <c r="Q1290">
        <v>2</v>
      </c>
      <c r="R1290">
        <v>1.6</v>
      </c>
      <c r="S1290">
        <v>2.75</v>
      </c>
      <c r="T1290">
        <v>99.54120833333333</v>
      </c>
      <c r="W1290" t="s">
        <v>497</v>
      </c>
    </row>
    <row r="1291" spans="1:23" x14ac:dyDescent="0.25">
      <c r="A1291" t="s">
        <v>1742</v>
      </c>
      <c r="B1291" t="str">
        <f t="shared" si="20"/>
        <v>GA1100000106</v>
      </c>
      <c r="C1291" t="s">
        <v>227</v>
      </c>
      <c r="D1291" t="s">
        <v>77</v>
      </c>
      <c r="E1291" t="s">
        <v>78</v>
      </c>
      <c r="F1291">
        <v>10000</v>
      </c>
      <c r="G1291" s="13">
        <v>41570</v>
      </c>
      <c r="H1291" s="13">
        <v>41663</v>
      </c>
      <c r="I1291">
        <v>7000</v>
      </c>
      <c r="J1291">
        <v>3000</v>
      </c>
      <c r="K1291">
        <v>10000</v>
      </c>
      <c r="N1291">
        <v>0</v>
      </c>
      <c r="O1291">
        <v>1.8425</v>
      </c>
      <c r="P1291">
        <v>285</v>
      </c>
      <c r="Q1291">
        <v>1.95</v>
      </c>
      <c r="R1291">
        <v>1.75</v>
      </c>
      <c r="S1291">
        <v>2.9</v>
      </c>
      <c r="T1291">
        <v>99.534256944444451</v>
      </c>
      <c r="W1291" t="s">
        <v>497</v>
      </c>
    </row>
    <row r="1292" spans="1:23" x14ac:dyDescent="0.25">
      <c r="A1292" t="s">
        <v>1743</v>
      </c>
      <c r="B1292" t="str">
        <f t="shared" si="20"/>
        <v>CM1100000098</v>
      </c>
      <c r="C1292" t="s">
        <v>225</v>
      </c>
      <c r="D1292" t="s">
        <v>77</v>
      </c>
      <c r="E1292" t="s">
        <v>78</v>
      </c>
      <c r="F1292">
        <v>10000</v>
      </c>
      <c r="G1292" s="13">
        <v>41591</v>
      </c>
      <c r="H1292" s="13">
        <v>41684</v>
      </c>
      <c r="K1292">
        <v>0</v>
      </c>
      <c r="N1292">
        <v>0</v>
      </c>
      <c r="O1292">
        <v>1.39</v>
      </c>
      <c r="P1292">
        <v>140</v>
      </c>
      <c r="T1292">
        <v>99.648638888888883</v>
      </c>
      <c r="W1292" t="s">
        <v>497</v>
      </c>
    </row>
    <row r="1293" spans="1:23" x14ac:dyDescent="0.25">
      <c r="A1293" t="s">
        <v>1744</v>
      </c>
      <c r="B1293" t="str">
        <f t="shared" si="20"/>
        <v>GA1100000114</v>
      </c>
      <c r="C1293" t="s">
        <v>227</v>
      </c>
      <c r="D1293" t="s">
        <v>77</v>
      </c>
      <c r="E1293" t="s">
        <v>78</v>
      </c>
      <c r="F1293">
        <v>9500</v>
      </c>
      <c r="G1293" s="13">
        <v>41612</v>
      </c>
      <c r="H1293" s="13">
        <v>41705</v>
      </c>
      <c r="I1293">
        <v>4500</v>
      </c>
      <c r="J1293">
        <v>5000</v>
      </c>
      <c r="K1293">
        <v>9500</v>
      </c>
      <c r="N1293">
        <v>0</v>
      </c>
      <c r="O1293">
        <v>2.2657799999999999</v>
      </c>
      <c r="P1293">
        <v>47.5</v>
      </c>
      <c r="Q1293">
        <v>3.25</v>
      </c>
      <c r="R1293">
        <v>1.75</v>
      </c>
      <c r="S1293">
        <v>3.25</v>
      </c>
      <c r="T1293">
        <v>99.427261166666668</v>
      </c>
      <c r="W1293" t="s">
        <v>497</v>
      </c>
    </row>
    <row r="1294" spans="1:23" x14ac:dyDescent="0.25">
      <c r="A1294" t="s">
        <v>1745</v>
      </c>
      <c r="B1294" t="str">
        <f t="shared" si="20"/>
        <v>CM1200000154</v>
      </c>
      <c r="C1294" t="s">
        <v>225</v>
      </c>
      <c r="D1294" t="s">
        <v>77</v>
      </c>
      <c r="E1294" t="s">
        <v>82</v>
      </c>
      <c r="F1294">
        <v>14000</v>
      </c>
      <c r="G1294" s="13">
        <v>41612</v>
      </c>
      <c r="H1294" s="13">
        <v>41796</v>
      </c>
      <c r="I1294">
        <v>9000</v>
      </c>
      <c r="J1294">
        <v>5000</v>
      </c>
      <c r="K1294">
        <v>14000</v>
      </c>
      <c r="N1294">
        <v>0</v>
      </c>
      <c r="O1294">
        <v>2.26071</v>
      </c>
      <c r="P1294">
        <v>93.300000000000011</v>
      </c>
      <c r="Q1294">
        <v>3.7</v>
      </c>
      <c r="R1294">
        <v>1.35</v>
      </c>
      <c r="S1294">
        <v>3.7</v>
      </c>
      <c r="T1294">
        <v>98.857085499999997</v>
      </c>
      <c r="W1294" t="s">
        <v>497</v>
      </c>
    </row>
    <row r="1295" spans="1:23" x14ac:dyDescent="0.25">
      <c r="A1295" t="s">
        <v>1746</v>
      </c>
      <c r="B1295" t="str">
        <f t="shared" si="20"/>
        <v>CM1100000106</v>
      </c>
      <c r="C1295" t="s">
        <v>225</v>
      </c>
      <c r="D1295" t="s">
        <v>77</v>
      </c>
      <c r="E1295" t="s">
        <v>78</v>
      </c>
      <c r="F1295">
        <v>10000</v>
      </c>
      <c r="G1295" s="13">
        <v>41619</v>
      </c>
      <c r="H1295" s="13">
        <v>41712</v>
      </c>
      <c r="I1295">
        <v>10000</v>
      </c>
      <c r="K1295">
        <v>10000</v>
      </c>
      <c r="N1295">
        <v>0</v>
      </c>
      <c r="O1295">
        <v>2.56</v>
      </c>
      <c r="P1295">
        <v>96.67</v>
      </c>
      <c r="Q1295">
        <v>3.2</v>
      </c>
      <c r="T1295">
        <v>99.352888888888884</v>
      </c>
      <c r="W1295" t="s">
        <v>497</v>
      </c>
    </row>
    <row r="1296" spans="1:23" x14ac:dyDescent="0.25">
      <c r="A1296" t="s">
        <v>1747</v>
      </c>
      <c r="B1296" t="str">
        <f t="shared" si="20"/>
        <v>GA1100000122</v>
      </c>
      <c r="C1296" t="s">
        <v>227</v>
      </c>
      <c r="D1296" t="s">
        <v>77</v>
      </c>
      <c r="E1296" t="s">
        <v>78</v>
      </c>
      <c r="F1296">
        <v>5500</v>
      </c>
      <c r="G1296" s="13">
        <v>41626</v>
      </c>
      <c r="H1296" s="13">
        <v>41719</v>
      </c>
      <c r="I1296">
        <v>2500</v>
      </c>
      <c r="J1296">
        <v>3000</v>
      </c>
      <c r="K1296">
        <v>5500</v>
      </c>
      <c r="N1296">
        <v>0</v>
      </c>
      <c r="O1296">
        <v>2.9818099999999998</v>
      </c>
      <c r="P1296">
        <v>36.666600000000003</v>
      </c>
      <c r="Q1296">
        <v>3.5</v>
      </c>
      <c r="R1296">
        <v>2.8</v>
      </c>
      <c r="S1296">
        <v>3.5</v>
      </c>
      <c r="T1296">
        <v>99.246264694444449</v>
      </c>
      <c r="W1296" t="s">
        <v>497</v>
      </c>
    </row>
    <row r="1297" spans="1:23" x14ac:dyDescent="0.25">
      <c r="A1297" t="s">
        <v>1748</v>
      </c>
      <c r="B1297" t="str">
        <f t="shared" si="20"/>
        <v>CM1100000114</v>
      </c>
      <c r="C1297" t="s">
        <v>225</v>
      </c>
      <c r="D1297" t="s">
        <v>77</v>
      </c>
      <c r="E1297" t="s">
        <v>78</v>
      </c>
      <c r="F1297">
        <v>7000</v>
      </c>
      <c r="G1297" s="13">
        <v>41626</v>
      </c>
      <c r="H1297" s="13">
        <v>41719</v>
      </c>
      <c r="I1297">
        <v>5000</v>
      </c>
      <c r="J1297">
        <v>2000</v>
      </c>
      <c r="K1297">
        <v>7000</v>
      </c>
      <c r="N1297">
        <v>0</v>
      </c>
      <c r="O1297">
        <v>2.69</v>
      </c>
      <c r="P1297">
        <v>85</v>
      </c>
      <c r="Q1297">
        <v>3.25</v>
      </c>
      <c r="T1297">
        <v>99.320027777777781</v>
      </c>
      <c r="W1297" t="s">
        <v>497</v>
      </c>
    </row>
    <row r="1298" spans="1:23" x14ac:dyDescent="0.25">
      <c r="A1298" t="s">
        <v>1749</v>
      </c>
      <c r="B1298" t="str">
        <f t="shared" si="20"/>
        <v>CF1200000071</v>
      </c>
      <c r="C1298" t="s">
        <v>634</v>
      </c>
      <c r="D1298" t="s">
        <v>77</v>
      </c>
      <c r="E1298" t="s">
        <v>82</v>
      </c>
      <c r="F1298">
        <v>3000</v>
      </c>
      <c r="G1298" s="13">
        <v>41627</v>
      </c>
      <c r="H1298" s="13">
        <v>41810</v>
      </c>
      <c r="I1298">
        <v>2000</v>
      </c>
      <c r="J1298">
        <v>1000</v>
      </c>
      <c r="K1298">
        <v>3000</v>
      </c>
      <c r="N1298">
        <v>0</v>
      </c>
      <c r="O1298">
        <v>5.5</v>
      </c>
      <c r="P1298">
        <v>100</v>
      </c>
      <c r="Q1298">
        <v>5.25</v>
      </c>
      <c r="R1298">
        <v>5.25</v>
      </c>
      <c r="S1298">
        <v>5.25</v>
      </c>
      <c r="T1298">
        <v>97.234722222222217</v>
      </c>
      <c r="W1298" t="s">
        <v>497</v>
      </c>
    </row>
    <row r="1299" spans="1:23" x14ac:dyDescent="0.25">
      <c r="A1299" t="s">
        <v>1750</v>
      </c>
      <c r="B1299" t="str">
        <f t="shared" si="20"/>
        <v>GA1100000131</v>
      </c>
      <c r="C1299" t="s">
        <v>227</v>
      </c>
      <c r="D1299" t="s">
        <v>77</v>
      </c>
      <c r="E1299" t="s">
        <v>78</v>
      </c>
      <c r="F1299">
        <v>12000</v>
      </c>
      <c r="G1299" s="13">
        <v>41647</v>
      </c>
      <c r="H1299" s="13">
        <v>41740</v>
      </c>
      <c r="I1299">
        <v>6000</v>
      </c>
      <c r="J1299">
        <v>6000</v>
      </c>
      <c r="K1299">
        <v>12000</v>
      </c>
      <c r="N1299">
        <v>0</v>
      </c>
      <c r="O1299">
        <v>3.42</v>
      </c>
      <c r="P1299">
        <v>80</v>
      </c>
      <c r="Q1299">
        <v>3.9</v>
      </c>
      <c r="T1299">
        <v>99.135499999999993</v>
      </c>
      <c r="W1299" t="s">
        <v>497</v>
      </c>
    </row>
    <row r="1300" spans="1:23" x14ac:dyDescent="0.25">
      <c r="A1300" t="s">
        <v>1751</v>
      </c>
      <c r="B1300" t="str">
        <f t="shared" si="20"/>
        <v>GA1200000031</v>
      </c>
      <c r="C1300" t="s">
        <v>227</v>
      </c>
      <c r="D1300" t="s">
        <v>77</v>
      </c>
      <c r="E1300" t="s">
        <v>82</v>
      </c>
      <c r="F1300">
        <v>10000</v>
      </c>
      <c r="G1300" s="13">
        <v>41661</v>
      </c>
      <c r="H1300" s="13">
        <v>41845</v>
      </c>
      <c r="I1300">
        <v>6000</v>
      </c>
      <c r="J1300">
        <v>4000</v>
      </c>
      <c r="K1300">
        <v>10000</v>
      </c>
      <c r="N1300">
        <v>0</v>
      </c>
      <c r="O1300">
        <v>3.24</v>
      </c>
      <c r="P1300">
        <v>210</v>
      </c>
      <c r="Q1300">
        <v>3.35</v>
      </c>
      <c r="T1300">
        <v>98.361999999999995</v>
      </c>
      <c r="W1300" t="s">
        <v>497</v>
      </c>
    </row>
    <row r="1301" spans="1:23" x14ac:dyDescent="0.25">
      <c r="A1301" t="s">
        <v>1752</v>
      </c>
      <c r="B1301" t="str">
        <f t="shared" si="20"/>
        <v>CM1100000122</v>
      </c>
      <c r="C1301" t="s">
        <v>225</v>
      </c>
      <c r="D1301" t="s">
        <v>77</v>
      </c>
      <c r="E1301" t="s">
        <v>78</v>
      </c>
      <c r="F1301">
        <v>5000</v>
      </c>
      <c r="G1301" s="13">
        <v>41661</v>
      </c>
      <c r="H1301" s="13">
        <v>41754</v>
      </c>
      <c r="I1301">
        <v>5000</v>
      </c>
      <c r="K1301">
        <v>5000</v>
      </c>
      <c r="N1301">
        <v>0</v>
      </c>
      <c r="O1301">
        <v>2.59</v>
      </c>
      <c r="P1301">
        <v>465.00000000000006</v>
      </c>
      <c r="Q1301">
        <v>2.7</v>
      </c>
      <c r="T1301">
        <v>99.345305555555555</v>
      </c>
      <c r="W1301" t="s">
        <v>497</v>
      </c>
    </row>
    <row r="1302" spans="1:23" x14ac:dyDescent="0.25">
      <c r="A1302" t="s">
        <v>1753</v>
      </c>
      <c r="B1302" t="str">
        <f t="shared" si="20"/>
        <v>CM1100000131</v>
      </c>
      <c r="C1302" t="s">
        <v>225</v>
      </c>
      <c r="D1302" t="s">
        <v>77</v>
      </c>
      <c r="E1302" t="s">
        <v>78</v>
      </c>
      <c r="F1302">
        <v>5000</v>
      </c>
      <c r="G1302" s="13">
        <v>41668</v>
      </c>
      <c r="H1302" s="13">
        <v>41761</v>
      </c>
      <c r="K1302">
        <v>0</v>
      </c>
      <c r="N1302">
        <v>0</v>
      </c>
      <c r="O1302">
        <v>2.42</v>
      </c>
      <c r="P1302">
        <v>509.99999999999994</v>
      </c>
      <c r="T1302">
        <v>99.388277777777773</v>
      </c>
      <c r="W1302" t="s">
        <v>497</v>
      </c>
    </row>
    <row r="1303" spans="1:23" x14ac:dyDescent="0.25">
      <c r="A1303" t="s">
        <v>1754</v>
      </c>
      <c r="B1303" t="str">
        <f t="shared" si="20"/>
        <v>CM1200000162</v>
      </c>
      <c r="C1303" t="s">
        <v>225</v>
      </c>
      <c r="D1303" t="s">
        <v>77</v>
      </c>
      <c r="E1303" t="s">
        <v>82</v>
      </c>
      <c r="F1303">
        <v>5000</v>
      </c>
      <c r="G1303" s="13">
        <v>41682</v>
      </c>
      <c r="H1303" s="13">
        <v>41866</v>
      </c>
      <c r="I1303">
        <v>4700</v>
      </c>
      <c r="J1303">
        <v>300</v>
      </c>
      <c r="K1303">
        <v>5000</v>
      </c>
      <c r="N1303">
        <v>0</v>
      </c>
      <c r="O1303">
        <v>2.294</v>
      </c>
      <c r="P1303">
        <v>516</v>
      </c>
      <c r="Q1303">
        <v>2.5</v>
      </c>
      <c r="R1303">
        <v>2</v>
      </c>
      <c r="S1303">
        <v>4.5</v>
      </c>
      <c r="T1303">
        <v>98.840255555555558</v>
      </c>
      <c r="W1303" t="s">
        <v>497</v>
      </c>
    </row>
    <row r="1304" spans="1:23" x14ac:dyDescent="0.25">
      <c r="A1304" t="s">
        <v>1755</v>
      </c>
      <c r="B1304" t="str">
        <f t="shared" si="20"/>
        <v>CF1200000088</v>
      </c>
      <c r="C1304" t="s">
        <v>634</v>
      </c>
      <c r="D1304" t="s">
        <v>77</v>
      </c>
      <c r="E1304" t="s">
        <v>82</v>
      </c>
      <c r="F1304">
        <v>2500</v>
      </c>
      <c r="G1304" s="13">
        <v>41691</v>
      </c>
      <c r="H1304" s="13">
        <v>41873</v>
      </c>
      <c r="I1304">
        <v>2500</v>
      </c>
      <c r="K1304">
        <v>2500</v>
      </c>
      <c r="N1304">
        <v>0</v>
      </c>
      <c r="O1304">
        <v>5.5</v>
      </c>
      <c r="P1304">
        <v>100</v>
      </c>
      <c r="Q1304">
        <v>5.5</v>
      </c>
      <c r="R1304">
        <v>5.5</v>
      </c>
      <c r="S1304">
        <v>5.5</v>
      </c>
      <c r="T1304">
        <v>97.25</v>
      </c>
      <c r="W1304" t="s">
        <v>497</v>
      </c>
    </row>
    <row r="1305" spans="1:23" x14ac:dyDescent="0.25">
      <c r="A1305" t="s">
        <v>1756</v>
      </c>
      <c r="B1305" t="str">
        <f t="shared" si="20"/>
        <v>CM1200000171</v>
      </c>
      <c r="C1305" t="s">
        <v>225</v>
      </c>
      <c r="D1305" t="s">
        <v>77</v>
      </c>
      <c r="E1305" t="s">
        <v>82</v>
      </c>
      <c r="F1305">
        <v>5000</v>
      </c>
      <c r="G1305" s="13">
        <v>41696</v>
      </c>
      <c r="H1305" s="13">
        <v>41880</v>
      </c>
      <c r="I1305">
        <v>5000</v>
      </c>
      <c r="K1305">
        <v>5000</v>
      </c>
      <c r="N1305">
        <v>0</v>
      </c>
      <c r="O1305">
        <v>1.98</v>
      </c>
      <c r="P1305">
        <v>570</v>
      </c>
      <c r="Q1305">
        <v>2</v>
      </c>
      <c r="T1305">
        <v>98.998999999999995</v>
      </c>
      <c r="W1305" t="s">
        <v>497</v>
      </c>
    </row>
    <row r="1306" spans="1:23" x14ac:dyDescent="0.25">
      <c r="A1306" t="s">
        <v>1757</v>
      </c>
      <c r="B1306" t="str">
        <f t="shared" si="20"/>
        <v>CM1200000188</v>
      </c>
      <c r="C1306" t="s">
        <v>225</v>
      </c>
      <c r="D1306" t="s">
        <v>77</v>
      </c>
      <c r="E1306" t="s">
        <v>82</v>
      </c>
      <c r="F1306">
        <v>5000</v>
      </c>
      <c r="G1306" s="13">
        <v>41710</v>
      </c>
      <c r="H1306" s="13">
        <v>41894</v>
      </c>
      <c r="I1306">
        <v>5000</v>
      </c>
      <c r="K1306">
        <v>5000</v>
      </c>
      <c r="N1306">
        <v>0</v>
      </c>
      <c r="O1306">
        <v>1.49</v>
      </c>
      <c r="P1306">
        <v>501.36</v>
      </c>
      <c r="Q1306">
        <v>1.55</v>
      </c>
      <c r="T1306">
        <v>99.246722222222218</v>
      </c>
      <c r="W1306" t="s">
        <v>497</v>
      </c>
    </row>
    <row r="1307" spans="1:23" x14ac:dyDescent="0.25">
      <c r="A1307" t="s">
        <v>1758</v>
      </c>
      <c r="B1307" t="str">
        <f t="shared" ref="B1307:B1370" si="21">MID(A1307,1,12)</f>
        <v>CM1300000104</v>
      </c>
      <c r="C1307" t="s">
        <v>225</v>
      </c>
      <c r="D1307" t="s">
        <v>77</v>
      </c>
      <c r="E1307" t="s">
        <v>287</v>
      </c>
      <c r="F1307">
        <v>5000</v>
      </c>
      <c r="G1307" s="13">
        <v>41759</v>
      </c>
      <c r="H1307" s="13">
        <v>42128</v>
      </c>
      <c r="I1307">
        <v>667</v>
      </c>
      <c r="J1307">
        <v>4333</v>
      </c>
      <c r="K1307">
        <v>5000</v>
      </c>
      <c r="N1307">
        <v>0</v>
      </c>
      <c r="O1307">
        <v>1.88</v>
      </c>
      <c r="P1307">
        <v>587</v>
      </c>
      <c r="Q1307">
        <v>1.95</v>
      </c>
      <c r="T1307">
        <v>98.083444444444439</v>
      </c>
      <c r="W1307" t="s">
        <v>497</v>
      </c>
    </row>
    <row r="1308" spans="1:23" x14ac:dyDescent="0.25">
      <c r="A1308" t="s">
        <v>1759</v>
      </c>
      <c r="B1308" t="str">
        <f t="shared" si="21"/>
        <v>CM1200000196</v>
      </c>
      <c r="C1308" t="s">
        <v>225</v>
      </c>
      <c r="D1308" t="s">
        <v>77</v>
      </c>
      <c r="E1308" t="s">
        <v>82</v>
      </c>
      <c r="F1308">
        <v>10000</v>
      </c>
      <c r="G1308" s="13">
        <v>41773</v>
      </c>
      <c r="H1308" s="13">
        <v>41957</v>
      </c>
      <c r="I1308">
        <v>4667</v>
      </c>
      <c r="J1308">
        <v>5333</v>
      </c>
      <c r="K1308">
        <v>10000</v>
      </c>
      <c r="N1308">
        <v>0</v>
      </c>
      <c r="O1308">
        <v>1.45</v>
      </c>
      <c r="P1308">
        <v>333</v>
      </c>
      <c r="Q1308">
        <v>1.5</v>
      </c>
      <c r="T1308">
        <v>99.266944444444448</v>
      </c>
      <c r="W1308" t="s">
        <v>497</v>
      </c>
    </row>
    <row r="1309" spans="1:23" x14ac:dyDescent="0.25">
      <c r="A1309" t="s">
        <v>1760</v>
      </c>
      <c r="B1309" t="str">
        <f t="shared" si="21"/>
        <v>CM1300000112</v>
      </c>
      <c r="C1309" t="s">
        <v>225</v>
      </c>
      <c r="D1309" t="s">
        <v>77</v>
      </c>
      <c r="E1309" t="s">
        <v>287</v>
      </c>
      <c r="F1309">
        <v>10000</v>
      </c>
      <c r="G1309" s="13">
        <v>41787</v>
      </c>
      <c r="H1309" s="13">
        <v>42153</v>
      </c>
      <c r="I1309">
        <v>7050</v>
      </c>
      <c r="J1309">
        <v>2950</v>
      </c>
      <c r="K1309">
        <v>10000</v>
      </c>
      <c r="N1309">
        <v>0</v>
      </c>
      <c r="O1309">
        <v>1.91</v>
      </c>
      <c r="P1309">
        <v>203.5</v>
      </c>
      <c r="Q1309">
        <v>2.0499999999999998</v>
      </c>
      <c r="T1309">
        <v>98.068777777777782</v>
      </c>
      <c r="W1309" t="s">
        <v>497</v>
      </c>
    </row>
    <row r="1310" spans="1:23" x14ac:dyDescent="0.25">
      <c r="A1310" t="s">
        <v>1761</v>
      </c>
      <c r="B1310" t="str">
        <f t="shared" si="21"/>
        <v>CM1200000204</v>
      </c>
      <c r="C1310" t="s">
        <v>225</v>
      </c>
      <c r="D1310" t="s">
        <v>77</v>
      </c>
      <c r="E1310" t="s">
        <v>82</v>
      </c>
      <c r="F1310">
        <v>10000</v>
      </c>
      <c r="G1310" s="13">
        <v>41794</v>
      </c>
      <c r="H1310" s="13">
        <v>41978</v>
      </c>
      <c r="I1310">
        <v>4925</v>
      </c>
      <c r="J1310">
        <v>5075</v>
      </c>
      <c r="K1310">
        <v>10000</v>
      </c>
      <c r="N1310">
        <v>0</v>
      </c>
      <c r="O1310">
        <v>1.5</v>
      </c>
      <c r="P1310">
        <v>197</v>
      </c>
      <c r="Q1310">
        <v>1.6</v>
      </c>
      <c r="T1310">
        <v>99.24166666666666</v>
      </c>
      <c r="W1310" t="s">
        <v>497</v>
      </c>
    </row>
    <row r="1311" spans="1:23" x14ac:dyDescent="0.25">
      <c r="A1311" t="s">
        <v>1762</v>
      </c>
      <c r="B1311" t="str">
        <f t="shared" si="21"/>
        <v>CF1200000096</v>
      </c>
      <c r="C1311" t="s">
        <v>634</v>
      </c>
      <c r="D1311" t="s">
        <v>77</v>
      </c>
      <c r="E1311" t="s">
        <v>82</v>
      </c>
      <c r="F1311">
        <v>3000</v>
      </c>
      <c r="G1311" s="13">
        <v>41801</v>
      </c>
      <c r="H1311" s="13">
        <v>41985</v>
      </c>
      <c r="I1311">
        <v>2000</v>
      </c>
      <c r="J1311">
        <v>1000</v>
      </c>
      <c r="K1311">
        <v>3000</v>
      </c>
      <c r="N1311">
        <v>0</v>
      </c>
      <c r="O1311">
        <v>5.25</v>
      </c>
      <c r="P1311">
        <v>100</v>
      </c>
      <c r="Q1311">
        <v>5.25</v>
      </c>
      <c r="R1311">
        <v>5.25</v>
      </c>
      <c r="S1311">
        <v>5.25</v>
      </c>
      <c r="T1311">
        <v>97.345833333333331</v>
      </c>
      <c r="W1311" t="s">
        <v>497</v>
      </c>
    </row>
    <row r="1312" spans="1:23" x14ac:dyDescent="0.25">
      <c r="A1312" t="s">
        <v>1763</v>
      </c>
      <c r="B1312" t="str">
        <f t="shared" si="21"/>
        <v>CM1300000121</v>
      </c>
      <c r="C1312" t="s">
        <v>225</v>
      </c>
      <c r="D1312" t="s">
        <v>77</v>
      </c>
      <c r="E1312" t="s">
        <v>287</v>
      </c>
      <c r="F1312">
        <v>10000</v>
      </c>
      <c r="G1312" s="13">
        <v>41815</v>
      </c>
      <c r="H1312" s="13">
        <v>42181</v>
      </c>
      <c r="I1312">
        <v>9955</v>
      </c>
      <c r="J1312">
        <v>45</v>
      </c>
      <c r="K1312">
        <v>10000</v>
      </c>
      <c r="N1312">
        <v>0</v>
      </c>
      <c r="O1312">
        <v>1.87</v>
      </c>
      <c r="P1312">
        <v>357.5</v>
      </c>
      <c r="Q1312">
        <v>2</v>
      </c>
      <c r="T1312">
        <v>98.109222222222229</v>
      </c>
      <c r="W1312" t="s">
        <v>497</v>
      </c>
    </row>
    <row r="1313" spans="1:23" x14ac:dyDescent="0.25">
      <c r="A1313" t="s">
        <v>1764</v>
      </c>
      <c r="B1313" t="str">
        <f t="shared" si="21"/>
        <v>CM1300000138</v>
      </c>
      <c r="C1313" t="s">
        <v>225</v>
      </c>
      <c r="D1313" t="s">
        <v>77</v>
      </c>
      <c r="E1313" t="s">
        <v>287</v>
      </c>
      <c r="F1313">
        <v>10000</v>
      </c>
      <c r="G1313" s="13">
        <v>41829</v>
      </c>
      <c r="H1313" s="13">
        <v>42195</v>
      </c>
      <c r="I1313">
        <v>10000</v>
      </c>
      <c r="J1313">
        <v>0</v>
      </c>
      <c r="K1313">
        <v>10000</v>
      </c>
      <c r="N1313">
        <v>0</v>
      </c>
      <c r="O1313">
        <v>1.69</v>
      </c>
      <c r="P1313">
        <v>282.5</v>
      </c>
      <c r="Q1313">
        <v>1.85</v>
      </c>
      <c r="T1313">
        <v>98.291222222222217</v>
      </c>
      <c r="W1313" t="s">
        <v>497</v>
      </c>
    </row>
    <row r="1314" spans="1:23" x14ac:dyDescent="0.25">
      <c r="A1314" t="s">
        <v>1765</v>
      </c>
      <c r="B1314" t="str">
        <f t="shared" si="21"/>
        <v>CM1200000212</v>
      </c>
      <c r="C1314" t="s">
        <v>225</v>
      </c>
      <c r="D1314" t="s">
        <v>77</v>
      </c>
      <c r="E1314" t="s">
        <v>82</v>
      </c>
      <c r="F1314">
        <v>10000</v>
      </c>
      <c r="G1314" s="13">
        <v>41850</v>
      </c>
      <c r="H1314" s="13">
        <v>42034</v>
      </c>
      <c r="K1314">
        <v>0</v>
      </c>
      <c r="N1314">
        <v>0</v>
      </c>
      <c r="O1314">
        <v>1.48</v>
      </c>
      <c r="P1314">
        <v>378.5</v>
      </c>
      <c r="T1314">
        <v>99.251777777777775</v>
      </c>
      <c r="W1314" t="s">
        <v>497</v>
      </c>
    </row>
    <row r="1315" spans="1:23" x14ac:dyDescent="0.25">
      <c r="A1315" t="s">
        <v>1766</v>
      </c>
      <c r="B1315" t="str">
        <f t="shared" si="21"/>
        <v>CF1200000104</v>
      </c>
      <c r="C1315" t="s">
        <v>634</v>
      </c>
      <c r="D1315" t="s">
        <v>77</v>
      </c>
      <c r="E1315" t="s">
        <v>82</v>
      </c>
      <c r="F1315">
        <v>2500</v>
      </c>
      <c r="G1315" s="13">
        <v>41857</v>
      </c>
      <c r="H1315" s="13">
        <v>42041</v>
      </c>
      <c r="I1315">
        <v>2500</v>
      </c>
      <c r="K1315">
        <v>2500</v>
      </c>
      <c r="N1315">
        <v>0</v>
      </c>
      <c r="O1315">
        <v>5.5</v>
      </c>
      <c r="P1315">
        <v>100</v>
      </c>
      <c r="Q1315">
        <v>5.5</v>
      </c>
      <c r="T1315">
        <v>97.219444444444449</v>
      </c>
      <c r="W1315" t="s">
        <v>497</v>
      </c>
    </row>
    <row r="1316" spans="1:23" x14ac:dyDescent="0.25">
      <c r="A1316" t="s">
        <v>1767</v>
      </c>
      <c r="B1316" t="str">
        <f t="shared" si="21"/>
        <v>CM1100000148</v>
      </c>
      <c r="C1316" t="s">
        <v>225</v>
      </c>
      <c r="D1316" t="s">
        <v>77</v>
      </c>
      <c r="E1316" t="s">
        <v>78</v>
      </c>
      <c r="F1316">
        <v>10000</v>
      </c>
      <c r="G1316" s="13">
        <v>41864</v>
      </c>
      <c r="H1316" s="13">
        <v>41957</v>
      </c>
      <c r="I1316">
        <v>9357</v>
      </c>
      <c r="J1316">
        <v>643</v>
      </c>
      <c r="K1316">
        <v>10000</v>
      </c>
      <c r="N1316">
        <v>0</v>
      </c>
      <c r="O1316">
        <v>1.2825</v>
      </c>
      <c r="P1316">
        <v>322.5</v>
      </c>
      <c r="Q1316">
        <v>1.5</v>
      </c>
      <c r="R1316">
        <v>1.05</v>
      </c>
      <c r="S1316">
        <v>3.5</v>
      </c>
      <c r="T1316">
        <v>99.675812500000006</v>
      </c>
      <c r="W1316" t="s">
        <v>497</v>
      </c>
    </row>
    <row r="1317" spans="1:23" x14ac:dyDescent="0.25">
      <c r="A1317" t="s">
        <v>1768</v>
      </c>
      <c r="B1317" t="str">
        <f t="shared" si="21"/>
        <v>CM1200000221</v>
      </c>
      <c r="C1317" t="s">
        <v>225</v>
      </c>
      <c r="D1317" t="s">
        <v>77</v>
      </c>
      <c r="E1317" t="s">
        <v>82</v>
      </c>
      <c r="F1317">
        <v>10000</v>
      </c>
      <c r="G1317" s="13">
        <v>41871</v>
      </c>
      <c r="H1317" s="13">
        <v>42055</v>
      </c>
      <c r="I1317">
        <v>7500</v>
      </c>
      <c r="J1317">
        <v>2500</v>
      </c>
      <c r="K1317">
        <v>10000</v>
      </c>
      <c r="N1317">
        <v>0</v>
      </c>
      <c r="O1317">
        <v>1.52</v>
      </c>
      <c r="P1317">
        <v>205.50000000000003</v>
      </c>
      <c r="Q1317">
        <v>1.6</v>
      </c>
      <c r="R1317">
        <v>1.45</v>
      </c>
      <c r="S1317">
        <v>3.5</v>
      </c>
      <c r="T1317">
        <v>99.231555555555559</v>
      </c>
      <c r="W1317" t="s">
        <v>497</v>
      </c>
    </row>
    <row r="1318" spans="1:23" x14ac:dyDescent="0.25">
      <c r="A1318" t="s">
        <v>1769</v>
      </c>
      <c r="B1318" t="str">
        <f t="shared" si="21"/>
        <v>GA1200000048</v>
      </c>
      <c r="C1318" t="s">
        <v>227</v>
      </c>
      <c r="D1318" t="s">
        <v>77</v>
      </c>
      <c r="E1318" t="s">
        <v>82</v>
      </c>
      <c r="F1318">
        <v>8000</v>
      </c>
      <c r="G1318" s="13">
        <v>41871</v>
      </c>
      <c r="H1318" s="13">
        <v>42055</v>
      </c>
      <c r="I1318">
        <v>2000</v>
      </c>
      <c r="J1318">
        <v>6000</v>
      </c>
      <c r="K1318">
        <v>8000</v>
      </c>
      <c r="N1318">
        <v>0</v>
      </c>
      <c r="O1318">
        <v>1.8187500000000001</v>
      </c>
      <c r="P1318">
        <v>130.625</v>
      </c>
      <c r="Q1318">
        <v>2.5</v>
      </c>
      <c r="R1318">
        <v>1.45</v>
      </c>
      <c r="S1318">
        <v>3.6</v>
      </c>
      <c r="T1318">
        <v>99.080520833333338</v>
      </c>
      <c r="W1318" t="s">
        <v>497</v>
      </c>
    </row>
    <row r="1319" spans="1:23" x14ac:dyDescent="0.25">
      <c r="A1319" t="s">
        <v>1770</v>
      </c>
      <c r="B1319" t="str">
        <f t="shared" si="21"/>
        <v>GA1200000055</v>
      </c>
      <c r="C1319" t="s">
        <v>227</v>
      </c>
      <c r="D1319" t="s">
        <v>77</v>
      </c>
      <c r="E1319" t="s">
        <v>82</v>
      </c>
      <c r="F1319">
        <v>7000</v>
      </c>
      <c r="G1319" s="13">
        <v>41878</v>
      </c>
      <c r="H1319" s="13">
        <v>42062</v>
      </c>
      <c r="I1319">
        <v>5000</v>
      </c>
      <c r="J1319">
        <v>2000</v>
      </c>
      <c r="K1319">
        <v>7000</v>
      </c>
      <c r="N1319">
        <v>0</v>
      </c>
      <c r="O1319">
        <v>2.4500000000000002</v>
      </c>
      <c r="P1319">
        <v>110.00000000000001</v>
      </c>
      <c r="Q1319">
        <v>2.75</v>
      </c>
      <c r="R1319">
        <v>2.15</v>
      </c>
      <c r="S1319">
        <v>3.5</v>
      </c>
      <c r="T1319">
        <v>98.761388888888888</v>
      </c>
      <c r="W1319" t="s">
        <v>497</v>
      </c>
    </row>
    <row r="1320" spans="1:23" x14ac:dyDescent="0.25">
      <c r="A1320" t="s">
        <v>1771</v>
      </c>
      <c r="B1320" t="str">
        <f t="shared" si="21"/>
        <v>CM1200000238</v>
      </c>
      <c r="C1320" t="s">
        <v>225</v>
      </c>
      <c r="D1320" t="s">
        <v>77</v>
      </c>
      <c r="E1320" t="s">
        <v>82</v>
      </c>
      <c r="F1320">
        <v>10000</v>
      </c>
      <c r="G1320" s="13">
        <v>41885</v>
      </c>
      <c r="H1320" s="13">
        <v>42069</v>
      </c>
      <c r="I1320">
        <v>9000</v>
      </c>
      <c r="J1320">
        <v>1000</v>
      </c>
      <c r="K1320">
        <v>10000</v>
      </c>
      <c r="N1320">
        <v>0</v>
      </c>
      <c r="O1320">
        <v>1.5549999999999999</v>
      </c>
      <c r="P1320">
        <v>213.49999999999997</v>
      </c>
      <c r="Q1320">
        <v>1.8</v>
      </c>
      <c r="R1320">
        <v>1.4</v>
      </c>
      <c r="S1320">
        <v>3.2</v>
      </c>
      <c r="T1320">
        <v>99.213861111111115</v>
      </c>
      <c r="W1320" t="s">
        <v>497</v>
      </c>
    </row>
    <row r="1321" spans="1:23" x14ac:dyDescent="0.25">
      <c r="A1321" t="s">
        <v>1772</v>
      </c>
      <c r="B1321" t="str">
        <f t="shared" si="21"/>
        <v>GA1200000063</v>
      </c>
      <c r="C1321" t="s">
        <v>227</v>
      </c>
      <c r="D1321" t="s">
        <v>77</v>
      </c>
      <c r="E1321" t="s">
        <v>82</v>
      </c>
      <c r="F1321">
        <v>10000</v>
      </c>
      <c r="G1321" s="13">
        <v>41892</v>
      </c>
      <c r="H1321" s="13">
        <v>42076</v>
      </c>
      <c r="I1321">
        <v>2000</v>
      </c>
      <c r="J1321">
        <v>8000</v>
      </c>
      <c r="K1321">
        <v>10000</v>
      </c>
      <c r="N1321">
        <v>0</v>
      </c>
      <c r="O1321">
        <v>2.27</v>
      </c>
      <c r="P1321">
        <v>106</v>
      </c>
      <c r="Q1321">
        <v>2.8</v>
      </c>
      <c r="T1321">
        <v>98.852388888888882</v>
      </c>
      <c r="W1321" t="s">
        <v>497</v>
      </c>
    </row>
    <row r="1322" spans="1:23" x14ac:dyDescent="0.25">
      <c r="A1322" t="s">
        <v>1773</v>
      </c>
      <c r="B1322" t="str">
        <f t="shared" si="21"/>
        <v>CM1200000246</v>
      </c>
      <c r="C1322" t="s">
        <v>225</v>
      </c>
      <c r="D1322" t="s">
        <v>77</v>
      </c>
      <c r="E1322" t="s">
        <v>82</v>
      </c>
      <c r="F1322">
        <v>4000</v>
      </c>
      <c r="G1322" s="13">
        <v>41920</v>
      </c>
      <c r="H1322" s="13">
        <v>42104</v>
      </c>
      <c r="I1322">
        <v>3500</v>
      </c>
      <c r="J1322">
        <v>500</v>
      </c>
      <c r="K1322">
        <v>4000</v>
      </c>
      <c r="N1322">
        <v>0</v>
      </c>
      <c r="O1322">
        <v>1.8</v>
      </c>
      <c r="P1322">
        <v>153</v>
      </c>
      <c r="Q1322">
        <v>1.9</v>
      </c>
      <c r="T1322">
        <v>99.09</v>
      </c>
      <c r="W1322" t="s">
        <v>497</v>
      </c>
    </row>
    <row r="1323" spans="1:23" x14ac:dyDescent="0.25">
      <c r="A1323" t="s">
        <v>1774</v>
      </c>
      <c r="B1323" t="str">
        <f t="shared" si="21"/>
        <v>GA1200000071</v>
      </c>
      <c r="C1323" t="s">
        <v>227</v>
      </c>
      <c r="D1323" t="s">
        <v>77</v>
      </c>
      <c r="E1323" t="s">
        <v>82</v>
      </c>
      <c r="F1323">
        <v>9800</v>
      </c>
      <c r="G1323" s="13">
        <v>41927</v>
      </c>
      <c r="H1323" s="13">
        <v>42111</v>
      </c>
      <c r="I1323">
        <v>4500</v>
      </c>
      <c r="J1323">
        <v>5300</v>
      </c>
      <c r="K1323">
        <v>9800</v>
      </c>
      <c r="N1323">
        <v>0</v>
      </c>
      <c r="O1323">
        <v>2.6836700000000002</v>
      </c>
      <c r="P1323">
        <v>65.333300000000008</v>
      </c>
      <c r="Q1323">
        <v>3.8</v>
      </c>
      <c r="R1323">
        <v>2.4</v>
      </c>
      <c r="S1323">
        <v>3.8</v>
      </c>
      <c r="T1323">
        <v>98.643255722222221</v>
      </c>
      <c r="W1323" t="s">
        <v>497</v>
      </c>
    </row>
    <row r="1324" spans="1:23" x14ac:dyDescent="0.25">
      <c r="A1324" t="s">
        <v>1775</v>
      </c>
      <c r="B1324" t="str">
        <f t="shared" si="21"/>
        <v>GA1100000148</v>
      </c>
      <c r="C1324" t="s">
        <v>227</v>
      </c>
      <c r="D1324" t="s">
        <v>77</v>
      </c>
      <c r="E1324" t="s">
        <v>78</v>
      </c>
      <c r="F1324">
        <v>3800</v>
      </c>
      <c r="G1324" s="13">
        <v>41941</v>
      </c>
      <c r="H1324" s="13">
        <v>42034</v>
      </c>
      <c r="I1324">
        <v>300</v>
      </c>
      <c r="J1324">
        <v>3500</v>
      </c>
      <c r="K1324">
        <v>3800</v>
      </c>
      <c r="N1324">
        <v>0</v>
      </c>
      <c r="O1324">
        <v>1.9592099999999999</v>
      </c>
      <c r="P1324">
        <v>64.5</v>
      </c>
      <c r="Q1324">
        <v>2.85</v>
      </c>
      <c r="R1324">
        <v>1.55</v>
      </c>
      <c r="S1324">
        <v>4.5</v>
      </c>
      <c r="T1324">
        <v>99.504755250000002</v>
      </c>
      <c r="W1324" t="s">
        <v>497</v>
      </c>
    </row>
    <row r="1325" spans="1:23" x14ac:dyDescent="0.25">
      <c r="A1325" t="s">
        <v>1776</v>
      </c>
      <c r="B1325" t="str">
        <f t="shared" si="21"/>
        <v>TD1100000017</v>
      </c>
      <c r="C1325" t="s">
        <v>237</v>
      </c>
      <c r="D1325" t="s">
        <v>77</v>
      </c>
      <c r="E1325" t="s">
        <v>78</v>
      </c>
      <c r="F1325">
        <v>1000</v>
      </c>
      <c r="G1325" s="13">
        <v>41934</v>
      </c>
      <c r="H1325" s="13">
        <v>42027</v>
      </c>
      <c r="J1325">
        <v>1000</v>
      </c>
      <c r="K1325">
        <v>1000</v>
      </c>
      <c r="N1325">
        <v>0</v>
      </c>
      <c r="O1325">
        <v>2.625</v>
      </c>
      <c r="P1325">
        <v>177.5</v>
      </c>
      <c r="Q1325">
        <v>2.75</v>
      </c>
      <c r="T1325">
        <v>99.33645833333334</v>
      </c>
      <c r="W1325" t="s">
        <v>497</v>
      </c>
    </row>
    <row r="1326" spans="1:23" x14ac:dyDescent="0.25">
      <c r="A1326" t="s">
        <v>1777</v>
      </c>
      <c r="B1326" t="str">
        <f t="shared" si="21"/>
        <v>CM1100000155</v>
      </c>
      <c r="C1326" t="s">
        <v>225</v>
      </c>
      <c r="D1326" t="s">
        <v>77</v>
      </c>
      <c r="E1326" t="s">
        <v>78</v>
      </c>
      <c r="F1326">
        <v>7000</v>
      </c>
      <c r="G1326" s="13">
        <v>41941</v>
      </c>
      <c r="H1326" s="13">
        <v>42034</v>
      </c>
      <c r="I1326">
        <v>6000</v>
      </c>
      <c r="J1326">
        <v>1000</v>
      </c>
      <c r="K1326">
        <v>7000</v>
      </c>
      <c r="N1326">
        <v>0</v>
      </c>
      <c r="O1326">
        <v>1.5</v>
      </c>
      <c r="P1326">
        <v>130</v>
      </c>
      <c r="Q1326">
        <v>1.7</v>
      </c>
      <c r="T1326">
        <v>99.620833333333337</v>
      </c>
      <c r="W1326" t="s">
        <v>497</v>
      </c>
    </row>
    <row r="1327" spans="1:23" x14ac:dyDescent="0.25">
      <c r="A1327" t="s">
        <v>1773</v>
      </c>
      <c r="B1327" t="str">
        <f t="shared" si="21"/>
        <v>CM1200000246</v>
      </c>
      <c r="C1327" t="s">
        <v>225</v>
      </c>
      <c r="D1327" t="s">
        <v>77</v>
      </c>
      <c r="E1327" t="s">
        <v>82</v>
      </c>
      <c r="F1327">
        <v>4500</v>
      </c>
      <c r="G1327" s="13">
        <v>41955</v>
      </c>
      <c r="H1327" s="13">
        <v>42104</v>
      </c>
      <c r="K1327">
        <v>0</v>
      </c>
      <c r="N1327">
        <v>0</v>
      </c>
      <c r="O1327">
        <v>1.92</v>
      </c>
      <c r="P1327">
        <v>138.32999999999998</v>
      </c>
      <c r="T1327">
        <v>99.215999999999994</v>
      </c>
      <c r="W1327" t="s">
        <v>497</v>
      </c>
    </row>
    <row r="1328" spans="1:23" x14ac:dyDescent="0.25">
      <c r="A1328" t="s">
        <v>1778</v>
      </c>
      <c r="B1328" t="str">
        <f t="shared" si="21"/>
        <v>GA1200000089</v>
      </c>
      <c r="C1328" t="s">
        <v>227</v>
      </c>
      <c r="D1328" t="s">
        <v>77</v>
      </c>
      <c r="E1328" t="s">
        <v>82</v>
      </c>
      <c r="F1328">
        <v>5800</v>
      </c>
      <c r="G1328" s="13">
        <v>41955</v>
      </c>
      <c r="H1328" s="13">
        <v>42139</v>
      </c>
      <c r="I1328">
        <v>3300</v>
      </c>
      <c r="J1328">
        <v>2500</v>
      </c>
      <c r="K1328">
        <v>5800</v>
      </c>
      <c r="N1328">
        <v>0</v>
      </c>
      <c r="O1328">
        <v>2.9474100000000001</v>
      </c>
      <c r="P1328">
        <v>82.5</v>
      </c>
      <c r="Q1328">
        <v>3.4</v>
      </c>
      <c r="R1328">
        <v>2.5</v>
      </c>
      <c r="S1328">
        <v>4.0999999999999996</v>
      </c>
      <c r="T1328">
        <v>98.509920500000007</v>
      </c>
      <c r="W1328" t="s">
        <v>497</v>
      </c>
    </row>
    <row r="1329" spans="1:23" x14ac:dyDescent="0.25">
      <c r="A1329" t="s">
        <v>1779</v>
      </c>
      <c r="B1329" t="str">
        <f t="shared" si="21"/>
        <v>TD1100000025</v>
      </c>
      <c r="C1329" t="s">
        <v>237</v>
      </c>
      <c r="D1329" t="s">
        <v>77</v>
      </c>
      <c r="E1329" t="s">
        <v>78</v>
      </c>
      <c r="F1329">
        <v>8000</v>
      </c>
      <c r="G1329" s="13">
        <v>41962</v>
      </c>
      <c r="H1329" s="13">
        <v>42055</v>
      </c>
      <c r="I1329">
        <v>7000</v>
      </c>
      <c r="J1329">
        <v>1000</v>
      </c>
      <c r="K1329">
        <v>8000</v>
      </c>
      <c r="N1329">
        <v>0</v>
      </c>
      <c r="O1329">
        <v>2.71875</v>
      </c>
      <c r="P1329">
        <v>190</v>
      </c>
      <c r="Q1329">
        <v>2.75</v>
      </c>
      <c r="R1329">
        <v>2.5</v>
      </c>
      <c r="S1329">
        <v>5.5</v>
      </c>
      <c r="T1329">
        <v>99.312760416666663</v>
      </c>
      <c r="W1329" t="s">
        <v>497</v>
      </c>
    </row>
    <row r="1330" spans="1:23" x14ac:dyDescent="0.25">
      <c r="A1330" t="s">
        <v>1780</v>
      </c>
      <c r="B1330" t="str">
        <f t="shared" si="21"/>
        <v>GA1200000097</v>
      </c>
      <c r="C1330" t="s">
        <v>227</v>
      </c>
      <c r="D1330" t="s">
        <v>77</v>
      </c>
      <c r="E1330" t="s">
        <v>82</v>
      </c>
      <c r="F1330">
        <v>2500</v>
      </c>
      <c r="G1330" s="13">
        <v>41962</v>
      </c>
      <c r="H1330" s="13">
        <v>42146</v>
      </c>
      <c r="I1330">
        <v>2500</v>
      </c>
      <c r="K1330">
        <v>2500</v>
      </c>
      <c r="N1330">
        <v>0</v>
      </c>
      <c r="O1330">
        <v>3.29</v>
      </c>
      <c r="P1330">
        <v>45</v>
      </c>
      <c r="Q1330">
        <v>3.4</v>
      </c>
      <c r="T1330">
        <v>98.336722222222221</v>
      </c>
      <c r="W1330" t="s">
        <v>497</v>
      </c>
    </row>
    <row r="1331" spans="1:23" x14ac:dyDescent="0.25">
      <c r="A1331" t="s">
        <v>1781</v>
      </c>
      <c r="B1331" t="str">
        <f t="shared" si="21"/>
        <v>CF1200000121</v>
      </c>
      <c r="C1331" t="s">
        <v>634</v>
      </c>
      <c r="D1331" t="s">
        <v>77</v>
      </c>
      <c r="E1331" t="s">
        <v>82</v>
      </c>
      <c r="F1331">
        <v>3000</v>
      </c>
      <c r="G1331" s="13">
        <v>41976</v>
      </c>
      <c r="H1331" s="13">
        <v>42160</v>
      </c>
      <c r="I1331">
        <v>1000</v>
      </c>
      <c r="J1331">
        <v>2000</v>
      </c>
      <c r="K1331">
        <v>3000</v>
      </c>
      <c r="N1331">
        <v>0</v>
      </c>
      <c r="O1331">
        <v>5.25</v>
      </c>
      <c r="P1331">
        <v>100</v>
      </c>
      <c r="Q1331">
        <v>5.25</v>
      </c>
      <c r="R1331">
        <v>5.25</v>
      </c>
      <c r="S1331">
        <v>5.25</v>
      </c>
      <c r="T1331">
        <v>97.345833333333331</v>
      </c>
      <c r="W1331" t="s">
        <v>497</v>
      </c>
    </row>
    <row r="1332" spans="1:23" x14ac:dyDescent="0.25">
      <c r="A1332" t="s">
        <v>1782</v>
      </c>
      <c r="B1332" t="str">
        <f t="shared" si="21"/>
        <v>CM1100000163</v>
      </c>
      <c r="C1332" t="s">
        <v>225</v>
      </c>
      <c r="D1332" t="s">
        <v>77</v>
      </c>
      <c r="E1332" t="s">
        <v>78</v>
      </c>
      <c r="F1332">
        <v>4500</v>
      </c>
      <c r="G1332" s="13">
        <v>41976</v>
      </c>
      <c r="H1332" s="13">
        <v>42069</v>
      </c>
      <c r="I1332">
        <v>4500</v>
      </c>
      <c r="K1332">
        <v>4500</v>
      </c>
      <c r="N1332">
        <v>0</v>
      </c>
      <c r="O1332">
        <v>1.91</v>
      </c>
      <c r="P1332">
        <v>216</v>
      </c>
      <c r="Q1332">
        <v>2.1</v>
      </c>
      <c r="T1332">
        <v>99.517194444444442</v>
      </c>
      <c r="W1332" t="s">
        <v>497</v>
      </c>
    </row>
    <row r="1333" spans="1:23" x14ac:dyDescent="0.25">
      <c r="A1333" t="s">
        <v>1783</v>
      </c>
      <c r="B1333" t="str">
        <f t="shared" si="21"/>
        <v>TD1100000033</v>
      </c>
      <c r="C1333" t="s">
        <v>237</v>
      </c>
      <c r="D1333" t="s">
        <v>77</v>
      </c>
      <c r="E1333" t="s">
        <v>78</v>
      </c>
      <c r="F1333">
        <v>9500</v>
      </c>
      <c r="G1333" s="13">
        <v>41983</v>
      </c>
      <c r="H1333" s="13">
        <v>42076</v>
      </c>
      <c r="I1333">
        <v>7000</v>
      </c>
      <c r="J1333">
        <v>2500</v>
      </c>
      <c r="K1333">
        <v>9500</v>
      </c>
      <c r="N1333">
        <v>0</v>
      </c>
      <c r="O1333">
        <v>2.81</v>
      </c>
      <c r="P1333">
        <v>120</v>
      </c>
      <c r="Q1333">
        <v>3</v>
      </c>
      <c r="T1333">
        <v>99.28969444444445</v>
      </c>
      <c r="W1333" t="s">
        <v>497</v>
      </c>
    </row>
    <row r="1334" spans="1:23" x14ac:dyDescent="0.25">
      <c r="A1334" t="s">
        <v>1784</v>
      </c>
      <c r="B1334" t="str">
        <f t="shared" si="21"/>
        <v>CM1100000171</v>
      </c>
      <c r="C1334" t="s">
        <v>225</v>
      </c>
      <c r="D1334" t="s">
        <v>77</v>
      </c>
      <c r="E1334" t="s">
        <v>78</v>
      </c>
      <c r="F1334">
        <v>5000</v>
      </c>
      <c r="G1334" s="13">
        <v>41983</v>
      </c>
      <c r="H1334" s="13">
        <v>42076</v>
      </c>
      <c r="I1334">
        <v>2500</v>
      </c>
      <c r="J1334">
        <v>2500</v>
      </c>
      <c r="K1334">
        <v>5000</v>
      </c>
      <c r="N1334">
        <v>0</v>
      </c>
      <c r="O1334">
        <v>1.89</v>
      </c>
      <c r="P1334">
        <v>126</v>
      </c>
      <c r="Q1334">
        <v>2.25</v>
      </c>
      <c r="T1334">
        <v>99.52225</v>
      </c>
      <c r="W1334" t="s">
        <v>497</v>
      </c>
    </row>
    <row r="1335" spans="1:23" x14ac:dyDescent="0.25">
      <c r="A1335" t="s">
        <v>1785</v>
      </c>
      <c r="B1335" t="str">
        <f t="shared" si="21"/>
        <v>GA1200000105</v>
      </c>
      <c r="C1335" t="s">
        <v>227</v>
      </c>
      <c r="D1335" t="s">
        <v>77</v>
      </c>
      <c r="E1335" t="s">
        <v>82</v>
      </c>
      <c r="F1335">
        <v>5000</v>
      </c>
      <c r="G1335" s="13">
        <v>41990</v>
      </c>
      <c r="H1335" s="13">
        <v>42174</v>
      </c>
      <c r="I1335">
        <v>2767</v>
      </c>
      <c r="J1335">
        <v>2233</v>
      </c>
      <c r="K1335">
        <v>5000</v>
      </c>
      <c r="N1335">
        <v>0</v>
      </c>
      <c r="O1335">
        <v>3.5939999999999999</v>
      </c>
      <c r="P1335">
        <v>136</v>
      </c>
      <c r="Q1335">
        <v>3.8</v>
      </c>
      <c r="R1335">
        <v>3</v>
      </c>
      <c r="S1335">
        <v>4</v>
      </c>
      <c r="T1335">
        <v>98.183033333333327</v>
      </c>
      <c r="W1335" t="s">
        <v>497</v>
      </c>
    </row>
    <row r="1336" spans="1:23" x14ac:dyDescent="0.25">
      <c r="A1336" t="s">
        <v>1786</v>
      </c>
      <c r="B1336" t="str">
        <f t="shared" si="21"/>
        <v>TD1100000041</v>
      </c>
      <c r="C1336" t="s">
        <v>237</v>
      </c>
      <c r="D1336" t="s">
        <v>77</v>
      </c>
      <c r="E1336" t="s">
        <v>78</v>
      </c>
      <c r="F1336">
        <v>9000</v>
      </c>
      <c r="G1336" s="13">
        <v>41997</v>
      </c>
      <c r="H1336" s="13">
        <v>42090</v>
      </c>
      <c r="I1336">
        <v>4000</v>
      </c>
      <c r="J1336">
        <v>5000</v>
      </c>
      <c r="K1336">
        <v>9000</v>
      </c>
      <c r="N1336">
        <v>0</v>
      </c>
      <c r="O1336">
        <v>2.87</v>
      </c>
      <c r="P1336">
        <v>185</v>
      </c>
      <c r="Q1336">
        <v>2.95</v>
      </c>
      <c r="T1336">
        <v>99.274527777777777</v>
      </c>
      <c r="W1336" t="s">
        <v>497</v>
      </c>
    </row>
    <row r="1337" spans="1:23" x14ac:dyDescent="0.25">
      <c r="A1337" t="s">
        <v>1787</v>
      </c>
      <c r="B1337" t="str">
        <f t="shared" si="21"/>
        <v>CM1300000146</v>
      </c>
      <c r="C1337" t="s">
        <v>225</v>
      </c>
      <c r="D1337" t="s">
        <v>77</v>
      </c>
      <c r="E1337" t="s">
        <v>287</v>
      </c>
      <c r="F1337">
        <v>5000</v>
      </c>
      <c r="G1337" s="13">
        <v>42011</v>
      </c>
      <c r="H1337" s="13">
        <v>42377</v>
      </c>
      <c r="I1337">
        <v>5000</v>
      </c>
      <c r="J1337">
        <v>0</v>
      </c>
      <c r="K1337">
        <v>5000</v>
      </c>
      <c r="N1337">
        <v>0</v>
      </c>
      <c r="O1337">
        <v>2.5249999999999999</v>
      </c>
      <c r="P1337">
        <v>371</v>
      </c>
      <c r="Q1337">
        <v>2.75</v>
      </c>
      <c r="R1337">
        <v>2.25</v>
      </c>
      <c r="S1337">
        <v>4.5</v>
      </c>
      <c r="T1337">
        <v>97.446944444444441</v>
      </c>
      <c r="W1337" t="s">
        <v>497</v>
      </c>
    </row>
    <row r="1338" spans="1:23" x14ac:dyDescent="0.25">
      <c r="A1338" t="s">
        <v>1788</v>
      </c>
      <c r="B1338" t="str">
        <f t="shared" si="21"/>
        <v>CM1200000253</v>
      </c>
      <c r="C1338" t="s">
        <v>225</v>
      </c>
      <c r="D1338" t="s">
        <v>77</v>
      </c>
      <c r="E1338" t="s">
        <v>82</v>
      </c>
      <c r="F1338">
        <v>10000</v>
      </c>
      <c r="G1338" s="13">
        <v>42025</v>
      </c>
      <c r="H1338" s="13">
        <v>42209</v>
      </c>
      <c r="I1338">
        <v>9359</v>
      </c>
      <c r="J1338">
        <v>641</v>
      </c>
      <c r="K1338">
        <v>10000</v>
      </c>
      <c r="N1338">
        <v>0</v>
      </c>
      <c r="O1338">
        <v>1.9950000000000001</v>
      </c>
      <c r="P1338">
        <v>257.41000000000003</v>
      </c>
      <c r="Q1338">
        <v>2.1</v>
      </c>
      <c r="R1338">
        <v>1.9</v>
      </c>
      <c r="S1338">
        <v>4.5</v>
      </c>
      <c r="T1338">
        <v>98.991416666666666</v>
      </c>
      <c r="W1338" t="s">
        <v>497</v>
      </c>
    </row>
    <row r="1339" spans="1:23" x14ac:dyDescent="0.25">
      <c r="A1339" t="s">
        <v>1789</v>
      </c>
      <c r="B1339" t="str">
        <f t="shared" si="21"/>
        <v>CF1200000138</v>
      </c>
      <c r="C1339" t="s">
        <v>634</v>
      </c>
      <c r="D1339" t="s">
        <v>77</v>
      </c>
      <c r="E1339" t="s">
        <v>82</v>
      </c>
      <c r="F1339">
        <v>2500</v>
      </c>
      <c r="G1339" s="13">
        <v>42032</v>
      </c>
      <c r="H1339" s="13">
        <v>42216</v>
      </c>
      <c r="I1339">
        <v>2500</v>
      </c>
      <c r="J1339">
        <v>0</v>
      </c>
      <c r="K1339">
        <v>2500</v>
      </c>
      <c r="N1339">
        <v>0</v>
      </c>
      <c r="O1339">
        <v>5.25</v>
      </c>
      <c r="P1339">
        <v>100</v>
      </c>
      <c r="Q1339">
        <v>5.25</v>
      </c>
      <c r="R1339">
        <v>5.25</v>
      </c>
      <c r="S1339">
        <v>5.25</v>
      </c>
      <c r="T1339">
        <v>97.345833333333331</v>
      </c>
      <c r="W1339" t="s">
        <v>497</v>
      </c>
    </row>
    <row r="1340" spans="1:23" x14ac:dyDescent="0.25">
      <c r="A1340" t="s">
        <v>1790</v>
      </c>
      <c r="B1340" t="str">
        <f t="shared" si="21"/>
        <v>CM1100000189</v>
      </c>
      <c r="C1340" t="s">
        <v>225</v>
      </c>
      <c r="D1340" t="s">
        <v>77</v>
      </c>
      <c r="E1340" t="s">
        <v>78</v>
      </c>
      <c r="F1340">
        <v>5000</v>
      </c>
      <c r="G1340" s="13">
        <v>42039</v>
      </c>
      <c r="H1340" s="13">
        <v>42132</v>
      </c>
      <c r="I1340">
        <v>5000</v>
      </c>
      <c r="K1340">
        <v>5000</v>
      </c>
      <c r="N1340">
        <v>0</v>
      </c>
      <c r="O1340">
        <v>1.7350000000000001</v>
      </c>
      <c r="P1340">
        <v>425.98</v>
      </c>
      <c r="Q1340">
        <v>1.9</v>
      </c>
      <c r="R1340">
        <v>1.6</v>
      </c>
      <c r="S1340">
        <v>4.5</v>
      </c>
      <c r="T1340">
        <v>99.56143055555556</v>
      </c>
      <c r="W1340" t="s">
        <v>497</v>
      </c>
    </row>
    <row r="1341" spans="1:23" x14ac:dyDescent="0.25">
      <c r="A1341" t="s">
        <v>1791</v>
      </c>
      <c r="B1341" t="str">
        <f t="shared" si="21"/>
        <v>TD1100000058</v>
      </c>
      <c r="C1341" t="s">
        <v>237</v>
      </c>
      <c r="D1341" t="s">
        <v>77</v>
      </c>
      <c r="E1341" t="s">
        <v>78</v>
      </c>
      <c r="F1341">
        <v>10000</v>
      </c>
      <c r="G1341" s="13">
        <v>42046</v>
      </c>
      <c r="H1341" s="13">
        <v>42139</v>
      </c>
      <c r="K1341">
        <v>10000</v>
      </c>
      <c r="N1341">
        <v>0</v>
      </c>
      <c r="O1341">
        <v>2.7</v>
      </c>
      <c r="P1341">
        <v>195</v>
      </c>
      <c r="T1341">
        <v>99.317499999999995</v>
      </c>
      <c r="W1341" t="s">
        <v>497</v>
      </c>
    </row>
    <row r="1342" spans="1:23" x14ac:dyDescent="0.25">
      <c r="A1342" t="s">
        <v>1792</v>
      </c>
      <c r="B1342" t="str">
        <f t="shared" si="21"/>
        <v>CM1300000153</v>
      </c>
      <c r="C1342" t="s">
        <v>225</v>
      </c>
      <c r="D1342" t="s">
        <v>77</v>
      </c>
      <c r="E1342" t="s">
        <v>287</v>
      </c>
      <c r="F1342">
        <v>10000</v>
      </c>
      <c r="G1342" s="13">
        <v>42053</v>
      </c>
      <c r="H1342" s="13">
        <v>42419</v>
      </c>
      <c r="I1342">
        <v>8500</v>
      </c>
      <c r="J1342">
        <v>1500</v>
      </c>
      <c r="K1342">
        <v>10000</v>
      </c>
      <c r="N1342">
        <v>0</v>
      </c>
      <c r="O1342">
        <v>2.16</v>
      </c>
      <c r="P1342">
        <v>219.99</v>
      </c>
      <c r="Q1342">
        <v>2.5</v>
      </c>
      <c r="T1342">
        <v>97.816000000000003</v>
      </c>
      <c r="W1342" t="s">
        <v>497</v>
      </c>
    </row>
    <row r="1343" spans="1:23" x14ac:dyDescent="0.25">
      <c r="A1343" t="s">
        <v>1793</v>
      </c>
      <c r="B1343" t="str">
        <f t="shared" si="21"/>
        <v>GA1200000113</v>
      </c>
      <c r="C1343" t="s">
        <v>227</v>
      </c>
      <c r="D1343" t="s">
        <v>77</v>
      </c>
      <c r="E1343" t="s">
        <v>82</v>
      </c>
      <c r="F1343">
        <v>5000</v>
      </c>
      <c r="G1343" s="13">
        <v>42053</v>
      </c>
      <c r="H1343" s="13">
        <v>42237</v>
      </c>
      <c r="I1343">
        <v>5000</v>
      </c>
      <c r="J1343">
        <v>0</v>
      </c>
      <c r="K1343">
        <v>5000</v>
      </c>
      <c r="N1343">
        <v>0</v>
      </c>
      <c r="O1343">
        <v>2.59</v>
      </c>
      <c r="P1343">
        <v>371</v>
      </c>
      <c r="Q1343">
        <v>2.75</v>
      </c>
      <c r="T1343">
        <v>98.69061111111111</v>
      </c>
      <c r="W1343" t="s">
        <v>497</v>
      </c>
    </row>
    <row r="1344" spans="1:23" x14ac:dyDescent="0.25">
      <c r="A1344" t="s">
        <v>1794</v>
      </c>
      <c r="B1344" t="str">
        <f t="shared" si="21"/>
        <v>GA1200000121</v>
      </c>
      <c r="C1344" t="s">
        <v>227</v>
      </c>
      <c r="D1344" t="s">
        <v>77</v>
      </c>
      <c r="E1344" t="s">
        <v>82</v>
      </c>
      <c r="F1344">
        <v>5000</v>
      </c>
      <c r="G1344" s="13">
        <v>42060</v>
      </c>
      <c r="H1344" s="13">
        <v>42244</v>
      </c>
      <c r="I1344">
        <v>3000</v>
      </c>
      <c r="J1344">
        <v>2000</v>
      </c>
      <c r="K1344">
        <v>5000</v>
      </c>
      <c r="N1344">
        <v>0</v>
      </c>
      <c r="O1344">
        <v>2.16</v>
      </c>
      <c r="P1344">
        <v>260</v>
      </c>
      <c r="Q1344">
        <v>2.4</v>
      </c>
      <c r="T1344">
        <v>98.908000000000001</v>
      </c>
      <c r="W1344" t="s">
        <v>497</v>
      </c>
    </row>
    <row r="1345" spans="1:23" x14ac:dyDescent="0.25">
      <c r="A1345" t="s">
        <v>1795</v>
      </c>
      <c r="B1345" t="str">
        <f t="shared" si="21"/>
        <v>CM1300000161</v>
      </c>
      <c r="C1345" t="s">
        <v>225</v>
      </c>
      <c r="D1345" t="s">
        <v>77</v>
      </c>
      <c r="E1345" t="s">
        <v>287</v>
      </c>
      <c r="F1345">
        <v>10000</v>
      </c>
      <c r="G1345" s="13">
        <v>42067</v>
      </c>
      <c r="H1345" s="13">
        <v>42433</v>
      </c>
      <c r="I1345">
        <v>8750</v>
      </c>
      <c r="J1345">
        <v>1250</v>
      </c>
      <c r="K1345">
        <v>10000</v>
      </c>
      <c r="N1345">
        <v>0</v>
      </c>
      <c r="O1345">
        <v>2.14</v>
      </c>
      <c r="P1345">
        <v>200.5</v>
      </c>
      <c r="Q1345">
        <v>2.4</v>
      </c>
      <c r="T1345">
        <v>97.836222222222219</v>
      </c>
      <c r="W1345" t="s">
        <v>497</v>
      </c>
    </row>
    <row r="1346" spans="1:23" x14ac:dyDescent="0.25">
      <c r="A1346" t="s">
        <v>1796</v>
      </c>
      <c r="B1346" t="str">
        <f t="shared" si="21"/>
        <v>TD1200000016</v>
      </c>
      <c r="C1346" t="s">
        <v>237</v>
      </c>
      <c r="D1346" t="s">
        <v>77</v>
      </c>
      <c r="E1346" t="s">
        <v>82</v>
      </c>
      <c r="F1346">
        <v>15000</v>
      </c>
      <c r="G1346" s="13">
        <v>42067</v>
      </c>
      <c r="H1346" s="13">
        <v>42251</v>
      </c>
      <c r="I1346">
        <v>8438</v>
      </c>
      <c r="J1346">
        <v>6562</v>
      </c>
      <c r="K1346">
        <v>15000</v>
      </c>
      <c r="N1346">
        <v>0</v>
      </c>
      <c r="O1346">
        <v>2.95</v>
      </c>
      <c r="P1346">
        <v>126.66999999999999</v>
      </c>
      <c r="Q1346">
        <v>2.95</v>
      </c>
      <c r="T1346">
        <v>98.508611111111108</v>
      </c>
      <c r="W1346" t="s">
        <v>497</v>
      </c>
    </row>
    <row r="1347" spans="1:23" x14ac:dyDescent="0.25">
      <c r="A1347" t="s">
        <v>1797</v>
      </c>
      <c r="B1347" t="str">
        <f t="shared" si="21"/>
        <v>TD1200000024</v>
      </c>
      <c r="C1347" t="s">
        <v>237</v>
      </c>
      <c r="D1347" t="s">
        <v>77</v>
      </c>
      <c r="E1347" t="s">
        <v>82</v>
      </c>
      <c r="F1347">
        <v>15000</v>
      </c>
      <c r="G1347" s="13">
        <v>42081</v>
      </c>
      <c r="H1347" s="13">
        <v>42265</v>
      </c>
      <c r="I1347">
        <v>9313</v>
      </c>
      <c r="J1347">
        <v>5687</v>
      </c>
      <c r="K1347">
        <v>15000</v>
      </c>
      <c r="N1347">
        <v>0</v>
      </c>
      <c r="O1347">
        <v>2.99</v>
      </c>
      <c r="P1347">
        <v>126.66999999999999</v>
      </c>
      <c r="Q1347">
        <v>3</v>
      </c>
      <c r="T1347">
        <v>98.488388888888892</v>
      </c>
      <c r="W1347" t="s">
        <v>497</v>
      </c>
    </row>
    <row r="1348" spans="1:23" x14ac:dyDescent="0.25">
      <c r="A1348" t="s">
        <v>1798</v>
      </c>
      <c r="B1348" t="str">
        <f t="shared" si="21"/>
        <v>CM1200000261</v>
      </c>
      <c r="C1348" t="s">
        <v>225</v>
      </c>
      <c r="D1348" t="s">
        <v>77</v>
      </c>
      <c r="E1348" t="s">
        <v>82</v>
      </c>
      <c r="F1348">
        <v>5000</v>
      </c>
      <c r="G1348" s="13">
        <v>42081</v>
      </c>
      <c r="H1348" s="13">
        <v>42265</v>
      </c>
      <c r="I1348">
        <v>3800</v>
      </c>
      <c r="J1348">
        <v>1200</v>
      </c>
      <c r="K1348">
        <v>5000</v>
      </c>
      <c r="N1348">
        <v>0</v>
      </c>
      <c r="O1348">
        <v>1.84</v>
      </c>
      <c r="P1348">
        <v>225.99999999999997</v>
      </c>
      <c r="Q1348">
        <v>2</v>
      </c>
      <c r="T1348">
        <v>99.069777777777773</v>
      </c>
      <c r="W1348" t="s">
        <v>497</v>
      </c>
    </row>
    <row r="1349" spans="1:23" x14ac:dyDescent="0.25">
      <c r="A1349" t="s">
        <v>1799</v>
      </c>
      <c r="B1349" t="str">
        <f t="shared" si="21"/>
        <v>GA1200000139</v>
      </c>
      <c r="C1349" t="s">
        <v>227</v>
      </c>
      <c r="D1349" t="s">
        <v>77</v>
      </c>
      <c r="E1349" t="s">
        <v>82</v>
      </c>
      <c r="F1349">
        <v>8000</v>
      </c>
      <c r="G1349" s="13">
        <v>42088</v>
      </c>
      <c r="H1349" s="13">
        <v>42272</v>
      </c>
      <c r="I1349">
        <v>5000</v>
      </c>
      <c r="J1349">
        <v>3000</v>
      </c>
      <c r="K1349">
        <v>8000</v>
      </c>
      <c r="N1349">
        <v>0</v>
      </c>
      <c r="O1349">
        <v>2.3546800000000001</v>
      </c>
      <c r="P1349">
        <v>82.5</v>
      </c>
      <c r="Q1349">
        <v>3.3</v>
      </c>
      <c r="R1349">
        <v>1.95</v>
      </c>
      <c r="S1349">
        <v>4</v>
      </c>
      <c r="T1349">
        <v>98.80957844444444</v>
      </c>
      <c r="W1349" t="s">
        <v>497</v>
      </c>
    </row>
    <row r="1350" spans="1:23" x14ac:dyDescent="0.25">
      <c r="A1350" t="s">
        <v>1800</v>
      </c>
      <c r="B1350" t="str">
        <f t="shared" si="21"/>
        <v>CM1300000179</v>
      </c>
      <c r="C1350" t="s">
        <v>225</v>
      </c>
      <c r="D1350" t="s">
        <v>77</v>
      </c>
      <c r="E1350" t="s">
        <v>287</v>
      </c>
      <c r="F1350">
        <v>5000</v>
      </c>
      <c r="G1350" s="13">
        <v>42102</v>
      </c>
      <c r="H1350" s="13">
        <v>42468</v>
      </c>
      <c r="I1350">
        <v>5000</v>
      </c>
      <c r="K1350">
        <v>5000</v>
      </c>
      <c r="N1350">
        <v>0</v>
      </c>
      <c r="O1350">
        <v>2.1800000000000002</v>
      </c>
      <c r="P1350">
        <v>130</v>
      </c>
      <c r="Q1350">
        <v>2.4</v>
      </c>
      <c r="T1350">
        <v>97.795777777777772</v>
      </c>
      <c r="W1350" t="s">
        <v>497</v>
      </c>
    </row>
    <row r="1351" spans="1:23" x14ac:dyDescent="0.25">
      <c r="A1351" t="s">
        <v>1801</v>
      </c>
      <c r="B1351" t="str">
        <f t="shared" si="21"/>
        <v>TD1200000032</v>
      </c>
      <c r="C1351" t="s">
        <v>237</v>
      </c>
      <c r="D1351" t="s">
        <v>77</v>
      </c>
      <c r="E1351" t="s">
        <v>82</v>
      </c>
      <c r="F1351">
        <v>2000</v>
      </c>
      <c r="G1351" s="13">
        <v>42109</v>
      </c>
      <c r="H1351" s="13">
        <v>42293</v>
      </c>
      <c r="I1351">
        <v>2000</v>
      </c>
      <c r="J1351">
        <v>0</v>
      </c>
      <c r="K1351">
        <v>2000</v>
      </c>
      <c r="N1351">
        <v>0</v>
      </c>
      <c r="O1351">
        <v>3</v>
      </c>
      <c r="P1351">
        <v>33.33</v>
      </c>
      <c r="Q1351">
        <v>3</v>
      </c>
      <c r="T1351">
        <v>98.483333333333334</v>
      </c>
      <c r="W1351" t="s">
        <v>497</v>
      </c>
    </row>
    <row r="1352" spans="1:23" x14ac:dyDescent="0.25">
      <c r="A1352" t="s">
        <v>1802</v>
      </c>
      <c r="B1352" t="str">
        <f t="shared" si="21"/>
        <v>GA1200000154</v>
      </c>
      <c r="C1352" t="s">
        <v>227</v>
      </c>
      <c r="D1352" t="s">
        <v>77</v>
      </c>
      <c r="E1352" t="s">
        <v>82</v>
      </c>
      <c r="F1352">
        <v>10000</v>
      </c>
      <c r="G1352" s="13">
        <v>42109</v>
      </c>
      <c r="H1352" s="13">
        <v>42293</v>
      </c>
      <c r="I1352">
        <v>3000</v>
      </c>
      <c r="J1352">
        <v>7000</v>
      </c>
      <c r="K1352">
        <v>10000</v>
      </c>
      <c r="N1352">
        <v>0</v>
      </c>
      <c r="O1352">
        <v>2.64</v>
      </c>
      <c r="P1352">
        <v>128</v>
      </c>
      <c r="Q1352">
        <v>3.25</v>
      </c>
      <c r="T1352">
        <v>98.665333333333336</v>
      </c>
      <c r="W1352" t="s">
        <v>497</v>
      </c>
    </row>
    <row r="1353" spans="1:23" x14ac:dyDescent="0.25">
      <c r="A1353" t="s">
        <v>1803</v>
      </c>
      <c r="B1353" t="str">
        <f t="shared" si="21"/>
        <v>GA1300000013</v>
      </c>
      <c r="C1353" t="s">
        <v>227</v>
      </c>
      <c r="D1353" t="s">
        <v>77</v>
      </c>
      <c r="E1353" t="s">
        <v>287</v>
      </c>
      <c r="F1353">
        <v>5000</v>
      </c>
      <c r="G1353" s="13">
        <v>42116</v>
      </c>
      <c r="H1353" s="13">
        <v>42482</v>
      </c>
      <c r="I1353">
        <v>400</v>
      </c>
      <c r="J1353">
        <v>4600</v>
      </c>
      <c r="K1353">
        <v>5000</v>
      </c>
      <c r="N1353">
        <v>0</v>
      </c>
      <c r="O1353">
        <v>3.052</v>
      </c>
      <c r="P1353">
        <v>264</v>
      </c>
      <c r="Q1353">
        <v>3.25</v>
      </c>
      <c r="R1353">
        <v>2.95</v>
      </c>
      <c r="S1353">
        <v>5.25</v>
      </c>
      <c r="T1353">
        <v>96.914088888888884</v>
      </c>
      <c r="W1353" t="s">
        <v>497</v>
      </c>
    </row>
    <row r="1354" spans="1:23" x14ac:dyDescent="0.25">
      <c r="A1354" t="s">
        <v>1804</v>
      </c>
      <c r="B1354" t="str">
        <f t="shared" si="21"/>
        <v>CM1200000287</v>
      </c>
      <c r="C1354" t="s">
        <v>225</v>
      </c>
      <c r="D1354" t="s">
        <v>77</v>
      </c>
      <c r="E1354" t="s">
        <v>82</v>
      </c>
      <c r="F1354">
        <v>4500</v>
      </c>
      <c r="G1354" s="13">
        <v>42116</v>
      </c>
      <c r="H1354" s="13">
        <v>42300</v>
      </c>
      <c r="I1354">
        <v>4500</v>
      </c>
      <c r="K1354">
        <v>4500</v>
      </c>
      <c r="N1354">
        <v>0</v>
      </c>
      <c r="O1354">
        <v>2.0299999999999998</v>
      </c>
      <c r="P1354">
        <v>101.2</v>
      </c>
      <c r="Q1354">
        <v>2.15</v>
      </c>
      <c r="T1354">
        <v>98.973722222222221</v>
      </c>
      <c r="W1354" t="s">
        <v>497</v>
      </c>
    </row>
    <row r="1355" spans="1:23" x14ac:dyDescent="0.25">
      <c r="A1355" t="s">
        <v>1805</v>
      </c>
      <c r="B1355" t="str">
        <f t="shared" si="21"/>
        <v>CM1300000187</v>
      </c>
      <c r="C1355" t="s">
        <v>225</v>
      </c>
      <c r="D1355" t="s">
        <v>77</v>
      </c>
      <c r="E1355" t="s">
        <v>287</v>
      </c>
      <c r="F1355">
        <v>10000</v>
      </c>
      <c r="G1355" s="13">
        <v>42130</v>
      </c>
      <c r="H1355" s="13">
        <v>42496</v>
      </c>
      <c r="I1355">
        <v>8500</v>
      </c>
      <c r="J1355">
        <v>1500</v>
      </c>
      <c r="K1355">
        <v>10000</v>
      </c>
      <c r="N1355">
        <v>0</v>
      </c>
      <c r="O1355">
        <v>2.3125</v>
      </c>
      <c r="P1355">
        <v>168</v>
      </c>
      <c r="Q1355">
        <v>2.4500000000000002</v>
      </c>
      <c r="R1355">
        <v>2.2000000000000002</v>
      </c>
      <c r="S1355">
        <v>4</v>
      </c>
      <c r="T1355">
        <v>97.66180555555556</v>
      </c>
      <c r="W1355" t="s">
        <v>497</v>
      </c>
    </row>
    <row r="1356" spans="1:23" x14ac:dyDescent="0.25">
      <c r="A1356" t="s">
        <v>1806</v>
      </c>
      <c r="B1356" t="str">
        <f t="shared" si="21"/>
        <v>TD1200000041</v>
      </c>
      <c r="C1356" t="s">
        <v>237</v>
      </c>
      <c r="D1356" t="s">
        <v>77</v>
      </c>
      <c r="E1356" t="s">
        <v>82</v>
      </c>
      <c r="F1356">
        <v>10000</v>
      </c>
      <c r="G1356" s="13">
        <v>42130</v>
      </c>
      <c r="H1356" s="13">
        <v>42314</v>
      </c>
      <c r="I1356">
        <v>4762</v>
      </c>
      <c r="J1356">
        <v>5238</v>
      </c>
      <c r="K1356">
        <v>10000</v>
      </c>
      <c r="N1356">
        <v>0</v>
      </c>
      <c r="O1356">
        <v>3</v>
      </c>
      <c r="P1356">
        <v>135</v>
      </c>
      <c r="Q1356">
        <v>3</v>
      </c>
      <c r="T1356">
        <v>98.483333333333334</v>
      </c>
      <c r="W1356" t="s">
        <v>497</v>
      </c>
    </row>
    <row r="1357" spans="1:23" x14ac:dyDescent="0.25">
      <c r="A1357" t="s">
        <v>1807</v>
      </c>
      <c r="B1357" t="str">
        <f t="shared" si="21"/>
        <v>CM1100000197</v>
      </c>
      <c r="C1357" t="s">
        <v>225</v>
      </c>
      <c r="D1357" t="s">
        <v>77</v>
      </c>
      <c r="E1357" t="s">
        <v>78</v>
      </c>
      <c r="F1357">
        <v>5000</v>
      </c>
      <c r="G1357" s="13">
        <v>42137</v>
      </c>
      <c r="H1357" s="13">
        <v>42230</v>
      </c>
      <c r="I1357">
        <v>2500</v>
      </c>
      <c r="J1357">
        <v>2500</v>
      </c>
      <c r="K1357">
        <v>5000</v>
      </c>
      <c r="N1357">
        <v>0</v>
      </c>
      <c r="O1357">
        <v>1.82</v>
      </c>
      <c r="P1357">
        <v>266</v>
      </c>
      <c r="Q1357">
        <v>1.95</v>
      </c>
      <c r="R1357">
        <v>1.5</v>
      </c>
      <c r="S1357">
        <v>4.5</v>
      </c>
      <c r="T1357">
        <v>99.539944444444444</v>
      </c>
      <c r="W1357" t="s">
        <v>497</v>
      </c>
    </row>
    <row r="1358" spans="1:23" x14ac:dyDescent="0.25">
      <c r="A1358" t="s">
        <v>1808</v>
      </c>
      <c r="B1358" t="str">
        <f t="shared" si="21"/>
        <v>GA1200000162</v>
      </c>
      <c r="C1358" t="s">
        <v>227</v>
      </c>
      <c r="D1358" t="s">
        <v>77</v>
      </c>
      <c r="E1358" t="s">
        <v>82</v>
      </c>
      <c r="F1358">
        <v>6000</v>
      </c>
      <c r="G1358" s="13">
        <v>42137</v>
      </c>
      <c r="H1358" s="13">
        <v>42321</v>
      </c>
      <c r="I1358">
        <v>1000</v>
      </c>
      <c r="J1358">
        <v>5000</v>
      </c>
      <c r="K1358">
        <v>6000</v>
      </c>
      <c r="N1358">
        <v>0</v>
      </c>
      <c r="O1358">
        <v>2.6724999999999999</v>
      </c>
      <c r="P1358">
        <v>229.99999999999997</v>
      </c>
      <c r="Q1358">
        <v>2.95</v>
      </c>
      <c r="R1358">
        <v>2.5</v>
      </c>
      <c r="S1358">
        <v>3.5</v>
      </c>
      <c r="T1358">
        <v>98.648902777777778</v>
      </c>
      <c r="W1358" t="s">
        <v>497</v>
      </c>
    </row>
    <row r="1359" spans="1:23" x14ac:dyDescent="0.25">
      <c r="A1359" t="s">
        <v>1809</v>
      </c>
      <c r="B1359" t="str">
        <f t="shared" si="21"/>
        <v>GA1300000021</v>
      </c>
      <c r="C1359" t="s">
        <v>227</v>
      </c>
      <c r="D1359" t="s">
        <v>77</v>
      </c>
      <c r="E1359" t="s">
        <v>287</v>
      </c>
      <c r="F1359">
        <v>10000</v>
      </c>
      <c r="G1359" s="13">
        <v>42144</v>
      </c>
      <c r="H1359" s="13">
        <v>42510</v>
      </c>
      <c r="I1359">
        <v>1842</v>
      </c>
      <c r="J1359">
        <v>8158</v>
      </c>
      <c r="K1359">
        <v>10000</v>
      </c>
      <c r="N1359">
        <v>0</v>
      </c>
      <c r="O1359">
        <v>3.1087500000000001</v>
      </c>
      <c r="P1359">
        <v>145</v>
      </c>
      <c r="Q1359">
        <v>3.3</v>
      </c>
      <c r="R1359">
        <v>2.8</v>
      </c>
      <c r="S1359">
        <v>3.75</v>
      </c>
      <c r="T1359">
        <v>96.85670833333333</v>
      </c>
      <c r="W1359" t="s">
        <v>497</v>
      </c>
    </row>
    <row r="1360" spans="1:23" x14ac:dyDescent="0.25">
      <c r="A1360" t="s">
        <v>1810</v>
      </c>
      <c r="B1360" t="str">
        <f t="shared" si="21"/>
        <v>CF1200000146</v>
      </c>
      <c r="C1360" t="s">
        <v>634</v>
      </c>
      <c r="D1360" t="s">
        <v>77</v>
      </c>
      <c r="E1360" t="s">
        <v>82</v>
      </c>
      <c r="F1360">
        <v>5500</v>
      </c>
      <c r="G1360" s="13">
        <v>42151</v>
      </c>
      <c r="H1360" s="13">
        <v>42335</v>
      </c>
      <c r="I1360">
        <v>5500</v>
      </c>
      <c r="K1360">
        <v>5500</v>
      </c>
      <c r="N1360">
        <v>0</v>
      </c>
      <c r="O1360">
        <v>5.25</v>
      </c>
      <c r="P1360">
        <v>100</v>
      </c>
      <c r="Q1360">
        <v>5.25</v>
      </c>
      <c r="R1360">
        <v>5.25</v>
      </c>
      <c r="S1360">
        <v>5.25</v>
      </c>
      <c r="T1360">
        <v>97.345833333333331</v>
      </c>
      <c r="W1360" t="s">
        <v>497</v>
      </c>
    </row>
    <row r="1361" spans="1:23" x14ac:dyDescent="0.25">
      <c r="A1361" t="s">
        <v>1811</v>
      </c>
      <c r="B1361" t="str">
        <f t="shared" si="21"/>
        <v>TD1200000057</v>
      </c>
      <c r="C1361" t="s">
        <v>237</v>
      </c>
      <c r="D1361" t="s">
        <v>77</v>
      </c>
      <c r="E1361" t="s">
        <v>82</v>
      </c>
      <c r="F1361">
        <v>11000</v>
      </c>
      <c r="G1361" s="13">
        <v>42151</v>
      </c>
      <c r="H1361" s="13">
        <v>42335</v>
      </c>
      <c r="I1361">
        <v>5000</v>
      </c>
      <c r="J1361">
        <v>6000</v>
      </c>
      <c r="K1361">
        <v>11000</v>
      </c>
      <c r="N1361">
        <v>0</v>
      </c>
      <c r="O1361">
        <v>3.1930000000000001</v>
      </c>
      <c r="P1361">
        <v>113.33</v>
      </c>
      <c r="Q1361">
        <v>3.25</v>
      </c>
      <c r="R1361">
        <v>3</v>
      </c>
      <c r="S1361">
        <v>4.25</v>
      </c>
      <c r="T1361">
        <v>98.385761111111108</v>
      </c>
      <c r="W1361" t="s">
        <v>497</v>
      </c>
    </row>
    <row r="1362" spans="1:23" x14ac:dyDescent="0.25">
      <c r="A1362" t="s">
        <v>1812</v>
      </c>
      <c r="B1362" t="str">
        <f t="shared" si="21"/>
        <v>CM1300000195</v>
      </c>
      <c r="C1362" t="s">
        <v>225</v>
      </c>
      <c r="D1362" t="s">
        <v>77</v>
      </c>
      <c r="E1362" t="s">
        <v>287</v>
      </c>
      <c r="F1362">
        <v>5000</v>
      </c>
      <c r="G1362" s="13">
        <v>42151</v>
      </c>
      <c r="H1362" s="13">
        <v>42517</v>
      </c>
      <c r="I1362">
        <v>3500</v>
      </c>
      <c r="J1362">
        <v>1500</v>
      </c>
      <c r="K1362">
        <v>5000</v>
      </c>
      <c r="N1362">
        <v>0</v>
      </c>
      <c r="O1362">
        <v>2.4500000000000002</v>
      </c>
      <c r="P1362">
        <v>166</v>
      </c>
      <c r="Q1362">
        <v>2.75</v>
      </c>
      <c r="T1362">
        <v>97.522777777777776</v>
      </c>
      <c r="W1362" t="s">
        <v>497</v>
      </c>
    </row>
    <row r="1363" spans="1:23" x14ac:dyDescent="0.25">
      <c r="A1363" t="s">
        <v>1813</v>
      </c>
      <c r="B1363" t="str">
        <f t="shared" si="21"/>
        <v>GA1300000039</v>
      </c>
      <c r="C1363" t="s">
        <v>227</v>
      </c>
      <c r="D1363" t="s">
        <v>77</v>
      </c>
      <c r="E1363" t="s">
        <v>287</v>
      </c>
      <c r="F1363">
        <v>5000</v>
      </c>
      <c r="G1363" s="13">
        <v>42158</v>
      </c>
      <c r="H1363" s="13">
        <v>42524</v>
      </c>
      <c r="I1363">
        <v>2000</v>
      </c>
      <c r="J1363">
        <v>3000</v>
      </c>
      <c r="K1363">
        <v>5000</v>
      </c>
      <c r="N1363">
        <v>0</v>
      </c>
      <c r="O1363">
        <v>3.415</v>
      </c>
      <c r="P1363">
        <v>106</v>
      </c>
      <c r="Q1363">
        <v>3.75</v>
      </c>
      <c r="R1363">
        <v>3.1</v>
      </c>
      <c r="S1363">
        <v>5.25</v>
      </c>
      <c r="T1363">
        <v>96.547055555555559</v>
      </c>
      <c r="W1363" t="s">
        <v>497</v>
      </c>
    </row>
    <row r="1364" spans="1:23" x14ac:dyDescent="0.25">
      <c r="A1364" t="s">
        <v>1814</v>
      </c>
      <c r="B1364" t="str">
        <f t="shared" si="21"/>
        <v>GA1200000171</v>
      </c>
      <c r="C1364" t="s">
        <v>227</v>
      </c>
      <c r="D1364" t="s">
        <v>77</v>
      </c>
      <c r="E1364" t="s">
        <v>82</v>
      </c>
      <c r="F1364">
        <v>10000</v>
      </c>
      <c r="G1364" s="13">
        <v>42165</v>
      </c>
      <c r="H1364" s="13">
        <v>42349</v>
      </c>
      <c r="I1364">
        <v>500</v>
      </c>
      <c r="J1364">
        <v>9500</v>
      </c>
      <c r="K1364">
        <v>10000</v>
      </c>
      <c r="N1364">
        <v>0</v>
      </c>
      <c r="O1364">
        <v>2.8149999999999999</v>
      </c>
      <c r="P1364">
        <v>138</v>
      </c>
      <c r="Q1364">
        <v>3</v>
      </c>
      <c r="R1364">
        <v>2.6</v>
      </c>
      <c r="S1364">
        <v>4</v>
      </c>
      <c r="T1364">
        <v>98.576861111111114</v>
      </c>
      <c r="W1364" t="s">
        <v>497</v>
      </c>
    </row>
    <row r="1365" spans="1:23" x14ac:dyDescent="0.25">
      <c r="A1365" t="s">
        <v>1815</v>
      </c>
      <c r="B1365" t="str">
        <f t="shared" si="21"/>
        <v>CM1100000205</v>
      </c>
      <c r="C1365" t="s">
        <v>225</v>
      </c>
      <c r="D1365" t="s">
        <v>77</v>
      </c>
      <c r="E1365" t="s">
        <v>78</v>
      </c>
      <c r="F1365">
        <v>5000</v>
      </c>
      <c r="G1365" s="13">
        <v>42165</v>
      </c>
      <c r="H1365" s="13">
        <v>42258</v>
      </c>
      <c r="I1365">
        <v>4500</v>
      </c>
      <c r="J1365">
        <v>500</v>
      </c>
      <c r="K1365">
        <v>5000</v>
      </c>
      <c r="N1365">
        <v>0</v>
      </c>
      <c r="O1365">
        <v>2.0249999999999999</v>
      </c>
      <c r="P1365">
        <v>186</v>
      </c>
      <c r="Q1365">
        <v>2.15</v>
      </c>
      <c r="R1365">
        <v>1.85</v>
      </c>
      <c r="S1365">
        <v>4.5</v>
      </c>
      <c r="T1365">
        <v>99.488124999999997</v>
      </c>
      <c r="W1365" t="s">
        <v>497</v>
      </c>
    </row>
    <row r="1366" spans="1:23" x14ac:dyDescent="0.25">
      <c r="A1366" t="s">
        <v>1816</v>
      </c>
      <c r="B1366" t="str">
        <f t="shared" si="21"/>
        <v>GA1300000047</v>
      </c>
      <c r="C1366" t="s">
        <v>227</v>
      </c>
      <c r="D1366" t="s">
        <v>77</v>
      </c>
      <c r="E1366" t="s">
        <v>287</v>
      </c>
      <c r="F1366">
        <v>5000</v>
      </c>
      <c r="G1366" s="13">
        <v>42179</v>
      </c>
      <c r="H1366" s="13">
        <v>42545</v>
      </c>
      <c r="I1366">
        <v>0</v>
      </c>
      <c r="J1366">
        <v>5000</v>
      </c>
      <c r="K1366">
        <v>5000</v>
      </c>
      <c r="N1366">
        <v>0</v>
      </c>
      <c r="O1366">
        <v>3.12</v>
      </c>
      <c r="P1366">
        <v>227.99999999999997</v>
      </c>
      <c r="Q1366">
        <v>3.15</v>
      </c>
      <c r="R1366">
        <v>3.05</v>
      </c>
      <c r="S1366">
        <v>4.2</v>
      </c>
      <c r="T1366">
        <v>96.845333333333329</v>
      </c>
      <c r="W1366" t="s">
        <v>497</v>
      </c>
    </row>
    <row r="1367" spans="1:23" x14ac:dyDescent="0.25">
      <c r="A1367" t="s">
        <v>1817</v>
      </c>
      <c r="B1367" t="str">
        <f t="shared" si="21"/>
        <v>GA1300000054</v>
      </c>
      <c r="C1367" t="s">
        <v>227</v>
      </c>
      <c r="D1367" t="s">
        <v>77</v>
      </c>
      <c r="E1367" t="s">
        <v>287</v>
      </c>
      <c r="F1367">
        <v>5000</v>
      </c>
      <c r="G1367" s="13">
        <v>42200</v>
      </c>
      <c r="H1367" s="13">
        <v>42566</v>
      </c>
      <c r="I1367">
        <v>3000</v>
      </c>
      <c r="J1367">
        <v>2000</v>
      </c>
      <c r="K1367">
        <v>5000</v>
      </c>
      <c r="N1367">
        <v>0</v>
      </c>
      <c r="O1367">
        <v>3.0950000000000002</v>
      </c>
      <c r="P1367">
        <v>124</v>
      </c>
      <c r="Q1367">
        <v>3.2</v>
      </c>
      <c r="R1367">
        <v>3</v>
      </c>
      <c r="S1367">
        <v>5.25</v>
      </c>
      <c r="T1367">
        <v>96.870611111111117</v>
      </c>
      <c r="W1367" t="s">
        <v>497</v>
      </c>
    </row>
    <row r="1368" spans="1:23" x14ac:dyDescent="0.25">
      <c r="A1368" t="s">
        <v>1818</v>
      </c>
      <c r="B1368" t="str">
        <f t="shared" si="21"/>
        <v>TD1200000065</v>
      </c>
      <c r="C1368" t="s">
        <v>237</v>
      </c>
      <c r="D1368" t="s">
        <v>77</v>
      </c>
      <c r="E1368" t="s">
        <v>82</v>
      </c>
      <c r="F1368">
        <v>15000</v>
      </c>
      <c r="G1368" s="13">
        <v>42200</v>
      </c>
      <c r="H1368" s="13">
        <v>42384</v>
      </c>
      <c r="I1368">
        <v>10381</v>
      </c>
      <c r="J1368">
        <v>4619</v>
      </c>
      <c r="K1368">
        <v>15000</v>
      </c>
      <c r="N1368">
        <v>0</v>
      </c>
      <c r="O1368">
        <v>3.13</v>
      </c>
      <c r="P1368">
        <v>143.33000000000001</v>
      </c>
      <c r="Q1368">
        <v>3.25</v>
      </c>
      <c r="T1368">
        <v>98.417611111111114</v>
      </c>
      <c r="W1368" t="s">
        <v>497</v>
      </c>
    </row>
    <row r="1369" spans="1:23" x14ac:dyDescent="0.25">
      <c r="A1369" t="s">
        <v>1819</v>
      </c>
      <c r="B1369" t="str">
        <f t="shared" si="21"/>
        <v>CF1200000153</v>
      </c>
      <c r="C1369" t="s">
        <v>634</v>
      </c>
      <c r="D1369" t="s">
        <v>77</v>
      </c>
      <c r="E1369" t="s">
        <v>82</v>
      </c>
      <c r="F1369">
        <v>2500</v>
      </c>
      <c r="G1369" s="13">
        <v>42207</v>
      </c>
      <c r="H1369" s="13">
        <v>42391</v>
      </c>
      <c r="I1369">
        <v>2500</v>
      </c>
      <c r="J1369">
        <v>0</v>
      </c>
      <c r="K1369">
        <v>2500</v>
      </c>
      <c r="N1369">
        <v>0</v>
      </c>
      <c r="O1369">
        <v>5.125</v>
      </c>
      <c r="P1369">
        <v>80</v>
      </c>
      <c r="Q1369">
        <v>5.25</v>
      </c>
      <c r="T1369">
        <v>97.40902777777778</v>
      </c>
      <c r="W1369" t="s">
        <v>497</v>
      </c>
    </row>
    <row r="1370" spans="1:23" x14ac:dyDescent="0.25">
      <c r="A1370" t="s">
        <v>1820</v>
      </c>
      <c r="B1370" t="str">
        <f t="shared" si="21"/>
        <v>CM1100000213</v>
      </c>
      <c r="C1370" t="s">
        <v>225</v>
      </c>
      <c r="D1370" t="s">
        <v>77</v>
      </c>
      <c r="E1370" t="s">
        <v>78</v>
      </c>
      <c r="F1370">
        <v>5000</v>
      </c>
      <c r="G1370" s="13">
        <v>42214</v>
      </c>
      <c r="H1370" s="13">
        <v>42307</v>
      </c>
      <c r="I1370">
        <v>3500</v>
      </c>
      <c r="J1370">
        <v>1500</v>
      </c>
      <c r="K1370">
        <v>5000</v>
      </c>
      <c r="N1370">
        <v>0</v>
      </c>
      <c r="O1370">
        <v>2.0419999999999998</v>
      </c>
      <c r="P1370">
        <v>224.00000000000003</v>
      </c>
      <c r="Q1370">
        <v>2.15</v>
      </c>
      <c r="R1370">
        <v>1.85</v>
      </c>
      <c r="S1370">
        <v>4.25</v>
      </c>
      <c r="T1370">
        <v>99.483827777777776</v>
      </c>
      <c r="W1370" t="s">
        <v>497</v>
      </c>
    </row>
    <row r="1371" spans="1:23" x14ac:dyDescent="0.25">
      <c r="A1371" t="s">
        <v>1821</v>
      </c>
      <c r="B1371" t="str">
        <f t="shared" ref="B1371:B1434" si="22">MID(A1371,1,12)</f>
        <v>CM1100000221</v>
      </c>
      <c r="C1371" t="s">
        <v>225</v>
      </c>
      <c r="D1371" t="s">
        <v>77</v>
      </c>
      <c r="E1371" t="s">
        <v>78</v>
      </c>
      <c r="F1371">
        <v>4000</v>
      </c>
      <c r="G1371" s="13">
        <v>42221</v>
      </c>
      <c r="H1371" s="13">
        <v>42314</v>
      </c>
      <c r="I1371">
        <v>3000</v>
      </c>
      <c r="J1371">
        <v>1000</v>
      </c>
      <c r="K1371">
        <v>4000</v>
      </c>
      <c r="N1371">
        <v>0</v>
      </c>
      <c r="O1371">
        <v>2.2124999999999999</v>
      </c>
      <c r="P1371">
        <v>96</v>
      </c>
      <c r="Q1371">
        <v>2.5</v>
      </c>
      <c r="R1371">
        <v>2</v>
      </c>
      <c r="S1371">
        <v>4.25</v>
      </c>
      <c r="T1371">
        <v>99.440729166666671</v>
      </c>
      <c r="W1371" t="s">
        <v>497</v>
      </c>
    </row>
    <row r="1372" spans="1:23" x14ac:dyDescent="0.25">
      <c r="A1372" t="s">
        <v>1822</v>
      </c>
      <c r="B1372" t="str">
        <f t="shared" si="22"/>
        <v>CM1200000303</v>
      </c>
      <c r="C1372" t="s">
        <v>225</v>
      </c>
      <c r="D1372" t="s">
        <v>77</v>
      </c>
      <c r="E1372" t="s">
        <v>82</v>
      </c>
      <c r="F1372">
        <v>5000</v>
      </c>
      <c r="G1372" s="13">
        <v>42235</v>
      </c>
      <c r="H1372" s="13">
        <v>42419</v>
      </c>
      <c r="I1372">
        <v>3000</v>
      </c>
      <c r="J1372">
        <v>2000</v>
      </c>
      <c r="K1372">
        <v>5000</v>
      </c>
      <c r="N1372">
        <v>0</v>
      </c>
      <c r="O1372">
        <v>2.15</v>
      </c>
      <c r="P1372">
        <v>246</v>
      </c>
      <c r="Q1372">
        <v>2.4</v>
      </c>
      <c r="R1372">
        <v>1.9</v>
      </c>
      <c r="S1372">
        <v>4.75</v>
      </c>
      <c r="T1372">
        <v>98.913055555555559</v>
      </c>
      <c r="W1372" t="s">
        <v>497</v>
      </c>
    </row>
    <row r="1373" spans="1:23" x14ac:dyDescent="0.25">
      <c r="A1373" t="s">
        <v>1823</v>
      </c>
      <c r="B1373" t="str">
        <f t="shared" si="22"/>
        <v>GA1200000188</v>
      </c>
      <c r="C1373" t="s">
        <v>227</v>
      </c>
      <c r="D1373" t="s">
        <v>77</v>
      </c>
      <c r="E1373" t="s">
        <v>82</v>
      </c>
      <c r="F1373">
        <v>3000</v>
      </c>
      <c r="G1373" s="13">
        <v>42235</v>
      </c>
      <c r="H1373" s="13">
        <v>42419</v>
      </c>
      <c r="I1373">
        <v>3000</v>
      </c>
      <c r="J1373">
        <v>0</v>
      </c>
      <c r="K1373">
        <v>3000</v>
      </c>
      <c r="N1373">
        <v>0</v>
      </c>
      <c r="O1373">
        <v>3.2666599999999999</v>
      </c>
      <c r="P1373">
        <v>66.67</v>
      </c>
      <c r="Q1373">
        <v>3.5</v>
      </c>
      <c r="R1373">
        <v>3.1</v>
      </c>
      <c r="S1373">
        <v>4.5</v>
      </c>
      <c r="T1373">
        <v>98.348521888888882</v>
      </c>
      <c r="W1373" t="s">
        <v>497</v>
      </c>
    </row>
    <row r="1374" spans="1:23" x14ac:dyDescent="0.25">
      <c r="A1374" t="s">
        <v>1824</v>
      </c>
      <c r="B1374" t="str">
        <f t="shared" si="22"/>
        <v>GA1300000062</v>
      </c>
      <c r="C1374" t="s">
        <v>227</v>
      </c>
      <c r="D1374" t="s">
        <v>77</v>
      </c>
      <c r="E1374" t="s">
        <v>287</v>
      </c>
      <c r="F1374">
        <v>5500</v>
      </c>
      <c r="G1374" s="13">
        <v>42242</v>
      </c>
      <c r="H1374" s="13">
        <v>42608</v>
      </c>
      <c r="I1374">
        <v>1000</v>
      </c>
      <c r="J1374">
        <v>4500</v>
      </c>
      <c r="K1374">
        <v>5500</v>
      </c>
      <c r="N1374">
        <v>0</v>
      </c>
      <c r="O1374">
        <v>3.4136299999999999</v>
      </c>
      <c r="P1374">
        <v>103.33000000000001</v>
      </c>
      <c r="Q1374">
        <v>3.85</v>
      </c>
      <c r="R1374">
        <v>3</v>
      </c>
      <c r="S1374">
        <v>5.25</v>
      </c>
      <c r="T1374">
        <v>96.548440777777785</v>
      </c>
      <c r="W1374" t="s">
        <v>497</v>
      </c>
    </row>
    <row r="1375" spans="1:23" x14ac:dyDescent="0.25">
      <c r="A1375" t="s">
        <v>1825</v>
      </c>
      <c r="B1375" t="str">
        <f t="shared" si="22"/>
        <v>CM1100000239</v>
      </c>
      <c r="C1375" t="s">
        <v>225</v>
      </c>
      <c r="D1375" t="s">
        <v>77</v>
      </c>
      <c r="E1375" t="s">
        <v>78</v>
      </c>
      <c r="F1375">
        <v>3500</v>
      </c>
      <c r="G1375" s="13">
        <v>42249</v>
      </c>
      <c r="H1375" s="13">
        <v>42342</v>
      </c>
      <c r="I1375">
        <v>3500</v>
      </c>
      <c r="J1375">
        <v>0</v>
      </c>
      <c r="K1375">
        <v>3500</v>
      </c>
      <c r="N1375">
        <v>0</v>
      </c>
      <c r="O1375">
        <v>2.8714200000000001</v>
      </c>
      <c r="P1375">
        <v>70.399999999999991</v>
      </c>
      <c r="Q1375">
        <v>3.15</v>
      </c>
      <c r="R1375">
        <v>2.5</v>
      </c>
      <c r="S1375">
        <v>5</v>
      </c>
      <c r="T1375">
        <v>99.274168833333334</v>
      </c>
      <c r="W1375" t="s">
        <v>497</v>
      </c>
    </row>
    <row r="1376" spans="1:23" x14ac:dyDescent="0.25">
      <c r="A1376" t="s">
        <v>1826</v>
      </c>
      <c r="B1376" t="str">
        <f t="shared" si="22"/>
        <v>TD1300000015</v>
      </c>
      <c r="C1376" t="s">
        <v>237</v>
      </c>
      <c r="D1376" t="s">
        <v>77</v>
      </c>
      <c r="E1376" t="s">
        <v>287</v>
      </c>
      <c r="F1376">
        <v>20000</v>
      </c>
      <c r="G1376" s="13">
        <v>42249</v>
      </c>
      <c r="H1376" s="13">
        <v>42615</v>
      </c>
      <c r="I1376">
        <v>0</v>
      </c>
      <c r="J1376">
        <v>20000</v>
      </c>
      <c r="K1376">
        <v>20000</v>
      </c>
      <c r="N1376">
        <v>0</v>
      </c>
      <c r="O1376">
        <v>3.5</v>
      </c>
      <c r="P1376">
        <v>92</v>
      </c>
      <c r="Q1376">
        <v>3.5</v>
      </c>
      <c r="R1376">
        <v>3.5</v>
      </c>
      <c r="S1376">
        <v>4.75</v>
      </c>
      <c r="T1376">
        <v>96.461111111111109</v>
      </c>
      <c r="W1376" t="s">
        <v>497</v>
      </c>
    </row>
    <row r="1377" spans="1:23" x14ac:dyDescent="0.25">
      <c r="A1377" t="s">
        <v>1827</v>
      </c>
      <c r="B1377" t="str">
        <f t="shared" si="22"/>
        <v>TD1300000023</v>
      </c>
      <c r="C1377" t="s">
        <v>237</v>
      </c>
      <c r="D1377" t="s">
        <v>77</v>
      </c>
      <c r="E1377" t="s">
        <v>287</v>
      </c>
      <c r="F1377">
        <v>15000</v>
      </c>
      <c r="G1377" s="13">
        <v>42256</v>
      </c>
      <c r="H1377" s="13">
        <v>42622</v>
      </c>
      <c r="I1377">
        <v>0</v>
      </c>
      <c r="J1377">
        <v>15000</v>
      </c>
      <c r="K1377">
        <v>15000</v>
      </c>
      <c r="N1377">
        <v>0</v>
      </c>
      <c r="O1377">
        <v>3.5</v>
      </c>
      <c r="P1377">
        <v>60</v>
      </c>
      <c r="Q1377">
        <v>3.5</v>
      </c>
      <c r="R1377">
        <v>3.5</v>
      </c>
      <c r="S1377">
        <v>3.5</v>
      </c>
      <c r="T1377">
        <v>96.461111111111109</v>
      </c>
      <c r="W1377" t="s">
        <v>497</v>
      </c>
    </row>
    <row r="1378" spans="1:23" x14ac:dyDescent="0.25">
      <c r="A1378" t="s">
        <v>1828</v>
      </c>
      <c r="B1378" t="str">
        <f t="shared" si="22"/>
        <v>CM1100000247</v>
      </c>
      <c r="C1378" t="s">
        <v>225</v>
      </c>
      <c r="D1378" t="s">
        <v>77</v>
      </c>
      <c r="E1378" t="s">
        <v>78</v>
      </c>
      <c r="F1378">
        <v>3500</v>
      </c>
      <c r="G1378" s="13">
        <v>42256</v>
      </c>
      <c r="H1378" s="13">
        <v>42349</v>
      </c>
      <c r="I1378">
        <v>2000</v>
      </c>
      <c r="J1378">
        <v>1500</v>
      </c>
      <c r="K1378">
        <v>3500</v>
      </c>
      <c r="N1378">
        <v>0</v>
      </c>
      <c r="O1378">
        <v>2.7928500000000001</v>
      </c>
      <c r="P1378">
        <v>102</v>
      </c>
      <c r="Q1378">
        <v>3.15</v>
      </c>
      <c r="R1378">
        <v>2.5499999999999998</v>
      </c>
      <c r="S1378">
        <v>4.8499999999999996</v>
      </c>
      <c r="T1378">
        <v>99.294029583333327</v>
      </c>
      <c r="W1378" t="s">
        <v>497</v>
      </c>
    </row>
    <row r="1379" spans="1:23" x14ac:dyDescent="0.25">
      <c r="A1379" t="s">
        <v>1829</v>
      </c>
      <c r="B1379" t="str">
        <f t="shared" si="22"/>
        <v>GA1200000196</v>
      </c>
      <c r="C1379" t="s">
        <v>227</v>
      </c>
      <c r="D1379" t="s">
        <v>77</v>
      </c>
      <c r="E1379" t="s">
        <v>82</v>
      </c>
      <c r="F1379">
        <v>8000</v>
      </c>
      <c r="G1379" s="13">
        <v>42256</v>
      </c>
      <c r="H1379" s="13">
        <v>42440</v>
      </c>
      <c r="I1379">
        <v>4600</v>
      </c>
      <c r="J1379">
        <v>3400</v>
      </c>
      <c r="K1379">
        <v>8000</v>
      </c>
      <c r="N1379">
        <v>0</v>
      </c>
      <c r="O1379">
        <v>3.4975000000000001</v>
      </c>
      <c r="P1379">
        <v>180</v>
      </c>
      <c r="Q1379">
        <v>3.75</v>
      </c>
      <c r="R1379">
        <v>3.15</v>
      </c>
      <c r="S1379">
        <v>5.25</v>
      </c>
      <c r="T1379">
        <v>98.23181944444444</v>
      </c>
      <c r="W1379" t="s">
        <v>497</v>
      </c>
    </row>
    <row r="1380" spans="1:23" x14ac:dyDescent="0.25">
      <c r="A1380" t="s">
        <v>1830</v>
      </c>
      <c r="B1380" t="str">
        <f t="shared" si="22"/>
        <v>GQ1300000015</v>
      </c>
      <c r="C1380" t="s">
        <v>528</v>
      </c>
      <c r="D1380" t="s">
        <v>77</v>
      </c>
      <c r="E1380" t="s">
        <v>287</v>
      </c>
      <c r="F1380">
        <v>5000</v>
      </c>
      <c r="G1380" s="13">
        <v>42256</v>
      </c>
      <c r="H1380" s="13">
        <v>42622</v>
      </c>
      <c r="I1380">
        <v>5000</v>
      </c>
      <c r="J1380">
        <v>0</v>
      </c>
      <c r="K1380">
        <v>5000</v>
      </c>
      <c r="N1380">
        <v>0</v>
      </c>
      <c r="O1380">
        <v>1.36</v>
      </c>
      <c r="P1380">
        <v>300</v>
      </c>
      <c r="Q1380">
        <v>1.5</v>
      </c>
      <c r="T1380">
        <v>98.62488888888889</v>
      </c>
      <c r="W1380" t="s">
        <v>497</v>
      </c>
    </row>
    <row r="1381" spans="1:23" x14ac:dyDescent="0.25">
      <c r="A1381" t="s">
        <v>1831</v>
      </c>
      <c r="B1381" t="str">
        <f t="shared" si="22"/>
        <v>GA1300000071</v>
      </c>
      <c r="C1381" t="s">
        <v>227</v>
      </c>
      <c r="D1381" t="s">
        <v>77</v>
      </c>
      <c r="E1381" t="s">
        <v>287</v>
      </c>
      <c r="F1381">
        <v>5950</v>
      </c>
      <c r="G1381" s="13">
        <v>42270</v>
      </c>
      <c r="H1381" s="13">
        <v>42636</v>
      </c>
      <c r="I1381">
        <v>2600</v>
      </c>
      <c r="J1381">
        <v>3350</v>
      </c>
      <c r="K1381">
        <v>5950</v>
      </c>
      <c r="N1381">
        <v>0</v>
      </c>
      <c r="O1381">
        <v>3.81</v>
      </c>
      <c r="P1381">
        <v>62.5</v>
      </c>
      <c r="Q1381">
        <v>4.5</v>
      </c>
      <c r="T1381">
        <v>96.147666666666666</v>
      </c>
      <c r="W1381" t="s">
        <v>497</v>
      </c>
    </row>
    <row r="1382" spans="1:23" x14ac:dyDescent="0.25">
      <c r="A1382" t="s">
        <v>1832</v>
      </c>
      <c r="B1382" t="str">
        <f t="shared" si="22"/>
        <v>CM1100000254</v>
      </c>
      <c r="C1382" t="s">
        <v>225</v>
      </c>
      <c r="D1382" t="s">
        <v>77</v>
      </c>
      <c r="E1382" t="s">
        <v>78</v>
      </c>
      <c r="F1382">
        <v>4650</v>
      </c>
      <c r="G1382" s="13">
        <v>42284</v>
      </c>
      <c r="H1382" s="13">
        <v>42377</v>
      </c>
      <c r="I1382">
        <v>4150</v>
      </c>
      <c r="J1382">
        <v>500</v>
      </c>
      <c r="K1382">
        <v>4650</v>
      </c>
      <c r="N1382">
        <v>0</v>
      </c>
      <c r="O1382">
        <v>3.0677400000000001</v>
      </c>
      <c r="P1382">
        <v>159</v>
      </c>
      <c r="Q1382">
        <v>3.15</v>
      </c>
      <c r="R1382">
        <v>0</v>
      </c>
      <c r="S1382">
        <v>4.95</v>
      </c>
      <c r="T1382">
        <v>99.224543499999996</v>
      </c>
      <c r="W1382" t="s">
        <v>497</v>
      </c>
    </row>
    <row r="1383" spans="1:23" x14ac:dyDescent="0.25">
      <c r="A1383" t="s">
        <v>1833</v>
      </c>
      <c r="B1383" t="str">
        <f t="shared" si="22"/>
        <v>GA1100000155</v>
      </c>
      <c r="C1383" t="s">
        <v>227</v>
      </c>
      <c r="D1383" t="s">
        <v>77</v>
      </c>
      <c r="E1383" t="s">
        <v>78</v>
      </c>
      <c r="F1383">
        <v>6000</v>
      </c>
      <c r="G1383" s="13">
        <v>42284</v>
      </c>
      <c r="H1383" s="13">
        <v>42377</v>
      </c>
      <c r="I1383">
        <v>3000</v>
      </c>
      <c r="J1383">
        <v>3000</v>
      </c>
      <c r="K1383">
        <v>6000</v>
      </c>
      <c r="N1383">
        <v>0</v>
      </c>
      <c r="O1383">
        <v>3.55</v>
      </c>
      <c r="P1383">
        <v>97.330000000000013</v>
      </c>
      <c r="Q1383">
        <v>3.95</v>
      </c>
      <c r="T1383">
        <v>99.10263888888889</v>
      </c>
      <c r="W1383" t="s">
        <v>497</v>
      </c>
    </row>
    <row r="1384" spans="1:23" x14ac:dyDescent="0.25">
      <c r="A1384" t="s">
        <v>1834</v>
      </c>
      <c r="B1384" t="str">
        <f t="shared" si="22"/>
        <v>GA1300000088</v>
      </c>
      <c r="C1384" t="s">
        <v>227</v>
      </c>
      <c r="D1384" t="s">
        <v>77</v>
      </c>
      <c r="E1384" t="s">
        <v>287</v>
      </c>
      <c r="F1384">
        <v>7500</v>
      </c>
      <c r="G1384" s="13">
        <v>42291</v>
      </c>
      <c r="H1384" s="13">
        <v>42657</v>
      </c>
      <c r="I1384">
        <v>875</v>
      </c>
      <c r="J1384">
        <v>6625</v>
      </c>
      <c r="K1384">
        <v>7500</v>
      </c>
      <c r="N1384">
        <v>0</v>
      </c>
      <c r="O1384">
        <v>4.21</v>
      </c>
      <c r="P1384">
        <v>140</v>
      </c>
      <c r="Q1384">
        <v>4.5</v>
      </c>
      <c r="R1384">
        <v>4</v>
      </c>
      <c r="S1384">
        <v>4.75</v>
      </c>
      <c r="T1384">
        <v>95.743222222222215</v>
      </c>
      <c r="W1384" t="s">
        <v>497</v>
      </c>
    </row>
    <row r="1385" spans="1:23" x14ac:dyDescent="0.25">
      <c r="A1385" t="s">
        <v>1835</v>
      </c>
      <c r="B1385" t="str">
        <f t="shared" si="22"/>
        <v>CM1100000271</v>
      </c>
      <c r="C1385" t="s">
        <v>225</v>
      </c>
      <c r="D1385" t="s">
        <v>77</v>
      </c>
      <c r="E1385" t="s">
        <v>78</v>
      </c>
      <c r="F1385">
        <v>5000</v>
      </c>
      <c r="G1385" s="13">
        <v>42305</v>
      </c>
      <c r="H1385" s="13">
        <v>42398</v>
      </c>
      <c r="I1385">
        <v>5000</v>
      </c>
      <c r="J1385">
        <v>0</v>
      </c>
      <c r="K1385">
        <v>5000</v>
      </c>
      <c r="N1385">
        <v>0</v>
      </c>
      <c r="O1385">
        <v>3.08</v>
      </c>
      <c r="P1385">
        <v>250</v>
      </c>
      <c r="Q1385">
        <v>3.1</v>
      </c>
      <c r="T1385">
        <v>99.221444444444444</v>
      </c>
      <c r="W1385" t="s">
        <v>497</v>
      </c>
    </row>
    <row r="1386" spans="1:23" x14ac:dyDescent="0.25">
      <c r="A1386" t="s">
        <v>1836</v>
      </c>
      <c r="B1386" t="str">
        <f t="shared" si="22"/>
        <v>GA1300000096</v>
      </c>
      <c r="C1386" t="s">
        <v>227</v>
      </c>
      <c r="D1386" t="s">
        <v>77</v>
      </c>
      <c r="E1386" t="s">
        <v>287</v>
      </c>
      <c r="F1386">
        <v>5000</v>
      </c>
      <c r="G1386" s="13">
        <v>42312</v>
      </c>
      <c r="H1386" s="13">
        <v>42678</v>
      </c>
      <c r="I1386">
        <v>0</v>
      </c>
      <c r="J1386">
        <v>5000</v>
      </c>
      <c r="K1386">
        <v>5000</v>
      </c>
      <c r="N1386">
        <v>0</v>
      </c>
      <c r="O1386">
        <v>4.0359999999999996</v>
      </c>
      <c r="P1386">
        <v>214</v>
      </c>
      <c r="Q1386">
        <v>4.1500000000000004</v>
      </c>
      <c r="R1386">
        <v>4</v>
      </c>
      <c r="S1386">
        <v>5.25</v>
      </c>
      <c r="T1386">
        <v>95.919155555555562</v>
      </c>
      <c r="W1386" t="s">
        <v>497</v>
      </c>
    </row>
    <row r="1387" spans="1:23" x14ac:dyDescent="0.25">
      <c r="A1387" t="s">
        <v>1837</v>
      </c>
      <c r="B1387" t="str">
        <f t="shared" si="22"/>
        <v>TD1300000031</v>
      </c>
      <c r="C1387" t="s">
        <v>237</v>
      </c>
      <c r="D1387" t="s">
        <v>77</v>
      </c>
      <c r="E1387" t="s">
        <v>287</v>
      </c>
      <c r="F1387">
        <v>5500</v>
      </c>
      <c r="G1387" s="13">
        <v>42312</v>
      </c>
      <c r="H1387" s="13">
        <v>42678</v>
      </c>
      <c r="I1387">
        <v>2500</v>
      </c>
      <c r="J1387">
        <v>3000</v>
      </c>
      <c r="K1387">
        <v>5500</v>
      </c>
      <c r="N1387">
        <v>0</v>
      </c>
      <c r="O1387">
        <v>3.32</v>
      </c>
      <c r="P1387">
        <v>165</v>
      </c>
      <c r="Q1387">
        <v>3.5</v>
      </c>
      <c r="T1387">
        <v>96.643111111111111</v>
      </c>
      <c r="W1387" t="s">
        <v>497</v>
      </c>
    </row>
    <row r="1388" spans="1:23" x14ac:dyDescent="0.25">
      <c r="A1388" t="s">
        <v>1838</v>
      </c>
      <c r="B1388" t="str">
        <f t="shared" si="22"/>
        <v>GA1100000163</v>
      </c>
      <c r="C1388" t="s">
        <v>227</v>
      </c>
      <c r="D1388" t="s">
        <v>77</v>
      </c>
      <c r="E1388" t="s">
        <v>78</v>
      </c>
      <c r="F1388">
        <v>6000</v>
      </c>
      <c r="G1388" s="13">
        <v>42319</v>
      </c>
      <c r="H1388" s="13">
        <v>42412</v>
      </c>
      <c r="I1388">
        <v>1500</v>
      </c>
      <c r="J1388">
        <v>4500</v>
      </c>
      <c r="K1388">
        <v>6000</v>
      </c>
      <c r="N1388">
        <v>0</v>
      </c>
      <c r="O1388">
        <v>3.75</v>
      </c>
      <c r="P1388">
        <v>216.67000000000002</v>
      </c>
      <c r="Q1388">
        <v>4</v>
      </c>
      <c r="T1388">
        <v>99.052083333333329</v>
      </c>
      <c r="W1388" t="s">
        <v>497</v>
      </c>
    </row>
    <row r="1389" spans="1:23" x14ac:dyDescent="0.25">
      <c r="A1389" t="s">
        <v>1839</v>
      </c>
      <c r="B1389" t="str">
        <f t="shared" si="22"/>
        <v>CM1300000237</v>
      </c>
      <c r="C1389" t="s">
        <v>225</v>
      </c>
      <c r="D1389" t="s">
        <v>77</v>
      </c>
      <c r="E1389" t="s">
        <v>287</v>
      </c>
      <c r="F1389">
        <v>5000</v>
      </c>
      <c r="G1389" s="13">
        <v>42319</v>
      </c>
      <c r="H1389" s="13">
        <v>42685</v>
      </c>
      <c r="I1389">
        <v>4250</v>
      </c>
      <c r="J1389">
        <v>750</v>
      </c>
      <c r="K1389">
        <v>5000</v>
      </c>
      <c r="N1389">
        <v>0</v>
      </c>
      <c r="O1389">
        <v>3.2</v>
      </c>
      <c r="P1389">
        <v>160</v>
      </c>
      <c r="Q1389">
        <v>3.3</v>
      </c>
      <c r="T1389">
        <v>96.76444444444445</v>
      </c>
      <c r="W1389" t="s">
        <v>497</v>
      </c>
    </row>
    <row r="1390" spans="1:23" x14ac:dyDescent="0.25">
      <c r="A1390" t="s">
        <v>1840</v>
      </c>
      <c r="B1390" t="str">
        <f t="shared" si="22"/>
        <v>TD1300000049</v>
      </c>
      <c r="C1390" t="s">
        <v>237</v>
      </c>
      <c r="D1390" t="s">
        <v>77</v>
      </c>
      <c r="E1390" t="s">
        <v>287</v>
      </c>
      <c r="F1390">
        <v>15000</v>
      </c>
      <c r="G1390" s="13">
        <v>42326</v>
      </c>
      <c r="H1390" s="13">
        <v>42692</v>
      </c>
      <c r="I1390">
        <v>5357</v>
      </c>
      <c r="J1390">
        <v>9643</v>
      </c>
      <c r="K1390">
        <v>15000</v>
      </c>
      <c r="N1390">
        <v>0</v>
      </c>
      <c r="O1390">
        <v>3.2250000000000001</v>
      </c>
      <c r="P1390">
        <v>103.33000000000001</v>
      </c>
      <c r="Q1390">
        <v>3.25</v>
      </c>
      <c r="R1390">
        <v>3</v>
      </c>
      <c r="S1390">
        <v>3.25</v>
      </c>
      <c r="T1390">
        <v>96.739166666666662</v>
      </c>
      <c r="W1390" t="s">
        <v>497</v>
      </c>
    </row>
    <row r="1391" spans="1:23" x14ac:dyDescent="0.25">
      <c r="A1391" t="s">
        <v>1841</v>
      </c>
      <c r="B1391" t="str">
        <f t="shared" si="22"/>
        <v>CF1200000161</v>
      </c>
      <c r="C1391" t="s">
        <v>634</v>
      </c>
      <c r="D1391" t="s">
        <v>77</v>
      </c>
      <c r="E1391" t="s">
        <v>82</v>
      </c>
      <c r="F1391">
        <v>5500</v>
      </c>
      <c r="G1391" s="13">
        <v>42326</v>
      </c>
      <c r="H1391" s="13">
        <v>42510</v>
      </c>
      <c r="I1391">
        <v>5500</v>
      </c>
      <c r="J1391">
        <v>0</v>
      </c>
      <c r="K1391">
        <v>5500</v>
      </c>
      <c r="N1391">
        <v>0</v>
      </c>
      <c r="O1391">
        <v>5.25</v>
      </c>
      <c r="P1391">
        <v>100</v>
      </c>
      <c r="Q1391">
        <v>5.25</v>
      </c>
      <c r="R1391">
        <v>5.25</v>
      </c>
      <c r="S1391">
        <v>5.25</v>
      </c>
      <c r="T1391">
        <v>97.345833333333331</v>
      </c>
      <c r="W1391" t="s">
        <v>497</v>
      </c>
    </row>
    <row r="1392" spans="1:23" x14ac:dyDescent="0.25">
      <c r="A1392" t="s">
        <v>1842</v>
      </c>
      <c r="B1392" t="str">
        <f t="shared" si="22"/>
        <v>GA1100000171</v>
      </c>
      <c r="C1392" t="s">
        <v>227</v>
      </c>
      <c r="D1392" t="s">
        <v>77</v>
      </c>
      <c r="E1392" t="s">
        <v>78</v>
      </c>
      <c r="F1392">
        <v>6000</v>
      </c>
      <c r="G1392" s="13">
        <v>42340</v>
      </c>
      <c r="H1392" s="13">
        <v>42433</v>
      </c>
      <c r="I1392">
        <v>2132</v>
      </c>
      <c r="J1392">
        <v>3868</v>
      </c>
      <c r="K1392">
        <v>6000</v>
      </c>
      <c r="N1392">
        <v>0</v>
      </c>
      <c r="O1392">
        <v>3.8708300000000002</v>
      </c>
      <c r="P1392">
        <v>161.666</v>
      </c>
      <c r="Q1392">
        <v>4</v>
      </c>
      <c r="R1392">
        <v>3.75</v>
      </c>
      <c r="S1392">
        <v>4.5999999999999996</v>
      </c>
      <c r="T1392">
        <v>99.021540194444441</v>
      </c>
      <c r="W1392" t="s">
        <v>497</v>
      </c>
    </row>
    <row r="1393" spans="1:23" x14ac:dyDescent="0.25">
      <c r="A1393" t="s">
        <v>1843</v>
      </c>
      <c r="B1393" t="str">
        <f t="shared" si="22"/>
        <v>GA1300000104</v>
      </c>
      <c r="C1393" t="s">
        <v>227</v>
      </c>
      <c r="D1393" t="s">
        <v>77</v>
      </c>
      <c r="E1393" t="s">
        <v>287</v>
      </c>
      <c r="F1393">
        <v>5000</v>
      </c>
      <c r="G1393" s="13">
        <v>42347</v>
      </c>
      <c r="H1393" s="13">
        <v>42713</v>
      </c>
      <c r="I1393">
        <v>500</v>
      </c>
      <c r="J1393">
        <v>4500</v>
      </c>
      <c r="K1393">
        <v>5000</v>
      </c>
      <c r="N1393">
        <v>0</v>
      </c>
      <c r="O1393">
        <v>4.0999999999999996</v>
      </c>
      <c r="P1393">
        <v>130</v>
      </c>
      <c r="Q1393">
        <v>4.5</v>
      </c>
      <c r="R1393">
        <v>4</v>
      </c>
      <c r="S1393">
        <v>4.6500000000000004</v>
      </c>
      <c r="T1393">
        <v>95.854444444444439</v>
      </c>
      <c r="W1393" t="s">
        <v>497</v>
      </c>
    </row>
    <row r="1394" spans="1:23" x14ac:dyDescent="0.25">
      <c r="A1394" t="s">
        <v>1844</v>
      </c>
      <c r="B1394" t="str">
        <f t="shared" si="22"/>
        <v>CM1100000288</v>
      </c>
      <c r="C1394" t="s">
        <v>225</v>
      </c>
      <c r="D1394" t="s">
        <v>77</v>
      </c>
      <c r="E1394" t="s">
        <v>78</v>
      </c>
      <c r="F1394">
        <v>5000</v>
      </c>
      <c r="G1394" s="13">
        <v>42347</v>
      </c>
      <c r="H1394" s="13">
        <v>42440</v>
      </c>
      <c r="I1394">
        <v>3500</v>
      </c>
      <c r="J1394">
        <v>1500</v>
      </c>
      <c r="K1394">
        <v>5000</v>
      </c>
      <c r="N1394">
        <v>0</v>
      </c>
      <c r="O1394">
        <v>3.0550000000000002</v>
      </c>
      <c r="P1394">
        <v>190</v>
      </c>
      <c r="Q1394">
        <v>3.15</v>
      </c>
      <c r="R1394">
        <v>2.95</v>
      </c>
      <c r="S1394">
        <v>3.75</v>
      </c>
      <c r="T1394">
        <v>99.227763888888887</v>
      </c>
      <c r="W1394" t="s">
        <v>497</v>
      </c>
    </row>
    <row r="1395" spans="1:23" x14ac:dyDescent="0.25">
      <c r="A1395" t="s">
        <v>1845</v>
      </c>
      <c r="B1395" t="str">
        <f t="shared" si="22"/>
        <v>CM1200000329</v>
      </c>
      <c r="C1395" t="s">
        <v>225</v>
      </c>
      <c r="D1395" t="s">
        <v>77</v>
      </c>
      <c r="E1395" t="s">
        <v>82</v>
      </c>
      <c r="F1395">
        <v>5000</v>
      </c>
      <c r="G1395" s="13">
        <v>42354</v>
      </c>
      <c r="H1395" s="13">
        <v>42538</v>
      </c>
      <c r="I1395">
        <v>3500</v>
      </c>
      <c r="J1395">
        <v>1500</v>
      </c>
      <c r="K1395">
        <v>5000</v>
      </c>
      <c r="N1395">
        <v>0</v>
      </c>
      <c r="O1395">
        <v>2.66</v>
      </c>
      <c r="P1395">
        <v>196</v>
      </c>
      <c r="Q1395">
        <v>3.25</v>
      </c>
      <c r="R1395">
        <v>2.25</v>
      </c>
      <c r="S1395">
        <v>5.05</v>
      </c>
      <c r="T1395">
        <v>98.655222222222221</v>
      </c>
      <c r="W1395" t="s">
        <v>497</v>
      </c>
    </row>
    <row r="1396" spans="1:23" x14ac:dyDescent="0.25">
      <c r="A1396" t="s">
        <v>1846</v>
      </c>
      <c r="B1396" t="str">
        <f t="shared" si="22"/>
        <v>GQ1300000023</v>
      </c>
      <c r="C1396" t="s">
        <v>528</v>
      </c>
      <c r="D1396" t="s">
        <v>77</v>
      </c>
      <c r="E1396" t="s">
        <v>287</v>
      </c>
      <c r="F1396">
        <v>10000</v>
      </c>
      <c r="G1396" s="13">
        <v>42361</v>
      </c>
      <c r="H1396" s="13">
        <v>42727</v>
      </c>
      <c r="I1396">
        <v>10000</v>
      </c>
      <c r="J1396">
        <v>0</v>
      </c>
      <c r="K1396">
        <v>10000</v>
      </c>
      <c r="N1396">
        <v>0</v>
      </c>
      <c r="O1396">
        <v>1.58</v>
      </c>
      <c r="P1396">
        <v>130</v>
      </c>
      <c r="Q1396">
        <v>1.7</v>
      </c>
      <c r="T1396">
        <v>98.402444444444441</v>
      </c>
      <c r="W1396" t="s">
        <v>497</v>
      </c>
    </row>
    <row r="1397" spans="1:23" x14ac:dyDescent="0.25">
      <c r="A1397" t="s">
        <v>1847</v>
      </c>
      <c r="B1397" t="str">
        <f t="shared" si="22"/>
        <v>TD1300000056</v>
      </c>
      <c r="C1397" t="s">
        <v>237</v>
      </c>
      <c r="D1397" t="s">
        <v>77</v>
      </c>
      <c r="E1397" t="s">
        <v>287</v>
      </c>
      <c r="F1397">
        <v>8500</v>
      </c>
      <c r="G1397" s="13">
        <v>42361</v>
      </c>
      <c r="H1397" s="13">
        <v>42727</v>
      </c>
      <c r="I1397">
        <v>6000</v>
      </c>
      <c r="J1397">
        <v>2500</v>
      </c>
      <c r="K1397">
        <v>8500</v>
      </c>
      <c r="N1397">
        <v>0</v>
      </c>
      <c r="O1397">
        <v>3.5</v>
      </c>
      <c r="P1397">
        <v>73.33</v>
      </c>
      <c r="Q1397">
        <v>3.5</v>
      </c>
      <c r="R1397">
        <v>3.5</v>
      </c>
      <c r="S1397">
        <v>4.5</v>
      </c>
      <c r="T1397">
        <v>96.461111111111109</v>
      </c>
      <c r="W1397" t="s">
        <v>497</v>
      </c>
    </row>
    <row r="1398" spans="1:23" x14ac:dyDescent="0.25">
      <c r="A1398" t="s">
        <v>1848</v>
      </c>
      <c r="B1398" t="str">
        <f t="shared" si="22"/>
        <v>CM1100000296</v>
      </c>
      <c r="C1398" t="s">
        <v>225</v>
      </c>
      <c r="D1398" t="s">
        <v>77</v>
      </c>
      <c r="E1398" t="s">
        <v>78</v>
      </c>
      <c r="F1398">
        <v>7000</v>
      </c>
      <c r="G1398" s="13">
        <v>42382</v>
      </c>
      <c r="H1398" s="13">
        <v>42475</v>
      </c>
      <c r="I1398">
        <v>6500</v>
      </c>
      <c r="J1398">
        <v>500</v>
      </c>
      <c r="K1398">
        <v>7000</v>
      </c>
      <c r="N1398">
        <v>0</v>
      </c>
      <c r="O1398">
        <v>2.38</v>
      </c>
      <c r="P1398">
        <v>432.85999999999996</v>
      </c>
      <c r="Q1398">
        <v>2.85</v>
      </c>
      <c r="T1398">
        <v>99.398388888888888</v>
      </c>
      <c r="W1398" t="s">
        <v>497</v>
      </c>
    </row>
    <row r="1399" spans="1:23" x14ac:dyDescent="0.25">
      <c r="A1399" t="s">
        <v>1849</v>
      </c>
      <c r="B1399" t="str">
        <f t="shared" si="22"/>
        <v>TD1200000081</v>
      </c>
      <c r="C1399" t="s">
        <v>237</v>
      </c>
      <c r="D1399" t="s">
        <v>77</v>
      </c>
      <c r="E1399" t="s">
        <v>82</v>
      </c>
      <c r="F1399">
        <v>11000</v>
      </c>
      <c r="G1399" s="13">
        <v>42382</v>
      </c>
      <c r="H1399" s="13">
        <v>42566</v>
      </c>
      <c r="I1399">
        <v>11000</v>
      </c>
      <c r="J1399">
        <v>0</v>
      </c>
      <c r="K1399">
        <v>11000</v>
      </c>
      <c r="N1399">
        <v>0</v>
      </c>
      <c r="O1399">
        <v>3.18</v>
      </c>
      <c r="P1399">
        <v>73</v>
      </c>
      <c r="Q1399">
        <v>3.25</v>
      </c>
      <c r="T1399">
        <v>98.39233333333334</v>
      </c>
      <c r="W1399" t="s">
        <v>497</v>
      </c>
    </row>
    <row r="1400" spans="1:23" x14ac:dyDescent="0.25">
      <c r="A1400" t="s">
        <v>1850</v>
      </c>
      <c r="B1400" t="str">
        <f t="shared" si="22"/>
        <v>TD1200000099</v>
      </c>
      <c r="C1400" t="s">
        <v>237</v>
      </c>
      <c r="D1400" t="s">
        <v>77</v>
      </c>
      <c r="E1400" t="s">
        <v>82</v>
      </c>
      <c r="F1400">
        <v>9000</v>
      </c>
      <c r="G1400" s="13">
        <v>42389</v>
      </c>
      <c r="H1400" s="13">
        <v>42573</v>
      </c>
      <c r="I1400">
        <v>0</v>
      </c>
      <c r="J1400">
        <v>9000</v>
      </c>
      <c r="K1400">
        <v>9000</v>
      </c>
      <c r="N1400">
        <v>0</v>
      </c>
      <c r="O1400">
        <v>3.1</v>
      </c>
      <c r="P1400">
        <v>60</v>
      </c>
      <c r="Q1400">
        <v>3.1</v>
      </c>
      <c r="T1400">
        <v>98.432777777777773</v>
      </c>
      <c r="W1400" t="s">
        <v>497</v>
      </c>
    </row>
    <row r="1401" spans="1:23" x14ac:dyDescent="0.25">
      <c r="A1401" t="s">
        <v>1851</v>
      </c>
      <c r="B1401" t="str">
        <f t="shared" si="22"/>
        <v>CF1200000195</v>
      </c>
      <c r="C1401" t="s">
        <v>634</v>
      </c>
      <c r="D1401" t="s">
        <v>77</v>
      </c>
      <c r="E1401" t="s">
        <v>82</v>
      </c>
      <c r="F1401">
        <v>4000</v>
      </c>
      <c r="G1401" s="13">
        <v>42389</v>
      </c>
      <c r="H1401" s="13">
        <v>42573</v>
      </c>
      <c r="I1401">
        <v>4000</v>
      </c>
      <c r="J1401">
        <v>0</v>
      </c>
      <c r="K1401">
        <v>4000</v>
      </c>
      <c r="N1401">
        <v>0</v>
      </c>
      <c r="O1401">
        <v>5.35</v>
      </c>
      <c r="P1401">
        <v>100</v>
      </c>
      <c r="Q1401">
        <v>5.45</v>
      </c>
      <c r="T1401">
        <v>97.295277777777784</v>
      </c>
      <c r="W1401" t="s">
        <v>497</v>
      </c>
    </row>
    <row r="1402" spans="1:23" x14ac:dyDescent="0.25">
      <c r="A1402" t="s">
        <v>1852</v>
      </c>
      <c r="B1402" t="str">
        <f t="shared" si="22"/>
        <v>GA1100000197</v>
      </c>
      <c r="C1402" t="s">
        <v>227</v>
      </c>
      <c r="D1402" t="s">
        <v>77</v>
      </c>
      <c r="E1402" t="s">
        <v>78</v>
      </c>
      <c r="F1402">
        <v>10000</v>
      </c>
      <c r="G1402" s="13">
        <v>42389</v>
      </c>
      <c r="H1402" s="13">
        <v>42482</v>
      </c>
      <c r="I1402">
        <v>167</v>
      </c>
      <c r="J1402">
        <v>9833</v>
      </c>
      <c r="K1402">
        <v>10000</v>
      </c>
      <c r="N1402">
        <v>0</v>
      </c>
      <c r="O1402">
        <v>3.0954999999999999</v>
      </c>
      <c r="P1402">
        <v>238</v>
      </c>
      <c r="Q1402">
        <v>3.5</v>
      </c>
      <c r="R1402">
        <v>2.95</v>
      </c>
      <c r="S1402">
        <v>5.9</v>
      </c>
      <c r="T1402">
        <v>99.217526388888885</v>
      </c>
      <c r="W1402" t="s">
        <v>497</v>
      </c>
    </row>
    <row r="1403" spans="1:23" x14ac:dyDescent="0.25">
      <c r="A1403" t="s">
        <v>1853</v>
      </c>
      <c r="B1403" t="str">
        <f t="shared" si="22"/>
        <v>GA1200000204</v>
      </c>
      <c r="C1403" t="s">
        <v>227</v>
      </c>
      <c r="D1403" t="s">
        <v>77</v>
      </c>
      <c r="E1403" t="s">
        <v>82</v>
      </c>
      <c r="F1403">
        <v>10000</v>
      </c>
      <c r="G1403" s="13">
        <v>42396</v>
      </c>
      <c r="H1403" s="13">
        <v>42580</v>
      </c>
      <c r="I1403">
        <v>7000</v>
      </c>
      <c r="J1403">
        <v>3000</v>
      </c>
      <c r="K1403">
        <v>10000</v>
      </c>
      <c r="N1403">
        <v>0</v>
      </c>
      <c r="O1403">
        <v>3.7974999999999999</v>
      </c>
      <c r="P1403">
        <v>103</v>
      </c>
      <c r="Q1403">
        <v>4</v>
      </c>
      <c r="R1403">
        <v>3.55</v>
      </c>
      <c r="S1403">
        <v>5.9</v>
      </c>
      <c r="T1403">
        <v>98.080152777777784</v>
      </c>
      <c r="W1403" t="s">
        <v>497</v>
      </c>
    </row>
    <row r="1404" spans="1:23" x14ac:dyDescent="0.25">
      <c r="A1404" t="s">
        <v>1854</v>
      </c>
      <c r="B1404" t="str">
        <f t="shared" si="22"/>
        <v>CM1300000261</v>
      </c>
      <c r="C1404" t="s">
        <v>225</v>
      </c>
      <c r="D1404" t="s">
        <v>77</v>
      </c>
      <c r="E1404" t="s">
        <v>287</v>
      </c>
      <c r="F1404">
        <v>7000</v>
      </c>
      <c r="G1404" s="13">
        <v>42396</v>
      </c>
      <c r="H1404" s="13">
        <v>42762</v>
      </c>
      <c r="I1404">
        <v>6500</v>
      </c>
      <c r="J1404">
        <v>500</v>
      </c>
      <c r="K1404">
        <v>7000</v>
      </c>
      <c r="N1404">
        <v>0</v>
      </c>
      <c r="O1404">
        <v>2.86</v>
      </c>
      <c r="P1404">
        <v>317.86</v>
      </c>
      <c r="Q1404">
        <v>3.05</v>
      </c>
      <c r="T1404">
        <v>97.108222222222224</v>
      </c>
      <c r="W1404" t="s">
        <v>497</v>
      </c>
    </row>
    <row r="1405" spans="1:23" x14ac:dyDescent="0.25">
      <c r="A1405" t="s">
        <v>1855</v>
      </c>
      <c r="B1405" t="str">
        <f t="shared" si="22"/>
        <v>CM1200000337</v>
      </c>
      <c r="C1405" t="s">
        <v>225</v>
      </c>
      <c r="D1405" t="s">
        <v>77</v>
      </c>
      <c r="E1405" t="s">
        <v>82</v>
      </c>
      <c r="F1405">
        <v>7000</v>
      </c>
      <c r="G1405" s="13">
        <v>42410</v>
      </c>
      <c r="H1405" s="13">
        <v>42594</v>
      </c>
      <c r="I1405">
        <v>6500</v>
      </c>
      <c r="J1405">
        <v>500</v>
      </c>
      <c r="K1405">
        <v>7000</v>
      </c>
      <c r="N1405">
        <v>0</v>
      </c>
      <c r="O1405">
        <v>2.52</v>
      </c>
      <c r="P1405">
        <v>275</v>
      </c>
      <c r="Q1405">
        <v>2.65</v>
      </c>
      <c r="R1405">
        <v>2.2999999999999998</v>
      </c>
      <c r="S1405">
        <v>3.2</v>
      </c>
      <c r="T1405">
        <v>98.725999999999999</v>
      </c>
      <c r="W1405" t="s">
        <v>497</v>
      </c>
    </row>
    <row r="1406" spans="1:23" x14ac:dyDescent="0.25">
      <c r="A1406" t="s">
        <v>1856</v>
      </c>
      <c r="B1406" t="str">
        <f t="shared" si="22"/>
        <v>GA1100000205</v>
      </c>
      <c r="C1406" t="s">
        <v>227</v>
      </c>
      <c r="D1406" t="s">
        <v>77</v>
      </c>
      <c r="E1406" t="s">
        <v>78</v>
      </c>
      <c r="F1406">
        <v>6000</v>
      </c>
      <c r="G1406" s="13">
        <v>42410</v>
      </c>
      <c r="H1406" s="13">
        <v>42501</v>
      </c>
      <c r="I1406">
        <v>0</v>
      </c>
      <c r="J1406">
        <v>6000</v>
      </c>
      <c r="K1406">
        <v>6000</v>
      </c>
      <c r="N1406">
        <v>0</v>
      </c>
      <c r="O1406">
        <v>3.1666599999999998</v>
      </c>
      <c r="P1406">
        <v>275</v>
      </c>
      <c r="Q1406">
        <v>3.3</v>
      </c>
      <c r="R1406">
        <v>3</v>
      </c>
      <c r="S1406">
        <v>4</v>
      </c>
      <c r="T1406">
        <v>99.217131277777781</v>
      </c>
      <c r="W1406" t="s">
        <v>497</v>
      </c>
    </row>
    <row r="1407" spans="1:23" x14ac:dyDescent="0.25">
      <c r="A1407" t="s">
        <v>1857</v>
      </c>
      <c r="B1407" t="str">
        <f t="shared" si="22"/>
        <v>GA1300000112</v>
      </c>
      <c r="C1407" t="s">
        <v>227</v>
      </c>
      <c r="D1407" t="s">
        <v>77</v>
      </c>
      <c r="E1407" t="s">
        <v>287</v>
      </c>
      <c r="F1407">
        <v>2500</v>
      </c>
      <c r="G1407" s="13">
        <v>42417</v>
      </c>
      <c r="H1407" s="13">
        <v>42783</v>
      </c>
      <c r="I1407">
        <v>2500</v>
      </c>
      <c r="J1407">
        <v>0</v>
      </c>
      <c r="K1407">
        <v>2500</v>
      </c>
      <c r="N1407">
        <v>0</v>
      </c>
      <c r="O1407">
        <v>4.5199999999999996</v>
      </c>
      <c r="P1407">
        <v>50</v>
      </c>
      <c r="Q1407">
        <v>4.5999999999999996</v>
      </c>
      <c r="R1407">
        <v>4.4000000000000004</v>
      </c>
      <c r="S1407">
        <v>4.5999999999999996</v>
      </c>
      <c r="T1407">
        <v>95.429777777777772</v>
      </c>
      <c r="W1407" t="s">
        <v>497</v>
      </c>
    </row>
    <row r="1408" spans="1:23" x14ac:dyDescent="0.25">
      <c r="A1408" t="s">
        <v>1858</v>
      </c>
      <c r="B1408" t="str">
        <f t="shared" si="22"/>
        <v>TD1300000064</v>
      </c>
      <c r="C1408" t="s">
        <v>237</v>
      </c>
      <c r="D1408" t="s">
        <v>77</v>
      </c>
      <c r="E1408" t="s">
        <v>287</v>
      </c>
      <c r="F1408">
        <v>21000</v>
      </c>
      <c r="G1408" s="13">
        <v>42424</v>
      </c>
      <c r="H1408" s="13">
        <v>42790</v>
      </c>
      <c r="I1408">
        <v>0</v>
      </c>
      <c r="J1408">
        <v>21000</v>
      </c>
      <c r="K1408">
        <v>21000</v>
      </c>
      <c r="N1408">
        <v>0</v>
      </c>
      <c r="O1408">
        <v>3.5</v>
      </c>
      <c r="P1408">
        <v>70</v>
      </c>
      <c r="Q1408">
        <v>3.5</v>
      </c>
      <c r="T1408">
        <v>96.461111111111109</v>
      </c>
      <c r="W1408" t="s">
        <v>497</v>
      </c>
    </row>
    <row r="1409" spans="1:23" x14ac:dyDescent="0.25">
      <c r="A1409" t="s">
        <v>1859</v>
      </c>
      <c r="B1409" t="str">
        <f t="shared" si="22"/>
        <v>CM1300000278</v>
      </c>
      <c r="C1409" t="s">
        <v>225</v>
      </c>
      <c r="D1409" t="s">
        <v>77</v>
      </c>
      <c r="E1409" t="s">
        <v>287</v>
      </c>
      <c r="F1409">
        <v>7000</v>
      </c>
      <c r="G1409" s="13">
        <v>42424</v>
      </c>
      <c r="H1409" s="13">
        <v>42790</v>
      </c>
      <c r="I1409">
        <v>7000</v>
      </c>
      <c r="J1409">
        <v>0</v>
      </c>
      <c r="K1409">
        <v>7000</v>
      </c>
      <c r="N1409">
        <v>0</v>
      </c>
      <c r="O1409">
        <v>2.66</v>
      </c>
      <c r="P1409">
        <v>297.86</v>
      </c>
      <c r="Q1409">
        <v>2.8</v>
      </c>
      <c r="T1409">
        <v>97.310444444444443</v>
      </c>
      <c r="W1409" t="s">
        <v>497</v>
      </c>
    </row>
    <row r="1410" spans="1:23" x14ac:dyDescent="0.25">
      <c r="A1410" t="s">
        <v>1860</v>
      </c>
      <c r="B1410" t="str">
        <f t="shared" si="22"/>
        <v>TD1100000066</v>
      </c>
      <c r="C1410" t="s">
        <v>237</v>
      </c>
      <c r="D1410" t="s">
        <v>77</v>
      </c>
      <c r="E1410" t="s">
        <v>78</v>
      </c>
      <c r="F1410">
        <v>16595</v>
      </c>
      <c r="G1410" s="13">
        <v>42431</v>
      </c>
      <c r="H1410" s="13">
        <v>42524</v>
      </c>
      <c r="I1410">
        <v>15095</v>
      </c>
      <c r="J1410">
        <v>1500</v>
      </c>
      <c r="K1410">
        <v>16595</v>
      </c>
      <c r="N1410">
        <v>0</v>
      </c>
      <c r="O1410">
        <v>3.75</v>
      </c>
      <c r="P1410">
        <v>66</v>
      </c>
      <c r="Q1410">
        <v>3.75</v>
      </c>
      <c r="R1410">
        <v>3.75</v>
      </c>
      <c r="S1410">
        <v>3.75</v>
      </c>
      <c r="T1410">
        <v>99.052083333333329</v>
      </c>
      <c r="W1410" t="s">
        <v>497</v>
      </c>
    </row>
    <row r="1411" spans="1:23" x14ac:dyDescent="0.25">
      <c r="A1411" t="s">
        <v>1861</v>
      </c>
      <c r="B1411" t="str">
        <f t="shared" si="22"/>
        <v>GA1200000212</v>
      </c>
      <c r="C1411" t="s">
        <v>227</v>
      </c>
      <c r="D1411" t="s">
        <v>77</v>
      </c>
      <c r="E1411" t="s">
        <v>82</v>
      </c>
      <c r="F1411">
        <v>5700</v>
      </c>
      <c r="G1411" s="13">
        <v>42431</v>
      </c>
      <c r="H1411" s="13">
        <v>42615</v>
      </c>
      <c r="I1411">
        <v>2500</v>
      </c>
      <c r="J1411">
        <v>3200</v>
      </c>
      <c r="K1411">
        <v>5700</v>
      </c>
      <c r="N1411">
        <v>0</v>
      </c>
      <c r="O1411">
        <v>3.97017</v>
      </c>
      <c r="P1411">
        <v>100</v>
      </c>
      <c r="Q1411">
        <v>4.3</v>
      </c>
      <c r="R1411">
        <v>3.5</v>
      </c>
      <c r="S1411">
        <v>5.9</v>
      </c>
      <c r="T1411">
        <v>97.992858499999997</v>
      </c>
      <c r="W1411" t="s">
        <v>497</v>
      </c>
    </row>
    <row r="1412" spans="1:23" x14ac:dyDescent="0.25">
      <c r="A1412" t="s">
        <v>1862</v>
      </c>
      <c r="B1412" t="str">
        <f t="shared" si="22"/>
        <v>GA1300000121</v>
      </c>
      <c r="C1412" t="s">
        <v>227</v>
      </c>
      <c r="D1412" t="s">
        <v>77</v>
      </c>
      <c r="E1412" t="s">
        <v>287</v>
      </c>
      <c r="F1412">
        <v>5085</v>
      </c>
      <c r="G1412" s="13">
        <v>42438</v>
      </c>
      <c r="H1412" s="13">
        <v>42804</v>
      </c>
      <c r="I1412">
        <v>2500</v>
      </c>
      <c r="J1412">
        <v>2585</v>
      </c>
      <c r="K1412">
        <v>5085</v>
      </c>
      <c r="N1412">
        <v>0</v>
      </c>
      <c r="O1412">
        <v>4.1917400000000002</v>
      </c>
      <c r="P1412">
        <v>63.56</v>
      </c>
      <c r="Q1412">
        <v>4.6500000000000004</v>
      </c>
      <c r="R1412">
        <v>3.7</v>
      </c>
      <c r="S1412">
        <v>4.6500000000000004</v>
      </c>
      <c r="T1412">
        <v>95.761685111111106</v>
      </c>
      <c r="W1412" t="s">
        <v>497</v>
      </c>
    </row>
    <row r="1413" spans="1:23" x14ac:dyDescent="0.25">
      <c r="A1413" t="s">
        <v>1863</v>
      </c>
      <c r="B1413" t="str">
        <f t="shared" si="22"/>
        <v>CM1100000304</v>
      </c>
      <c r="C1413" t="s">
        <v>225</v>
      </c>
      <c r="D1413" t="s">
        <v>77</v>
      </c>
      <c r="E1413" t="s">
        <v>78</v>
      </c>
      <c r="F1413">
        <v>7000</v>
      </c>
      <c r="G1413" s="13">
        <v>42438</v>
      </c>
      <c r="H1413" s="13">
        <v>42531</v>
      </c>
      <c r="I1413">
        <v>7000</v>
      </c>
      <c r="J1413">
        <v>0</v>
      </c>
      <c r="K1413">
        <v>7000</v>
      </c>
      <c r="N1413">
        <v>0</v>
      </c>
      <c r="O1413">
        <v>2.2535699999999999</v>
      </c>
      <c r="P1413">
        <v>394.28999999999996</v>
      </c>
      <c r="Q1413">
        <v>2.2999999999999998</v>
      </c>
      <c r="R1413">
        <v>2.2000000000000002</v>
      </c>
      <c r="S1413">
        <v>3.2</v>
      </c>
      <c r="T1413">
        <v>99.430347583333329</v>
      </c>
      <c r="W1413" t="s">
        <v>497</v>
      </c>
    </row>
    <row r="1414" spans="1:23" x14ac:dyDescent="0.25">
      <c r="A1414" t="s">
        <v>1864</v>
      </c>
      <c r="B1414" t="str">
        <f t="shared" si="22"/>
        <v>TD1100000074</v>
      </c>
      <c r="C1414" t="s">
        <v>237</v>
      </c>
      <c r="D1414" t="s">
        <v>77</v>
      </c>
      <c r="E1414" t="s">
        <v>78</v>
      </c>
      <c r="F1414">
        <v>22220</v>
      </c>
      <c r="G1414" s="13">
        <v>42452</v>
      </c>
      <c r="H1414" s="13">
        <v>42545</v>
      </c>
      <c r="I1414">
        <v>20720</v>
      </c>
      <c r="J1414">
        <v>1500</v>
      </c>
      <c r="K1414">
        <v>22220</v>
      </c>
      <c r="N1414">
        <v>0</v>
      </c>
      <c r="O1414">
        <v>3.74</v>
      </c>
      <c r="P1414">
        <v>89</v>
      </c>
      <c r="Q1414">
        <v>3.75</v>
      </c>
      <c r="R1414">
        <v>3.5</v>
      </c>
      <c r="S1414">
        <v>3.75</v>
      </c>
      <c r="T1414">
        <v>99.054611111111114</v>
      </c>
      <c r="W1414" t="s">
        <v>497</v>
      </c>
    </row>
    <row r="1415" spans="1:23" x14ac:dyDescent="0.25">
      <c r="A1415" t="s">
        <v>1865</v>
      </c>
      <c r="B1415" t="str">
        <f t="shared" si="22"/>
        <v>CM1300000286</v>
      </c>
      <c r="C1415" t="s">
        <v>225</v>
      </c>
      <c r="D1415" t="s">
        <v>77</v>
      </c>
      <c r="E1415" t="s">
        <v>287</v>
      </c>
      <c r="F1415">
        <v>7000</v>
      </c>
      <c r="G1415" s="13">
        <v>42452</v>
      </c>
      <c r="H1415" s="13">
        <v>42790</v>
      </c>
      <c r="I1415">
        <v>7000</v>
      </c>
      <c r="J1415">
        <v>0</v>
      </c>
      <c r="K1415">
        <v>7000</v>
      </c>
      <c r="N1415">
        <v>0</v>
      </c>
      <c r="O1415">
        <v>2.5714199999999998</v>
      </c>
      <c r="P1415">
        <v>220.00000000000003</v>
      </c>
      <c r="Q1415">
        <v>2.75</v>
      </c>
      <c r="R1415">
        <v>2.35</v>
      </c>
      <c r="S1415">
        <v>5.55</v>
      </c>
      <c r="T1415">
        <v>97.600008000000003</v>
      </c>
      <c r="W1415" t="s">
        <v>497</v>
      </c>
    </row>
    <row r="1416" spans="1:23" x14ac:dyDescent="0.25">
      <c r="A1416" t="s">
        <v>1866</v>
      </c>
      <c r="B1416" t="str">
        <f t="shared" si="22"/>
        <v>CM1300000294</v>
      </c>
      <c r="C1416" t="s">
        <v>225</v>
      </c>
      <c r="D1416" t="s">
        <v>77</v>
      </c>
      <c r="E1416" t="s">
        <v>287</v>
      </c>
      <c r="F1416">
        <v>7000</v>
      </c>
      <c r="G1416" s="13">
        <v>42466</v>
      </c>
      <c r="H1416" s="13">
        <v>42832</v>
      </c>
      <c r="I1416">
        <v>7000</v>
      </c>
      <c r="J1416">
        <v>0</v>
      </c>
      <c r="K1416">
        <v>7000</v>
      </c>
      <c r="N1416">
        <v>0</v>
      </c>
      <c r="O1416">
        <v>2.4900000000000002</v>
      </c>
      <c r="P1416">
        <v>262.86</v>
      </c>
      <c r="Q1416">
        <v>2.5499999999999998</v>
      </c>
      <c r="R1416">
        <v>2.35</v>
      </c>
      <c r="S1416">
        <v>5.55</v>
      </c>
      <c r="T1416">
        <v>97.48233333333333</v>
      </c>
      <c r="W1416" t="s">
        <v>497</v>
      </c>
    </row>
    <row r="1417" spans="1:23" x14ac:dyDescent="0.25">
      <c r="A1417" t="s">
        <v>1867</v>
      </c>
      <c r="B1417" t="str">
        <f t="shared" si="22"/>
        <v>GA1200000221</v>
      </c>
      <c r="C1417" t="s">
        <v>227</v>
      </c>
      <c r="D1417" t="s">
        <v>77</v>
      </c>
      <c r="E1417" t="s">
        <v>82</v>
      </c>
      <c r="F1417">
        <v>4500</v>
      </c>
      <c r="G1417" s="13">
        <v>42466</v>
      </c>
      <c r="H1417" s="13">
        <v>42650</v>
      </c>
      <c r="I1417">
        <v>4500</v>
      </c>
      <c r="J1417">
        <v>0</v>
      </c>
      <c r="K1417">
        <v>4500</v>
      </c>
      <c r="N1417">
        <v>0</v>
      </c>
      <c r="O1417">
        <v>3.8333300000000001</v>
      </c>
      <c r="P1417">
        <v>100</v>
      </c>
      <c r="Q1417">
        <v>4.05</v>
      </c>
      <c r="R1417">
        <v>3.5</v>
      </c>
      <c r="S1417">
        <v>6.1</v>
      </c>
      <c r="T1417">
        <v>98.062038722222226</v>
      </c>
      <c r="W1417" t="s">
        <v>497</v>
      </c>
    </row>
    <row r="1418" spans="1:23" x14ac:dyDescent="0.25">
      <c r="A1418" t="s">
        <v>1868</v>
      </c>
      <c r="B1418" t="str">
        <f t="shared" si="22"/>
        <v>CM1100000312</v>
      </c>
      <c r="C1418" t="s">
        <v>225</v>
      </c>
      <c r="D1418" t="s">
        <v>77</v>
      </c>
      <c r="E1418" t="s">
        <v>78</v>
      </c>
      <c r="F1418">
        <v>7000</v>
      </c>
      <c r="G1418" s="13">
        <v>42473</v>
      </c>
      <c r="H1418" s="13">
        <v>42566</v>
      </c>
      <c r="I1418">
        <v>7000</v>
      </c>
      <c r="J1418">
        <v>0</v>
      </c>
      <c r="K1418">
        <v>7000</v>
      </c>
      <c r="N1418">
        <v>0</v>
      </c>
      <c r="O1418">
        <v>2.0142799999999998</v>
      </c>
      <c r="P1418">
        <v>80</v>
      </c>
      <c r="Q1418">
        <v>2.0499999999999998</v>
      </c>
      <c r="R1418">
        <v>2</v>
      </c>
      <c r="S1418">
        <v>2.6</v>
      </c>
      <c r="T1418">
        <v>99.490834777777778</v>
      </c>
      <c r="W1418" t="s">
        <v>497</v>
      </c>
    </row>
    <row r="1419" spans="1:23" x14ac:dyDescent="0.25">
      <c r="A1419" t="s">
        <v>1869</v>
      </c>
      <c r="B1419" t="str">
        <f t="shared" si="22"/>
        <v>GA1300000138</v>
      </c>
      <c r="C1419" t="s">
        <v>227</v>
      </c>
      <c r="D1419" t="s">
        <v>77</v>
      </c>
      <c r="E1419" t="s">
        <v>287</v>
      </c>
      <c r="F1419">
        <v>11075</v>
      </c>
      <c r="G1419" s="13">
        <v>42480</v>
      </c>
      <c r="H1419" s="13">
        <v>42846</v>
      </c>
      <c r="I1419">
        <v>1000</v>
      </c>
      <c r="J1419">
        <v>10075</v>
      </c>
      <c r="K1419">
        <v>11075</v>
      </c>
      <c r="N1419">
        <v>0</v>
      </c>
      <c r="O1419">
        <v>4.2699999999999996</v>
      </c>
      <c r="P1419">
        <v>94.789999999999992</v>
      </c>
      <c r="T1419">
        <v>95.682555555555552</v>
      </c>
      <c r="W1419" t="s">
        <v>497</v>
      </c>
    </row>
    <row r="1420" spans="1:23" x14ac:dyDescent="0.25">
      <c r="A1420" t="s">
        <v>1870</v>
      </c>
      <c r="B1420" t="str">
        <f t="shared" si="22"/>
        <v>CM1200000345</v>
      </c>
      <c r="C1420" t="s">
        <v>225</v>
      </c>
      <c r="D1420" t="s">
        <v>77</v>
      </c>
      <c r="E1420" t="s">
        <v>82</v>
      </c>
      <c r="F1420">
        <v>7000</v>
      </c>
      <c r="G1420" s="13">
        <v>42487</v>
      </c>
      <c r="H1420" s="13">
        <v>42671</v>
      </c>
      <c r="I1420">
        <v>6415</v>
      </c>
      <c r="J1420">
        <v>585</v>
      </c>
      <c r="K1420">
        <v>7000</v>
      </c>
      <c r="N1420">
        <v>0</v>
      </c>
      <c r="O1420">
        <v>2.09571</v>
      </c>
      <c r="P1420">
        <v>275.14</v>
      </c>
      <c r="Q1420">
        <v>2.15</v>
      </c>
      <c r="R1420">
        <v>2</v>
      </c>
      <c r="S1420">
        <v>2.65</v>
      </c>
      <c r="T1420">
        <v>98.940502166666661</v>
      </c>
      <c r="W1420" t="s">
        <v>497</v>
      </c>
    </row>
    <row r="1421" spans="1:23" x14ac:dyDescent="0.25">
      <c r="A1421" t="s">
        <v>1871</v>
      </c>
      <c r="B1421" t="str">
        <f t="shared" si="22"/>
        <v>CM1100000321</v>
      </c>
      <c r="C1421" t="s">
        <v>225</v>
      </c>
      <c r="D1421" t="s">
        <v>77</v>
      </c>
      <c r="E1421" t="s">
        <v>78</v>
      </c>
      <c r="F1421">
        <v>7000</v>
      </c>
      <c r="G1421" s="13">
        <v>42494</v>
      </c>
      <c r="H1421" s="13">
        <v>42587</v>
      </c>
      <c r="I1421">
        <v>5700</v>
      </c>
      <c r="J1421">
        <v>1300</v>
      </c>
      <c r="K1421">
        <v>7000</v>
      </c>
      <c r="N1421">
        <v>0</v>
      </c>
      <c r="O1421">
        <v>1.9750000000000001</v>
      </c>
      <c r="P1421">
        <v>247.14200000000002</v>
      </c>
      <c r="Q1421">
        <v>2</v>
      </c>
      <c r="R1421">
        <v>1.9</v>
      </c>
      <c r="S1421">
        <v>5.5</v>
      </c>
      <c r="T1421">
        <v>99.500763888888883</v>
      </c>
      <c r="W1421" t="s">
        <v>497</v>
      </c>
    </row>
    <row r="1422" spans="1:23" x14ac:dyDescent="0.25">
      <c r="A1422" t="s">
        <v>1872</v>
      </c>
      <c r="B1422" t="str">
        <f t="shared" si="22"/>
        <v>GA1200000238</v>
      </c>
      <c r="C1422" t="s">
        <v>227</v>
      </c>
      <c r="D1422" t="s">
        <v>77</v>
      </c>
      <c r="E1422" t="s">
        <v>82</v>
      </c>
      <c r="F1422">
        <v>10000</v>
      </c>
      <c r="G1422" s="13">
        <v>42501</v>
      </c>
      <c r="H1422" s="13">
        <v>42685</v>
      </c>
      <c r="I1422">
        <v>7740</v>
      </c>
      <c r="J1422">
        <v>2260</v>
      </c>
      <c r="K1422">
        <v>10000</v>
      </c>
      <c r="N1422">
        <v>0</v>
      </c>
      <c r="O1422">
        <v>4.18</v>
      </c>
      <c r="P1422">
        <v>103.49999999999999</v>
      </c>
      <c r="Q1422">
        <v>4.5</v>
      </c>
      <c r="T1422">
        <v>97.88677777777778</v>
      </c>
      <c r="W1422" t="s">
        <v>497</v>
      </c>
    </row>
    <row r="1423" spans="1:23" x14ac:dyDescent="0.25">
      <c r="A1423" t="s">
        <v>1873</v>
      </c>
      <c r="B1423" t="str">
        <f t="shared" si="22"/>
        <v>GA1300000153</v>
      </c>
      <c r="C1423" t="s">
        <v>227</v>
      </c>
      <c r="D1423" t="s">
        <v>77</v>
      </c>
      <c r="E1423" t="s">
        <v>287</v>
      </c>
      <c r="F1423">
        <v>9020</v>
      </c>
      <c r="G1423" s="13">
        <v>42508</v>
      </c>
      <c r="H1423" s="13">
        <v>42874</v>
      </c>
      <c r="I1423">
        <v>0</v>
      </c>
      <c r="J1423">
        <v>9020</v>
      </c>
      <c r="K1423">
        <v>9020</v>
      </c>
      <c r="N1423">
        <v>0</v>
      </c>
      <c r="O1423">
        <v>4.57</v>
      </c>
      <c r="P1423">
        <v>112.7</v>
      </c>
      <c r="T1423">
        <v>95.379222222222225</v>
      </c>
      <c r="W1423" t="s">
        <v>497</v>
      </c>
    </row>
    <row r="1424" spans="1:23" x14ac:dyDescent="0.25">
      <c r="A1424" t="s">
        <v>1874</v>
      </c>
      <c r="B1424" t="str">
        <f t="shared" si="22"/>
        <v>CM1300000302</v>
      </c>
      <c r="C1424" t="s">
        <v>225</v>
      </c>
      <c r="D1424" t="s">
        <v>77</v>
      </c>
      <c r="E1424" t="s">
        <v>287</v>
      </c>
      <c r="F1424">
        <v>7000</v>
      </c>
      <c r="G1424" s="13">
        <v>42508</v>
      </c>
      <c r="H1424" s="13">
        <v>42874</v>
      </c>
      <c r="I1424">
        <v>6842</v>
      </c>
      <c r="J1424">
        <v>158</v>
      </c>
      <c r="K1424">
        <v>7000</v>
      </c>
      <c r="N1424">
        <v>0</v>
      </c>
      <c r="O1424">
        <v>2.36</v>
      </c>
      <c r="P1424">
        <v>250.29</v>
      </c>
      <c r="T1424">
        <v>97.613777777777784</v>
      </c>
      <c r="W1424" t="s">
        <v>497</v>
      </c>
    </row>
    <row r="1425" spans="1:23" x14ac:dyDescent="0.25">
      <c r="A1425" t="s">
        <v>1875</v>
      </c>
      <c r="B1425" t="str">
        <f t="shared" si="22"/>
        <v>CF1200000203</v>
      </c>
      <c r="C1425" t="s">
        <v>634</v>
      </c>
      <c r="D1425" t="s">
        <v>77</v>
      </c>
      <c r="E1425" t="s">
        <v>82</v>
      </c>
      <c r="F1425">
        <v>5500</v>
      </c>
      <c r="G1425" s="13">
        <v>42508</v>
      </c>
      <c r="H1425" s="13">
        <v>42692</v>
      </c>
      <c r="I1425">
        <v>5500</v>
      </c>
      <c r="J1425">
        <v>0</v>
      </c>
      <c r="K1425">
        <v>5500</v>
      </c>
      <c r="N1425">
        <v>0</v>
      </c>
      <c r="O1425">
        <v>5.32</v>
      </c>
      <c r="P1425">
        <v>100</v>
      </c>
      <c r="Q1425">
        <v>5.45</v>
      </c>
      <c r="T1425">
        <v>97.310444444444443</v>
      </c>
      <c r="W1425" t="s">
        <v>497</v>
      </c>
    </row>
    <row r="1426" spans="1:23" x14ac:dyDescent="0.25">
      <c r="A1426" t="s">
        <v>1876</v>
      </c>
      <c r="B1426" t="str">
        <f t="shared" si="22"/>
        <v>TD1100000082</v>
      </c>
      <c r="C1426" t="s">
        <v>237</v>
      </c>
      <c r="D1426" t="s">
        <v>77</v>
      </c>
      <c r="E1426" t="s">
        <v>78</v>
      </c>
      <c r="F1426">
        <v>10600</v>
      </c>
      <c r="G1426" s="13">
        <v>42515</v>
      </c>
      <c r="H1426" s="13">
        <v>42608</v>
      </c>
      <c r="I1426">
        <v>10600</v>
      </c>
      <c r="J1426">
        <v>0</v>
      </c>
      <c r="K1426">
        <v>10600</v>
      </c>
      <c r="N1426">
        <v>0</v>
      </c>
      <c r="O1426">
        <v>3.68</v>
      </c>
      <c r="P1426">
        <v>53</v>
      </c>
      <c r="Q1426">
        <v>3.75</v>
      </c>
      <c r="T1426">
        <v>99.069777777777773</v>
      </c>
      <c r="W1426" t="s">
        <v>497</v>
      </c>
    </row>
    <row r="1427" spans="1:23" x14ac:dyDescent="0.25">
      <c r="A1427" t="s">
        <v>1877</v>
      </c>
      <c r="B1427" t="str">
        <f t="shared" si="22"/>
        <v>TD1200000107</v>
      </c>
      <c r="C1427" t="s">
        <v>237</v>
      </c>
      <c r="D1427" t="s">
        <v>77</v>
      </c>
      <c r="E1427" t="s">
        <v>82</v>
      </c>
      <c r="F1427">
        <v>16500</v>
      </c>
      <c r="G1427" s="13">
        <v>42522</v>
      </c>
      <c r="H1427" s="13">
        <v>42706</v>
      </c>
      <c r="I1427">
        <v>16500</v>
      </c>
      <c r="J1427">
        <v>0</v>
      </c>
      <c r="K1427">
        <v>16500</v>
      </c>
      <c r="N1427">
        <v>0</v>
      </c>
      <c r="O1427">
        <v>3.7121200000000001</v>
      </c>
      <c r="P1427">
        <v>82.5</v>
      </c>
      <c r="Q1427">
        <v>3.75</v>
      </c>
      <c r="R1427">
        <v>3.5</v>
      </c>
      <c r="S1427">
        <v>3.75</v>
      </c>
      <c r="T1427">
        <v>98.123317111111106</v>
      </c>
      <c r="W1427" t="s">
        <v>497</v>
      </c>
    </row>
    <row r="1428" spans="1:23" x14ac:dyDescent="0.25">
      <c r="A1428" t="s">
        <v>1878</v>
      </c>
      <c r="B1428" t="str">
        <f t="shared" si="22"/>
        <v>CM1300000311</v>
      </c>
      <c r="C1428" t="s">
        <v>225</v>
      </c>
      <c r="D1428" t="s">
        <v>77</v>
      </c>
      <c r="E1428" t="s">
        <v>287</v>
      </c>
      <c r="F1428">
        <v>4720</v>
      </c>
      <c r="G1428" s="13">
        <v>42522</v>
      </c>
      <c r="H1428" s="13">
        <v>42888</v>
      </c>
      <c r="I1428">
        <v>4120</v>
      </c>
      <c r="J1428">
        <v>600</v>
      </c>
      <c r="K1428">
        <v>4720</v>
      </c>
      <c r="N1428">
        <v>0</v>
      </c>
      <c r="O1428">
        <v>2.4900000000000002</v>
      </c>
      <c r="P1428">
        <v>86</v>
      </c>
      <c r="T1428">
        <v>97.48233333333333</v>
      </c>
      <c r="W1428" t="s">
        <v>497</v>
      </c>
    </row>
    <row r="1429" spans="1:23" x14ac:dyDescent="0.25">
      <c r="A1429" t="s">
        <v>1879</v>
      </c>
      <c r="B1429" t="str">
        <f t="shared" si="22"/>
        <v>GA1200000246</v>
      </c>
      <c r="C1429" t="s">
        <v>227</v>
      </c>
      <c r="D1429" t="s">
        <v>77</v>
      </c>
      <c r="E1429" t="s">
        <v>82</v>
      </c>
      <c r="F1429">
        <v>10000</v>
      </c>
      <c r="G1429" s="13">
        <v>42522</v>
      </c>
      <c r="H1429" s="13">
        <v>42706</v>
      </c>
      <c r="I1429">
        <v>3200</v>
      </c>
      <c r="J1429">
        <v>6800</v>
      </c>
      <c r="K1429">
        <v>10000</v>
      </c>
      <c r="N1429">
        <v>0</v>
      </c>
      <c r="O1429">
        <v>4.149</v>
      </c>
      <c r="P1429">
        <v>130.5</v>
      </c>
      <c r="Q1429">
        <v>4.4000000000000004</v>
      </c>
      <c r="R1429">
        <v>4</v>
      </c>
      <c r="S1429">
        <v>6.55</v>
      </c>
      <c r="T1429">
        <v>97.902450000000002</v>
      </c>
      <c r="W1429" t="s">
        <v>497</v>
      </c>
    </row>
    <row r="1430" spans="1:23" x14ac:dyDescent="0.25">
      <c r="A1430" t="s">
        <v>1880</v>
      </c>
      <c r="B1430" t="str">
        <f t="shared" si="22"/>
        <v>GA1300000161</v>
      </c>
      <c r="C1430" t="s">
        <v>227</v>
      </c>
      <c r="D1430" t="s">
        <v>77</v>
      </c>
      <c r="E1430" t="s">
        <v>287</v>
      </c>
      <c r="F1430">
        <v>5000</v>
      </c>
      <c r="G1430" s="13">
        <v>42529</v>
      </c>
      <c r="H1430" s="13">
        <v>42895</v>
      </c>
      <c r="I1430">
        <v>4000</v>
      </c>
      <c r="J1430">
        <v>1000</v>
      </c>
      <c r="K1430">
        <v>5000</v>
      </c>
      <c r="N1430">
        <v>0</v>
      </c>
      <c r="O1430">
        <v>4.28</v>
      </c>
      <c r="P1430">
        <v>175</v>
      </c>
      <c r="T1430">
        <v>95.672444444444437</v>
      </c>
      <c r="W1430" t="s">
        <v>497</v>
      </c>
    </row>
    <row r="1431" spans="1:23" x14ac:dyDescent="0.25">
      <c r="A1431" t="s">
        <v>1881</v>
      </c>
      <c r="B1431" t="str">
        <f t="shared" si="22"/>
        <v>TD1300000072</v>
      </c>
      <c r="C1431" t="s">
        <v>237</v>
      </c>
      <c r="D1431" t="s">
        <v>77</v>
      </c>
      <c r="E1431" t="s">
        <v>287</v>
      </c>
      <c r="F1431">
        <v>26800</v>
      </c>
      <c r="G1431" s="13">
        <v>42529</v>
      </c>
      <c r="H1431" s="13">
        <v>42895</v>
      </c>
      <c r="I1431">
        <v>26800</v>
      </c>
      <c r="J1431">
        <v>0</v>
      </c>
      <c r="K1431">
        <v>26800</v>
      </c>
      <c r="N1431">
        <v>0</v>
      </c>
      <c r="O1431">
        <v>3.5</v>
      </c>
      <c r="P1431">
        <v>76.570000000000007</v>
      </c>
      <c r="T1431">
        <v>96.461111111111109</v>
      </c>
      <c r="W1431" t="s">
        <v>497</v>
      </c>
    </row>
    <row r="1432" spans="1:23" x14ac:dyDescent="0.25">
      <c r="A1432" t="s">
        <v>1882</v>
      </c>
      <c r="B1432" t="str">
        <f t="shared" si="22"/>
        <v>CM1200000352</v>
      </c>
      <c r="C1432" t="s">
        <v>225</v>
      </c>
      <c r="D1432" t="s">
        <v>77</v>
      </c>
      <c r="E1432" t="s">
        <v>82</v>
      </c>
      <c r="F1432">
        <v>5700</v>
      </c>
      <c r="G1432" s="13">
        <v>42529</v>
      </c>
      <c r="H1432" s="13">
        <v>42713</v>
      </c>
      <c r="I1432">
        <v>2500</v>
      </c>
      <c r="J1432">
        <v>3200</v>
      </c>
      <c r="K1432">
        <v>5700</v>
      </c>
      <c r="N1432">
        <v>0</v>
      </c>
      <c r="O1432">
        <v>2.2122799999999998</v>
      </c>
      <c r="P1432">
        <v>85.71</v>
      </c>
      <c r="Q1432">
        <v>2.4</v>
      </c>
      <c r="R1432">
        <v>2</v>
      </c>
      <c r="S1432">
        <v>5.5</v>
      </c>
      <c r="T1432">
        <v>98.881569555555558</v>
      </c>
      <c r="W1432" t="s">
        <v>497</v>
      </c>
    </row>
    <row r="1433" spans="1:23" x14ac:dyDescent="0.25">
      <c r="A1433" t="s">
        <v>1883</v>
      </c>
      <c r="B1433" t="str">
        <f t="shared" si="22"/>
        <v>TD1300000081</v>
      </c>
      <c r="C1433" t="s">
        <v>237</v>
      </c>
      <c r="D1433" t="s">
        <v>77</v>
      </c>
      <c r="E1433" t="s">
        <v>287</v>
      </c>
      <c r="F1433">
        <v>14500</v>
      </c>
      <c r="G1433" s="13">
        <v>42536</v>
      </c>
      <c r="H1433" s="13">
        <v>42902</v>
      </c>
      <c r="I1433">
        <v>11500</v>
      </c>
      <c r="J1433">
        <v>3000</v>
      </c>
      <c r="K1433">
        <v>14500</v>
      </c>
      <c r="N1433">
        <v>0</v>
      </c>
      <c r="O1433">
        <v>3.78</v>
      </c>
      <c r="P1433">
        <v>96.67</v>
      </c>
      <c r="T1433">
        <v>96.177999999999997</v>
      </c>
      <c r="W1433" t="s">
        <v>497</v>
      </c>
    </row>
    <row r="1434" spans="1:23" x14ac:dyDescent="0.25">
      <c r="A1434" t="s">
        <v>1884</v>
      </c>
      <c r="B1434" t="str">
        <f t="shared" si="22"/>
        <v>TD1100000091</v>
      </c>
      <c r="C1434" t="s">
        <v>237</v>
      </c>
      <c r="D1434" t="s">
        <v>77</v>
      </c>
      <c r="E1434" t="s">
        <v>78</v>
      </c>
      <c r="F1434">
        <v>6100</v>
      </c>
      <c r="G1434" s="13">
        <v>42543</v>
      </c>
      <c r="H1434" s="13">
        <v>42636</v>
      </c>
      <c r="I1434">
        <v>6100</v>
      </c>
      <c r="J1434">
        <v>0</v>
      </c>
      <c r="K1434">
        <v>6100</v>
      </c>
      <c r="N1434">
        <v>0</v>
      </c>
      <c r="O1434">
        <v>3.68</v>
      </c>
      <c r="P1434">
        <v>24.4</v>
      </c>
      <c r="Q1434">
        <v>3.75</v>
      </c>
      <c r="T1434">
        <v>99.069777777777773</v>
      </c>
      <c r="W1434" t="s">
        <v>497</v>
      </c>
    </row>
    <row r="1435" spans="1:23" x14ac:dyDescent="0.25">
      <c r="A1435" t="s">
        <v>1885</v>
      </c>
      <c r="B1435" t="str">
        <f t="shared" ref="B1435:B1498" si="23">MID(A1435,1,12)</f>
        <v>CM1100000338</v>
      </c>
      <c r="C1435" t="s">
        <v>225</v>
      </c>
      <c r="D1435" t="s">
        <v>77</v>
      </c>
      <c r="E1435" t="s">
        <v>78</v>
      </c>
      <c r="F1435">
        <v>7000</v>
      </c>
      <c r="G1435" s="13">
        <v>42543</v>
      </c>
      <c r="H1435" s="13">
        <v>42636</v>
      </c>
      <c r="I1435">
        <v>7000</v>
      </c>
      <c r="J1435">
        <v>0</v>
      </c>
      <c r="K1435">
        <v>7000</v>
      </c>
      <c r="N1435">
        <v>0</v>
      </c>
      <c r="O1435">
        <v>1.54</v>
      </c>
      <c r="P1435">
        <v>100</v>
      </c>
      <c r="Q1435">
        <v>1.75</v>
      </c>
      <c r="T1435">
        <v>99.610722222222222</v>
      </c>
      <c r="W1435" t="s">
        <v>497</v>
      </c>
    </row>
    <row r="1436" spans="1:23" x14ac:dyDescent="0.25">
      <c r="A1436" t="s">
        <v>1886</v>
      </c>
      <c r="B1436" t="str">
        <f t="shared" si="23"/>
        <v>GA1100000213</v>
      </c>
      <c r="C1436" t="s">
        <v>227</v>
      </c>
      <c r="D1436" t="s">
        <v>77</v>
      </c>
      <c r="E1436" t="s">
        <v>78</v>
      </c>
      <c r="F1436">
        <v>9500</v>
      </c>
      <c r="G1436" s="13">
        <v>42543</v>
      </c>
      <c r="H1436" s="13">
        <v>42636</v>
      </c>
      <c r="I1436">
        <v>7480</v>
      </c>
      <c r="J1436">
        <v>2020</v>
      </c>
      <c r="K1436">
        <v>9500</v>
      </c>
      <c r="N1436">
        <v>0</v>
      </c>
      <c r="O1436">
        <v>3.8515700000000002</v>
      </c>
      <c r="P1436">
        <v>97.8</v>
      </c>
      <c r="Q1436">
        <v>4.3</v>
      </c>
      <c r="R1436">
        <v>3</v>
      </c>
      <c r="S1436">
        <v>6.55</v>
      </c>
      <c r="T1436">
        <v>99.026408694444441</v>
      </c>
      <c r="W1436" t="s">
        <v>497</v>
      </c>
    </row>
    <row r="1437" spans="1:23" x14ac:dyDescent="0.25">
      <c r="A1437" t="s">
        <v>1887</v>
      </c>
      <c r="B1437" t="str">
        <f t="shared" si="23"/>
        <v>CM1100000346</v>
      </c>
      <c r="C1437" t="s">
        <v>225</v>
      </c>
      <c r="D1437" t="s">
        <v>77</v>
      </c>
      <c r="E1437" t="s">
        <v>78</v>
      </c>
      <c r="F1437">
        <v>7000</v>
      </c>
      <c r="G1437" s="13">
        <v>42557</v>
      </c>
      <c r="H1437" s="13">
        <v>42650</v>
      </c>
      <c r="I1437">
        <v>3740</v>
      </c>
      <c r="J1437">
        <v>3260</v>
      </c>
      <c r="K1437">
        <v>7000</v>
      </c>
      <c r="N1437">
        <v>0</v>
      </c>
      <c r="O1437">
        <v>1.7</v>
      </c>
      <c r="P1437">
        <v>432.28999999999996</v>
      </c>
      <c r="Q1437">
        <v>1.8</v>
      </c>
      <c r="T1437">
        <v>99.570277777777775</v>
      </c>
      <c r="W1437" t="s">
        <v>497</v>
      </c>
    </row>
    <row r="1438" spans="1:23" x14ac:dyDescent="0.25">
      <c r="A1438" t="s">
        <v>1888</v>
      </c>
      <c r="B1438" t="str">
        <f t="shared" si="23"/>
        <v>GA1100000221</v>
      </c>
      <c r="C1438" t="s">
        <v>227</v>
      </c>
      <c r="D1438" t="s">
        <v>77</v>
      </c>
      <c r="E1438" t="s">
        <v>78</v>
      </c>
      <c r="F1438">
        <v>5000</v>
      </c>
      <c r="G1438" s="13">
        <v>42557</v>
      </c>
      <c r="H1438" s="13">
        <v>42650</v>
      </c>
      <c r="I1438">
        <v>0</v>
      </c>
      <c r="J1438">
        <v>5000</v>
      </c>
      <c r="K1438">
        <v>5000</v>
      </c>
      <c r="N1438">
        <v>0</v>
      </c>
      <c r="O1438">
        <v>3.8450000000000002</v>
      </c>
      <c r="P1438">
        <v>155</v>
      </c>
      <c r="Q1438">
        <v>4.05</v>
      </c>
      <c r="R1438">
        <v>3.5</v>
      </c>
      <c r="S1438">
        <v>6.75</v>
      </c>
      <c r="T1438">
        <v>99.028069444444441</v>
      </c>
      <c r="W1438" t="s">
        <v>497</v>
      </c>
    </row>
    <row r="1439" spans="1:23" x14ac:dyDescent="0.25">
      <c r="A1439" t="s">
        <v>1889</v>
      </c>
      <c r="B1439" t="str">
        <f t="shared" si="23"/>
        <v>GA1200000253</v>
      </c>
      <c r="C1439" t="s">
        <v>227</v>
      </c>
      <c r="D1439" t="s">
        <v>77</v>
      </c>
      <c r="E1439" t="s">
        <v>82</v>
      </c>
      <c r="F1439">
        <v>5000</v>
      </c>
      <c r="G1439" s="13">
        <v>42564</v>
      </c>
      <c r="H1439" s="13">
        <v>42748</v>
      </c>
      <c r="I1439">
        <v>0</v>
      </c>
      <c r="J1439">
        <v>5000</v>
      </c>
      <c r="K1439">
        <v>5000</v>
      </c>
      <c r="N1439">
        <v>0</v>
      </c>
      <c r="O1439">
        <v>4.1399999999999997</v>
      </c>
      <c r="P1439">
        <v>245.00000000000003</v>
      </c>
      <c r="Q1439">
        <v>4.25</v>
      </c>
      <c r="R1439">
        <v>4</v>
      </c>
      <c r="S1439">
        <v>6.8</v>
      </c>
      <c r="T1439">
        <v>97.906999999999996</v>
      </c>
      <c r="W1439" t="s">
        <v>497</v>
      </c>
    </row>
    <row r="1440" spans="1:23" x14ac:dyDescent="0.25">
      <c r="A1440" t="s">
        <v>1890</v>
      </c>
      <c r="B1440" t="str">
        <f t="shared" si="23"/>
        <v>TD1300000098</v>
      </c>
      <c r="C1440" t="s">
        <v>237</v>
      </c>
      <c r="D1440" t="s">
        <v>77</v>
      </c>
      <c r="E1440" t="s">
        <v>287</v>
      </c>
      <c r="F1440">
        <v>25000</v>
      </c>
      <c r="G1440" s="13">
        <v>42564</v>
      </c>
      <c r="H1440" s="13">
        <v>42930</v>
      </c>
      <c r="I1440">
        <v>25000</v>
      </c>
      <c r="J1440">
        <v>0</v>
      </c>
      <c r="K1440">
        <v>25000</v>
      </c>
      <c r="N1440">
        <v>0</v>
      </c>
      <c r="O1440">
        <v>3.82</v>
      </c>
      <c r="P1440">
        <v>100</v>
      </c>
      <c r="T1440">
        <v>96.137555555555551</v>
      </c>
      <c r="W1440" t="s">
        <v>497</v>
      </c>
    </row>
    <row r="1441" spans="1:23" x14ac:dyDescent="0.25">
      <c r="A1441" t="s">
        <v>1891</v>
      </c>
      <c r="B1441" t="str">
        <f t="shared" si="23"/>
        <v>CM1300000328</v>
      </c>
      <c r="C1441" t="s">
        <v>225</v>
      </c>
      <c r="D1441" t="s">
        <v>77</v>
      </c>
      <c r="E1441" t="s">
        <v>287</v>
      </c>
      <c r="F1441">
        <v>7000</v>
      </c>
      <c r="G1441" s="13">
        <v>42571</v>
      </c>
      <c r="H1441" s="13">
        <v>42937</v>
      </c>
      <c r="I1441">
        <v>3450</v>
      </c>
      <c r="J1441">
        <v>3550</v>
      </c>
      <c r="K1441">
        <v>7000</v>
      </c>
      <c r="N1441">
        <v>0</v>
      </c>
      <c r="O1441">
        <v>2.42</v>
      </c>
      <c r="P1441">
        <v>235.71</v>
      </c>
      <c r="T1441">
        <v>97.553111111111107</v>
      </c>
      <c r="W1441" t="s">
        <v>497</v>
      </c>
    </row>
    <row r="1442" spans="1:23" x14ac:dyDescent="0.25">
      <c r="A1442" t="s">
        <v>1892</v>
      </c>
      <c r="B1442" t="str">
        <f t="shared" si="23"/>
        <v>GQ1300000049</v>
      </c>
      <c r="C1442" t="s">
        <v>528</v>
      </c>
      <c r="D1442" t="s">
        <v>77</v>
      </c>
      <c r="E1442" t="s">
        <v>287</v>
      </c>
      <c r="F1442">
        <v>10000</v>
      </c>
      <c r="G1442" s="13">
        <v>42571</v>
      </c>
      <c r="H1442" s="13">
        <v>42937</v>
      </c>
      <c r="I1442">
        <v>10000</v>
      </c>
      <c r="J1442">
        <v>0</v>
      </c>
      <c r="K1442">
        <v>10000</v>
      </c>
      <c r="N1442">
        <v>0</v>
      </c>
      <c r="O1442">
        <v>1.58</v>
      </c>
      <c r="P1442">
        <v>130</v>
      </c>
      <c r="T1442">
        <v>98.402444444444441</v>
      </c>
      <c r="W1442" t="s">
        <v>497</v>
      </c>
    </row>
    <row r="1443" spans="1:23" x14ac:dyDescent="0.25">
      <c r="A1443" t="s">
        <v>1893</v>
      </c>
      <c r="B1443" t="str">
        <f t="shared" si="23"/>
        <v>CF1200000211</v>
      </c>
      <c r="C1443" t="s">
        <v>634</v>
      </c>
      <c r="D1443" t="s">
        <v>77</v>
      </c>
      <c r="E1443" t="s">
        <v>82</v>
      </c>
      <c r="F1443">
        <v>4000</v>
      </c>
      <c r="G1443" s="13">
        <v>42571</v>
      </c>
      <c r="H1443" s="13">
        <v>42755</v>
      </c>
      <c r="I1443">
        <v>4000</v>
      </c>
      <c r="J1443">
        <v>0</v>
      </c>
      <c r="K1443">
        <v>4000</v>
      </c>
      <c r="N1443">
        <v>0</v>
      </c>
      <c r="O1443">
        <v>5</v>
      </c>
      <c r="P1443">
        <v>100</v>
      </c>
      <c r="Q1443">
        <v>5.25</v>
      </c>
      <c r="R1443">
        <v>5</v>
      </c>
      <c r="S1443">
        <v>5.25</v>
      </c>
      <c r="T1443">
        <v>97.472222222222229</v>
      </c>
      <c r="W1443" t="s">
        <v>497</v>
      </c>
    </row>
    <row r="1444" spans="1:23" x14ac:dyDescent="0.25">
      <c r="A1444" t="s">
        <v>1894</v>
      </c>
      <c r="B1444" t="str">
        <f t="shared" si="23"/>
        <v>TD1100000108</v>
      </c>
      <c r="C1444" t="s">
        <v>237</v>
      </c>
      <c r="D1444" t="s">
        <v>77</v>
      </c>
      <c r="E1444" t="s">
        <v>78</v>
      </c>
      <c r="F1444">
        <v>11200</v>
      </c>
      <c r="G1444" s="13">
        <v>42578</v>
      </c>
      <c r="H1444" s="13">
        <v>42668</v>
      </c>
      <c r="I1444">
        <v>10700</v>
      </c>
      <c r="J1444">
        <v>500</v>
      </c>
      <c r="K1444">
        <v>11200</v>
      </c>
      <c r="N1444">
        <v>0</v>
      </c>
      <c r="O1444">
        <v>3.9308000000000001</v>
      </c>
      <c r="P1444">
        <v>56.000000000000007</v>
      </c>
      <c r="Q1444">
        <v>4</v>
      </c>
      <c r="R1444">
        <v>3.25</v>
      </c>
      <c r="S1444">
        <v>4</v>
      </c>
      <c r="T1444">
        <v>99.039137777777782</v>
      </c>
      <c r="W1444" t="s">
        <v>497</v>
      </c>
    </row>
    <row r="1445" spans="1:23" x14ac:dyDescent="0.25">
      <c r="A1445" t="s">
        <v>1895</v>
      </c>
      <c r="B1445" t="str">
        <f t="shared" si="23"/>
        <v>GA1300000179</v>
      </c>
      <c r="C1445" t="s">
        <v>227</v>
      </c>
      <c r="D1445" t="s">
        <v>77</v>
      </c>
      <c r="E1445" t="s">
        <v>287</v>
      </c>
      <c r="F1445">
        <v>8500</v>
      </c>
      <c r="G1445" s="13">
        <v>42578</v>
      </c>
      <c r="H1445" s="13">
        <v>42944</v>
      </c>
      <c r="I1445">
        <v>2500</v>
      </c>
      <c r="J1445">
        <v>6000</v>
      </c>
      <c r="K1445">
        <v>8500</v>
      </c>
      <c r="N1445">
        <v>0</v>
      </c>
      <c r="O1445">
        <v>4.67</v>
      </c>
      <c r="P1445">
        <v>85</v>
      </c>
      <c r="T1445">
        <v>95.278111111111116</v>
      </c>
      <c r="W1445" t="s">
        <v>497</v>
      </c>
    </row>
    <row r="1446" spans="1:23" x14ac:dyDescent="0.25">
      <c r="A1446" t="s">
        <v>1896</v>
      </c>
      <c r="B1446" t="str">
        <f t="shared" si="23"/>
        <v>CM1200000361</v>
      </c>
      <c r="C1446" t="s">
        <v>225</v>
      </c>
      <c r="D1446" t="s">
        <v>77</v>
      </c>
      <c r="E1446" t="s">
        <v>82</v>
      </c>
      <c r="F1446">
        <v>7000</v>
      </c>
      <c r="G1446" s="13">
        <v>42585</v>
      </c>
      <c r="H1446" s="13">
        <v>42769</v>
      </c>
      <c r="I1446">
        <v>7000</v>
      </c>
      <c r="J1446">
        <v>0</v>
      </c>
      <c r="K1446">
        <v>7000</v>
      </c>
      <c r="N1446">
        <v>0</v>
      </c>
      <c r="O1446">
        <v>2.0964200000000002</v>
      </c>
      <c r="P1446">
        <v>400.72999999999996</v>
      </c>
      <c r="Q1446">
        <v>2.1</v>
      </c>
      <c r="R1446">
        <v>2.0499999999999998</v>
      </c>
      <c r="S1446">
        <v>4.8</v>
      </c>
      <c r="T1446">
        <v>98.940143222222218</v>
      </c>
      <c r="W1446" t="s">
        <v>497</v>
      </c>
    </row>
    <row r="1447" spans="1:23" x14ac:dyDescent="0.25">
      <c r="A1447" t="s">
        <v>1897</v>
      </c>
      <c r="B1447" t="str">
        <f t="shared" si="23"/>
        <v>GQ1300000056</v>
      </c>
      <c r="C1447" t="s">
        <v>528</v>
      </c>
      <c r="D1447" t="s">
        <v>77</v>
      </c>
      <c r="E1447" t="s">
        <v>287</v>
      </c>
      <c r="F1447">
        <v>10000</v>
      </c>
      <c r="G1447" s="13">
        <v>42585</v>
      </c>
      <c r="H1447" s="13">
        <v>42951</v>
      </c>
      <c r="I1447">
        <v>10000</v>
      </c>
      <c r="J1447">
        <v>0</v>
      </c>
      <c r="K1447">
        <v>10000</v>
      </c>
      <c r="N1447">
        <v>0</v>
      </c>
      <c r="O1447">
        <v>1.58</v>
      </c>
      <c r="P1447">
        <v>80</v>
      </c>
      <c r="T1447">
        <v>98.402444444444441</v>
      </c>
      <c r="W1447" t="s">
        <v>497</v>
      </c>
    </row>
    <row r="1448" spans="1:23" x14ac:dyDescent="0.25">
      <c r="A1448" t="s">
        <v>1898</v>
      </c>
      <c r="B1448" t="str">
        <f t="shared" si="23"/>
        <v>GA1100000239</v>
      </c>
      <c r="C1448" t="s">
        <v>227</v>
      </c>
      <c r="D1448" t="s">
        <v>77</v>
      </c>
      <c r="E1448" t="s">
        <v>78</v>
      </c>
      <c r="F1448">
        <v>6000</v>
      </c>
      <c r="G1448" s="13">
        <v>42585</v>
      </c>
      <c r="H1448" s="13">
        <v>42678</v>
      </c>
      <c r="I1448">
        <v>3000</v>
      </c>
      <c r="J1448">
        <v>3000</v>
      </c>
      <c r="K1448">
        <v>6000</v>
      </c>
      <c r="N1448">
        <v>0</v>
      </c>
      <c r="O1448">
        <v>3.9249999999999998</v>
      </c>
      <c r="P1448">
        <v>310.75</v>
      </c>
      <c r="Q1448">
        <v>4</v>
      </c>
      <c r="R1448">
        <v>3.5</v>
      </c>
      <c r="S1448">
        <v>5</v>
      </c>
      <c r="T1448">
        <v>99.007847222222225</v>
      </c>
      <c r="W1448" t="s">
        <v>497</v>
      </c>
    </row>
    <row r="1449" spans="1:23" x14ac:dyDescent="0.25">
      <c r="A1449" t="s">
        <v>1899</v>
      </c>
      <c r="B1449" t="str">
        <f t="shared" si="23"/>
        <v>GA1300000195</v>
      </c>
      <c r="C1449" t="s">
        <v>227</v>
      </c>
      <c r="D1449" t="s">
        <v>77</v>
      </c>
      <c r="E1449" t="s">
        <v>287</v>
      </c>
      <c r="F1449">
        <v>6000</v>
      </c>
      <c r="G1449" s="13">
        <v>42592</v>
      </c>
      <c r="H1449" s="13">
        <v>42958</v>
      </c>
      <c r="I1449">
        <v>3000</v>
      </c>
      <c r="J1449">
        <v>3000</v>
      </c>
      <c r="K1449">
        <v>6000</v>
      </c>
      <c r="N1449">
        <v>0</v>
      </c>
      <c r="O1449">
        <v>4.67</v>
      </c>
      <c r="P1449">
        <v>279.17</v>
      </c>
      <c r="T1449">
        <v>95.278111111111116</v>
      </c>
      <c r="W1449" t="s">
        <v>497</v>
      </c>
    </row>
    <row r="1450" spans="1:23" x14ac:dyDescent="0.25">
      <c r="A1450" t="s">
        <v>1900</v>
      </c>
      <c r="B1450" t="str">
        <f t="shared" si="23"/>
        <v>CM1100000353</v>
      </c>
      <c r="C1450" t="s">
        <v>225</v>
      </c>
      <c r="D1450" t="s">
        <v>77</v>
      </c>
      <c r="E1450" t="s">
        <v>78</v>
      </c>
      <c r="F1450">
        <v>7000</v>
      </c>
      <c r="G1450" s="13">
        <v>42592</v>
      </c>
      <c r="H1450" s="13">
        <v>42685</v>
      </c>
      <c r="I1450">
        <v>3857</v>
      </c>
      <c r="J1450">
        <v>3143</v>
      </c>
      <c r="K1450">
        <v>7000</v>
      </c>
      <c r="N1450">
        <v>0</v>
      </c>
      <c r="O1450">
        <v>1.69</v>
      </c>
      <c r="P1450">
        <v>292.86</v>
      </c>
      <c r="Q1450">
        <v>1.8</v>
      </c>
      <c r="T1450">
        <v>99.572805555555561</v>
      </c>
      <c r="W1450" t="s">
        <v>497</v>
      </c>
    </row>
    <row r="1451" spans="1:23" x14ac:dyDescent="0.25">
      <c r="A1451" t="s">
        <v>1901</v>
      </c>
      <c r="B1451" t="str">
        <f t="shared" si="23"/>
        <v>GA1300000203</v>
      </c>
      <c r="C1451" t="s">
        <v>227</v>
      </c>
      <c r="D1451" t="s">
        <v>77</v>
      </c>
      <c r="E1451" t="s">
        <v>287</v>
      </c>
      <c r="F1451">
        <v>10000</v>
      </c>
      <c r="G1451" s="13">
        <v>42599</v>
      </c>
      <c r="H1451" s="13">
        <v>42965</v>
      </c>
      <c r="I1451">
        <v>3500</v>
      </c>
      <c r="J1451">
        <v>6500</v>
      </c>
      <c r="K1451">
        <v>10000</v>
      </c>
      <c r="N1451">
        <v>0</v>
      </c>
      <c r="O1451">
        <v>4.58</v>
      </c>
      <c r="P1451">
        <v>122.50000000000001</v>
      </c>
      <c r="T1451">
        <v>95.36911111111111</v>
      </c>
      <c r="W1451" t="s">
        <v>497</v>
      </c>
    </row>
    <row r="1452" spans="1:23" x14ac:dyDescent="0.25">
      <c r="A1452" t="s">
        <v>1902</v>
      </c>
      <c r="B1452" t="str">
        <f t="shared" si="23"/>
        <v>GA1200000261</v>
      </c>
      <c r="C1452" t="s">
        <v>227</v>
      </c>
      <c r="D1452" t="s">
        <v>77</v>
      </c>
      <c r="E1452" t="s">
        <v>82</v>
      </c>
      <c r="F1452">
        <v>8000</v>
      </c>
      <c r="G1452" s="13">
        <v>42606</v>
      </c>
      <c r="H1452" s="13">
        <v>42790</v>
      </c>
      <c r="I1452">
        <v>2000</v>
      </c>
      <c r="J1452">
        <v>6000</v>
      </c>
      <c r="K1452">
        <v>8000</v>
      </c>
      <c r="N1452">
        <v>0</v>
      </c>
      <c r="O1452">
        <v>4.2937500000000002</v>
      </c>
      <c r="P1452">
        <v>146.875</v>
      </c>
      <c r="Q1452">
        <v>4.7</v>
      </c>
      <c r="R1452">
        <v>4.05</v>
      </c>
      <c r="S1452">
        <v>6.8</v>
      </c>
      <c r="T1452">
        <v>97.829270833333339</v>
      </c>
      <c r="W1452" t="s">
        <v>497</v>
      </c>
    </row>
    <row r="1453" spans="1:23" x14ac:dyDescent="0.25">
      <c r="A1453" t="s">
        <v>1903</v>
      </c>
      <c r="B1453" t="str">
        <f t="shared" si="23"/>
        <v>CM1300000336</v>
      </c>
      <c r="C1453" t="s">
        <v>225</v>
      </c>
      <c r="D1453" t="s">
        <v>77</v>
      </c>
      <c r="E1453" t="s">
        <v>287</v>
      </c>
      <c r="F1453">
        <v>7000</v>
      </c>
      <c r="G1453" s="13">
        <v>42606</v>
      </c>
      <c r="H1453" s="13">
        <v>42972</v>
      </c>
      <c r="I1453">
        <v>6500</v>
      </c>
      <c r="J1453">
        <v>500</v>
      </c>
      <c r="K1453">
        <v>7000</v>
      </c>
      <c r="N1453">
        <v>0</v>
      </c>
      <c r="O1453">
        <v>2.42</v>
      </c>
      <c r="P1453">
        <v>251.7</v>
      </c>
      <c r="T1453">
        <v>97.553111111111107</v>
      </c>
      <c r="W1453" t="s">
        <v>497</v>
      </c>
    </row>
    <row r="1454" spans="1:23" x14ac:dyDescent="0.25">
      <c r="A1454" t="s">
        <v>1904</v>
      </c>
      <c r="B1454" t="str">
        <f t="shared" si="23"/>
        <v>TD1300000114</v>
      </c>
      <c r="C1454" t="s">
        <v>237</v>
      </c>
      <c r="D1454" t="s">
        <v>77</v>
      </c>
      <c r="E1454" t="s">
        <v>287</v>
      </c>
      <c r="F1454">
        <v>15000</v>
      </c>
      <c r="G1454" s="13">
        <v>42606</v>
      </c>
      <c r="H1454" s="13">
        <v>42972</v>
      </c>
      <c r="I1454">
        <v>15000</v>
      </c>
      <c r="J1454">
        <v>0</v>
      </c>
      <c r="K1454">
        <v>15000</v>
      </c>
      <c r="N1454">
        <v>0</v>
      </c>
      <c r="O1454">
        <v>3.88</v>
      </c>
      <c r="P1454">
        <v>100</v>
      </c>
      <c r="T1454">
        <v>96.076888888888888</v>
      </c>
      <c r="W1454" t="s">
        <v>497</v>
      </c>
    </row>
    <row r="1455" spans="1:23" x14ac:dyDescent="0.25">
      <c r="A1455" t="s">
        <v>1905</v>
      </c>
      <c r="B1455" t="str">
        <f t="shared" si="23"/>
        <v>TD1300000122</v>
      </c>
      <c r="C1455" t="s">
        <v>237</v>
      </c>
      <c r="D1455" t="s">
        <v>77</v>
      </c>
      <c r="E1455" t="s">
        <v>287</v>
      </c>
      <c r="F1455">
        <v>16200</v>
      </c>
      <c r="G1455" s="13">
        <v>42613</v>
      </c>
      <c r="H1455" s="13">
        <v>42979</v>
      </c>
      <c r="I1455">
        <v>1200</v>
      </c>
      <c r="J1455">
        <v>15000</v>
      </c>
      <c r="K1455">
        <v>16200</v>
      </c>
      <c r="N1455">
        <v>0</v>
      </c>
      <c r="O1455">
        <v>3.97</v>
      </c>
      <c r="P1455">
        <v>81</v>
      </c>
      <c r="T1455">
        <v>95.985888888888894</v>
      </c>
      <c r="W1455" t="s">
        <v>497</v>
      </c>
    </row>
    <row r="1456" spans="1:23" x14ac:dyDescent="0.25">
      <c r="A1456" t="s">
        <v>1906</v>
      </c>
      <c r="B1456" t="str">
        <f t="shared" si="23"/>
        <v>CM1300000344</v>
      </c>
      <c r="C1456" t="s">
        <v>225</v>
      </c>
      <c r="D1456" t="s">
        <v>77</v>
      </c>
      <c r="E1456" t="s">
        <v>287</v>
      </c>
      <c r="F1456">
        <v>7000</v>
      </c>
      <c r="G1456" s="13">
        <v>42620</v>
      </c>
      <c r="H1456" s="13">
        <v>42986</v>
      </c>
      <c r="I1456">
        <v>4500</v>
      </c>
      <c r="J1456">
        <v>2500</v>
      </c>
      <c r="K1456">
        <v>7000</v>
      </c>
      <c r="N1456">
        <v>0</v>
      </c>
      <c r="O1456">
        <v>2.21</v>
      </c>
      <c r="P1456">
        <v>230.7</v>
      </c>
      <c r="T1456">
        <v>97.765444444444441</v>
      </c>
      <c r="W1456" t="s">
        <v>497</v>
      </c>
    </row>
    <row r="1457" spans="1:23" x14ac:dyDescent="0.25">
      <c r="A1457" t="s">
        <v>1907</v>
      </c>
      <c r="B1457" t="str">
        <f t="shared" si="23"/>
        <v>TD1300000131</v>
      </c>
      <c r="C1457" t="s">
        <v>237</v>
      </c>
      <c r="D1457" t="s">
        <v>77</v>
      </c>
      <c r="E1457" t="s">
        <v>287</v>
      </c>
      <c r="F1457">
        <v>15000</v>
      </c>
      <c r="G1457" s="13">
        <v>42620</v>
      </c>
      <c r="H1457" s="13">
        <v>42986</v>
      </c>
      <c r="I1457">
        <v>0</v>
      </c>
      <c r="J1457">
        <v>15000</v>
      </c>
      <c r="K1457">
        <v>15000</v>
      </c>
      <c r="N1457">
        <v>0</v>
      </c>
      <c r="O1457">
        <v>4.5</v>
      </c>
      <c r="P1457">
        <v>100</v>
      </c>
      <c r="T1457">
        <v>95.45</v>
      </c>
      <c r="W1457" t="s">
        <v>497</v>
      </c>
    </row>
    <row r="1458" spans="1:23" x14ac:dyDescent="0.25">
      <c r="A1458" t="s">
        <v>1908</v>
      </c>
      <c r="B1458" t="str">
        <f t="shared" si="23"/>
        <v>GA1100000247</v>
      </c>
      <c r="C1458" t="s">
        <v>227</v>
      </c>
      <c r="D1458" t="s">
        <v>77</v>
      </c>
      <c r="E1458" t="s">
        <v>78</v>
      </c>
      <c r="F1458">
        <v>4000</v>
      </c>
      <c r="G1458" s="13">
        <v>42620</v>
      </c>
      <c r="H1458" s="13">
        <v>42713</v>
      </c>
      <c r="I1458">
        <v>4000</v>
      </c>
      <c r="J1458">
        <v>0</v>
      </c>
      <c r="K1458">
        <v>4000</v>
      </c>
      <c r="N1458">
        <v>0</v>
      </c>
      <c r="O1458">
        <v>4.1500000000000004</v>
      </c>
      <c r="P1458">
        <v>66.67</v>
      </c>
      <c r="Q1458">
        <v>4.3499999999999996</v>
      </c>
      <c r="T1458">
        <v>98.950972222222219</v>
      </c>
      <c r="W1458" t="s">
        <v>497</v>
      </c>
    </row>
    <row r="1459" spans="1:23" x14ac:dyDescent="0.25">
      <c r="A1459" t="s">
        <v>1909</v>
      </c>
      <c r="B1459" t="str">
        <f t="shared" si="23"/>
        <v>GA1200000279</v>
      </c>
      <c r="C1459" t="s">
        <v>227</v>
      </c>
      <c r="D1459" t="s">
        <v>77</v>
      </c>
      <c r="E1459" t="s">
        <v>82</v>
      </c>
      <c r="F1459">
        <v>8000</v>
      </c>
      <c r="G1459" s="13">
        <v>42627</v>
      </c>
      <c r="H1459" s="13">
        <v>42811</v>
      </c>
      <c r="I1459">
        <v>8000</v>
      </c>
      <c r="J1459">
        <v>0</v>
      </c>
      <c r="K1459">
        <v>8000</v>
      </c>
      <c r="N1459">
        <v>0</v>
      </c>
      <c r="O1459">
        <v>4.4800000000000004</v>
      </c>
      <c r="P1459">
        <v>125</v>
      </c>
      <c r="Q1459">
        <v>4.55</v>
      </c>
      <c r="T1459">
        <v>97.735111111111109</v>
      </c>
      <c r="W1459" t="s">
        <v>497</v>
      </c>
    </row>
    <row r="1460" spans="1:23" x14ac:dyDescent="0.25">
      <c r="A1460" t="s">
        <v>1910</v>
      </c>
      <c r="B1460" t="str">
        <f t="shared" si="23"/>
        <v>GA1300000211</v>
      </c>
      <c r="C1460" t="s">
        <v>227</v>
      </c>
      <c r="D1460" t="s">
        <v>77</v>
      </c>
      <c r="E1460" t="s">
        <v>287</v>
      </c>
      <c r="F1460">
        <v>10000</v>
      </c>
      <c r="G1460" s="13">
        <v>42634</v>
      </c>
      <c r="H1460" s="13">
        <v>43000</v>
      </c>
      <c r="I1460">
        <v>10000</v>
      </c>
      <c r="J1460">
        <v>0</v>
      </c>
      <c r="K1460">
        <v>10000</v>
      </c>
      <c r="N1460">
        <v>0</v>
      </c>
      <c r="O1460">
        <v>4.93</v>
      </c>
      <c r="P1460">
        <v>135</v>
      </c>
      <c r="T1460">
        <v>95.015222222222221</v>
      </c>
      <c r="W1460" t="s">
        <v>497</v>
      </c>
    </row>
    <row r="1461" spans="1:23" x14ac:dyDescent="0.25">
      <c r="A1461" t="s">
        <v>1911</v>
      </c>
      <c r="B1461" t="str">
        <f t="shared" si="23"/>
        <v>CM1100000361</v>
      </c>
      <c r="C1461" t="s">
        <v>225</v>
      </c>
      <c r="D1461" t="s">
        <v>77</v>
      </c>
      <c r="E1461" t="s">
        <v>78</v>
      </c>
      <c r="F1461">
        <v>7000</v>
      </c>
      <c r="G1461" s="13">
        <v>42634</v>
      </c>
      <c r="H1461" s="13">
        <v>42727</v>
      </c>
      <c r="I1461">
        <v>4087</v>
      </c>
      <c r="J1461">
        <v>2913</v>
      </c>
      <c r="K1461">
        <v>7000</v>
      </c>
      <c r="N1461">
        <v>0</v>
      </c>
      <c r="O1461">
        <v>1.76</v>
      </c>
      <c r="P1461">
        <v>148.9</v>
      </c>
      <c r="Q1461">
        <v>1.85</v>
      </c>
      <c r="T1461">
        <v>99.555111111111117</v>
      </c>
      <c r="W1461" t="s">
        <v>497</v>
      </c>
    </row>
    <row r="1462" spans="1:23" x14ac:dyDescent="0.25">
      <c r="A1462" t="s">
        <v>1912</v>
      </c>
      <c r="B1462" t="str">
        <f t="shared" si="23"/>
        <v>GQ1300000081</v>
      </c>
      <c r="C1462" t="s">
        <v>528</v>
      </c>
      <c r="D1462" t="s">
        <v>77</v>
      </c>
      <c r="E1462" t="s">
        <v>287</v>
      </c>
      <c r="F1462">
        <v>10000</v>
      </c>
      <c r="G1462" s="13">
        <v>42634</v>
      </c>
      <c r="H1462" s="13">
        <v>43000</v>
      </c>
      <c r="I1462">
        <v>10000</v>
      </c>
      <c r="J1462">
        <v>0</v>
      </c>
      <c r="K1462">
        <v>10000</v>
      </c>
      <c r="N1462">
        <v>0</v>
      </c>
      <c r="O1462">
        <v>2.14</v>
      </c>
      <c r="P1462">
        <v>150</v>
      </c>
      <c r="T1462">
        <v>97.836222222222219</v>
      </c>
      <c r="W1462" t="s">
        <v>497</v>
      </c>
    </row>
    <row r="1463" spans="1:23" x14ac:dyDescent="0.25">
      <c r="A1463" t="s">
        <v>1913</v>
      </c>
      <c r="B1463" t="str">
        <f t="shared" si="23"/>
        <v>CM1100000379</v>
      </c>
      <c r="C1463" t="s">
        <v>225</v>
      </c>
      <c r="D1463" t="s">
        <v>77</v>
      </c>
      <c r="E1463" t="s">
        <v>78</v>
      </c>
      <c r="F1463">
        <v>7000</v>
      </c>
      <c r="G1463" s="13">
        <v>42648</v>
      </c>
      <c r="H1463" s="13">
        <v>42741</v>
      </c>
      <c r="I1463">
        <v>4200</v>
      </c>
      <c r="J1463">
        <v>2800</v>
      </c>
      <c r="K1463">
        <v>7000</v>
      </c>
      <c r="N1463">
        <v>0</v>
      </c>
      <c r="O1463">
        <v>2.1560700000000002</v>
      </c>
      <c r="P1463">
        <v>112.5</v>
      </c>
      <c r="Q1463">
        <v>3.5</v>
      </c>
      <c r="R1463">
        <v>1.7</v>
      </c>
      <c r="S1463">
        <v>5.7</v>
      </c>
      <c r="T1463">
        <v>99.454993416666667</v>
      </c>
      <c r="W1463" t="s">
        <v>497</v>
      </c>
    </row>
    <row r="1464" spans="1:23" x14ac:dyDescent="0.25">
      <c r="A1464" t="s">
        <v>1914</v>
      </c>
      <c r="B1464" t="str">
        <f t="shared" si="23"/>
        <v>GA1300000229</v>
      </c>
      <c r="C1464" t="s">
        <v>227</v>
      </c>
      <c r="D1464" t="s">
        <v>77</v>
      </c>
      <c r="E1464" t="s">
        <v>287</v>
      </c>
      <c r="F1464">
        <v>12000</v>
      </c>
      <c r="G1464" s="13">
        <v>42648</v>
      </c>
      <c r="H1464" s="13">
        <v>43014</v>
      </c>
      <c r="I1464">
        <v>6800</v>
      </c>
      <c r="J1464">
        <v>5200</v>
      </c>
      <c r="K1464">
        <v>12000</v>
      </c>
      <c r="N1464">
        <v>0</v>
      </c>
      <c r="O1464">
        <v>4.9000000000000004</v>
      </c>
      <c r="P1464">
        <v>164.17</v>
      </c>
      <c r="T1464">
        <v>95.045555555555552</v>
      </c>
      <c r="W1464" t="s">
        <v>497</v>
      </c>
    </row>
    <row r="1465" spans="1:23" x14ac:dyDescent="0.25">
      <c r="A1465" t="s">
        <v>1915</v>
      </c>
      <c r="B1465" t="str">
        <f t="shared" si="23"/>
        <v>GA1200000287</v>
      </c>
      <c r="C1465" t="s">
        <v>227</v>
      </c>
      <c r="D1465" t="s">
        <v>77</v>
      </c>
      <c r="E1465" t="s">
        <v>82</v>
      </c>
      <c r="F1465">
        <v>8000</v>
      </c>
      <c r="G1465" s="13">
        <v>42655</v>
      </c>
      <c r="H1465" s="13">
        <v>42839</v>
      </c>
      <c r="I1465">
        <v>6200</v>
      </c>
      <c r="J1465">
        <v>1800</v>
      </c>
      <c r="K1465">
        <v>8000</v>
      </c>
      <c r="N1465">
        <v>0</v>
      </c>
      <c r="O1465">
        <v>4.2699999999999996</v>
      </c>
      <c r="P1465">
        <v>256.25</v>
      </c>
      <c r="Q1465">
        <v>4.5</v>
      </c>
      <c r="T1465">
        <v>97.841277777777776</v>
      </c>
      <c r="W1465" t="s">
        <v>497</v>
      </c>
    </row>
    <row r="1466" spans="1:23" x14ac:dyDescent="0.25">
      <c r="A1466" t="s">
        <v>1916</v>
      </c>
      <c r="B1466" t="str">
        <f t="shared" si="23"/>
        <v>GA1100000254</v>
      </c>
      <c r="C1466" t="s">
        <v>227</v>
      </c>
      <c r="D1466" t="s">
        <v>77</v>
      </c>
      <c r="E1466" t="s">
        <v>78</v>
      </c>
      <c r="F1466">
        <v>7000</v>
      </c>
      <c r="G1466" s="13">
        <v>42662</v>
      </c>
      <c r="H1466" s="13">
        <v>42755</v>
      </c>
      <c r="I1466">
        <v>7000</v>
      </c>
      <c r="J1466">
        <v>0</v>
      </c>
      <c r="K1466">
        <v>7000</v>
      </c>
      <c r="N1466">
        <v>0</v>
      </c>
      <c r="O1466">
        <v>4</v>
      </c>
      <c r="P1466">
        <v>131.43</v>
      </c>
      <c r="Q1466">
        <v>4.2</v>
      </c>
      <c r="T1466">
        <v>98.988888888888894</v>
      </c>
      <c r="W1466" t="s">
        <v>497</v>
      </c>
    </row>
    <row r="1467" spans="1:23" x14ac:dyDescent="0.25">
      <c r="A1467" t="s">
        <v>1917</v>
      </c>
      <c r="B1467" t="str">
        <f t="shared" si="23"/>
        <v>CM1200000386</v>
      </c>
      <c r="C1467" t="s">
        <v>225</v>
      </c>
      <c r="D1467" t="s">
        <v>77</v>
      </c>
      <c r="E1467" t="s">
        <v>82</v>
      </c>
      <c r="F1467">
        <v>6000</v>
      </c>
      <c r="G1467" s="13">
        <v>42662</v>
      </c>
      <c r="H1467" s="13">
        <v>42846</v>
      </c>
      <c r="I1467">
        <v>3500</v>
      </c>
      <c r="J1467">
        <v>2500</v>
      </c>
      <c r="K1467">
        <v>6000</v>
      </c>
      <c r="N1467">
        <v>0</v>
      </c>
      <c r="O1467">
        <v>2.2599999999999998</v>
      </c>
      <c r="P1467">
        <v>142.86000000000001</v>
      </c>
      <c r="T1467">
        <v>98.85744444444444</v>
      </c>
      <c r="W1467" t="s">
        <v>497</v>
      </c>
    </row>
    <row r="1468" spans="1:23" x14ac:dyDescent="0.25">
      <c r="A1468" t="s">
        <v>1918</v>
      </c>
      <c r="B1468" t="str">
        <f t="shared" si="23"/>
        <v>TD1300000155</v>
      </c>
      <c r="C1468" t="s">
        <v>237</v>
      </c>
      <c r="D1468" t="s">
        <v>77</v>
      </c>
      <c r="E1468" t="s">
        <v>287</v>
      </c>
      <c r="F1468">
        <v>7500</v>
      </c>
      <c r="G1468" s="13">
        <v>42662</v>
      </c>
      <c r="H1468" s="13">
        <v>43028</v>
      </c>
      <c r="I1468">
        <v>7500</v>
      </c>
      <c r="J1468">
        <v>0</v>
      </c>
      <c r="K1468">
        <v>7500</v>
      </c>
      <c r="N1468">
        <v>0</v>
      </c>
      <c r="O1468">
        <v>4.25</v>
      </c>
      <c r="P1468">
        <v>100</v>
      </c>
      <c r="T1468">
        <v>95.702777777777783</v>
      </c>
      <c r="W1468" t="s">
        <v>497</v>
      </c>
    </row>
    <row r="1469" spans="1:23" x14ac:dyDescent="0.25">
      <c r="A1469" t="s">
        <v>1919</v>
      </c>
      <c r="B1469" t="str">
        <f t="shared" si="23"/>
        <v>GA1100000262</v>
      </c>
      <c r="C1469" t="s">
        <v>227</v>
      </c>
      <c r="D1469" t="s">
        <v>77</v>
      </c>
      <c r="E1469" t="s">
        <v>78</v>
      </c>
      <c r="F1469">
        <v>4000</v>
      </c>
      <c r="G1469" s="13">
        <v>42669</v>
      </c>
      <c r="H1469" s="13">
        <v>42762</v>
      </c>
      <c r="I1469">
        <v>4000</v>
      </c>
      <c r="J1469">
        <v>0</v>
      </c>
      <c r="K1469">
        <v>4000</v>
      </c>
      <c r="N1469">
        <v>0</v>
      </c>
      <c r="O1469">
        <v>4.2</v>
      </c>
      <c r="P1469">
        <v>65.569999999999993</v>
      </c>
      <c r="Q1469">
        <v>4.5</v>
      </c>
      <c r="T1469">
        <v>98.938333333333333</v>
      </c>
      <c r="W1469" t="s">
        <v>497</v>
      </c>
    </row>
    <row r="1470" spans="1:23" x14ac:dyDescent="0.25">
      <c r="A1470" t="s">
        <v>1920</v>
      </c>
      <c r="B1470" t="str">
        <f t="shared" si="23"/>
        <v>TD1300000163</v>
      </c>
      <c r="C1470" t="s">
        <v>237</v>
      </c>
      <c r="D1470" t="s">
        <v>77</v>
      </c>
      <c r="E1470" t="s">
        <v>287</v>
      </c>
      <c r="F1470">
        <v>800</v>
      </c>
      <c r="G1470" s="13">
        <v>42669</v>
      </c>
      <c r="H1470" s="13">
        <v>43035</v>
      </c>
      <c r="I1470">
        <v>300</v>
      </c>
      <c r="J1470">
        <v>500</v>
      </c>
      <c r="K1470">
        <v>800</v>
      </c>
      <c r="N1470">
        <v>0</v>
      </c>
      <c r="O1470">
        <v>4.16</v>
      </c>
      <c r="P1470">
        <v>8</v>
      </c>
      <c r="T1470">
        <v>95.793777777777777</v>
      </c>
      <c r="W1470" t="s">
        <v>497</v>
      </c>
    </row>
    <row r="1471" spans="1:23" x14ac:dyDescent="0.25">
      <c r="A1471" t="s">
        <v>1921</v>
      </c>
      <c r="B1471" t="str">
        <f t="shared" si="23"/>
        <v>GA1100000271</v>
      </c>
      <c r="C1471" t="s">
        <v>227</v>
      </c>
      <c r="D1471" t="s">
        <v>77</v>
      </c>
      <c r="E1471" t="s">
        <v>78</v>
      </c>
      <c r="F1471">
        <v>10000</v>
      </c>
      <c r="G1471" s="13">
        <v>42676</v>
      </c>
      <c r="H1471" s="13">
        <v>42769</v>
      </c>
      <c r="I1471">
        <v>4500</v>
      </c>
      <c r="J1471">
        <v>5500</v>
      </c>
      <c r="K1471">
        <v>10000</v>
      </c>
      <c r="N1471">
        <v>0</v>
      </c>
      <c r="O1471">
        <v>4.29</v>
      </c>
      <c r="P1471">
        <v>130</v>
      </c>
      <c r="Q1471">
        <v>4.75</v>
      </c>
      <c r="R1471">
        <v>4</v>
      </c>
      <c r="S1471">
        <v>6.5</v>
      </c>
      <c r="T1471">
        <v>98.915583333333331</v>
      </c>
      <c r="W1471" t="s">
        <v>497</v>
      </c>
    </row>
    <row r="1472" spans="1:23" x14ac:dyDescent="0.25">
      <c r="A1472" t="s">
        <v>1922</v>
      </c>
      <c r="B1472" t="str">
        <f t="shared" si="23"/>
        <v>GA1200000295</v>
      </c>
      <c r="C1472" t="s">
        <v>227</v>
      </c>
      <c r="D1472" t="s">
        <v>77</v>
      </c>
      <c r="E1472" t="s">
        <v>82</v>
      </c>
      <c r="F1472">
        <v>8000</v>
      </c>
      <c r="G1472" s="13">
        <v>42683</v>
      </c>
      <c r="H1472" s="13">
        <v>42867</v>
      </c>
      <c r="I1472">
        <v>1300</v>
      </c>
      <c r="J1472">
        <v>6700</v>
      </c>
      <c r="K1472">
        <v>8000</v>
      </c>
      <c r="N1472">
        <v>0</v>
      </c>
      <c r="O1472">
        <v>4.68</v>
      </c>
      <c r="P1472">
        <v>133.75</v>
      </c>
      <c r="T1472">
        <v>97.634</v>
      </c>
      <c r="W1472" t="s">
        <v>497</v>
      </c>
    </row>
    <row r="1473" spans="1:23" x14ac:dyDescent="0.25">
      <c r="A1473" t="s">
        <v>1923</v>
      </c>
      <c r="B1473" t="str">
        <f t="shared" si="23"/>
        <v>GA1300000237</v>
      </c>
      <c r="C1473" t="s">
        <v>227</v>
      </c>
      <c r="D1473" t="s">
        <v>77</v>
      </c>
      <c r="E1473" t="s">
        <v>287</v>
      </c>
      <c r="F1473">
        <v>10000</v>
      </c>
      <c r="G1473" s="13">
        <v>42690</v>
      </c>
      <c r="H1473" s="13">
        <v>43056</v>
      </c>
      <c r="I1473">
        <v>4333</v>
      </c>
      <c r="J1473">
        <v>5667</v>
      </c>
      <c r="K1473">
        <v>10000</v>
      </c>
      <c r="N1473">
        <v>0</v>
      </c>
      <c r="O1473">
        <v>4.46</v>
      </c>
      <c r="P1473">
        <v>155</v>
      </c>
      <c r="T1473">
        <v>95.490444444444449</v>
      </c>
      <c r="W1473" t="s">
        <v>497</v>
      </c>
    </row>
    <row r="1474" spans="1:23" x14ac:dyDescent="0.25">
      <c r="A1474" t="s">
        <v>1924</v>
      </c>
      <c r="B1474" t="str">
        <f t="shared" si="23"/>
        <v>CM1200000394</v>
      </c>
      <c r="C1474" t="s">
        <v>225</v>
      </c>
      <c r="D1474" t="s">
        <v>77</v>
      </c>
      <c r="E1474" t="s">
        <v>82</v>
      </c>
      <c r="F1474">
        <v>4350</v>
      </c>
      <c r="G1474" s="13">
        <v>42690</v>
      </c>
      <c r="H1474" s="13">
        <v>42874</v>
      </c>
      <c r="I1474">
        <v>2250</v>
      </c>
      <c r="J1474">
        <v>2100</v>
      </c>
      <c r="K1474">
        <v>4350</v>
      </c>
      <c r="N1474">
        <v>0</v>
      </c>
      <c r="O1474">
        <v>2.4</v>
      </c>
      <c r="P1474">
        <v>100.64</v>
      </c>
      <c r="T1474">
        <v>98.786666666666662</v>
      </c>
      <c r="W1474" t="s">
        <v>497</v>
      </c>
    </row>
    <row r="1475" spans="1:23" x14ac:dyDescent="0.25">
      <c r="A1475" t="s">
        <v>1925</v>
      </c>
      <c r="B1475" t="str">
        <f t="shared" si="23"/>
        <v>CF1200000229</v>
      </c>
      <c r="C1475" t="s">
        <v>634</v>
      </c>
      <c r="D1475" t="s">
        <v>77</v>
      </c>
      <c r="E1475" t="s">
        <v>82</v>
      </c>
      <c r="F1475">
        <v>5500</v>
      </c>
      <c r="G1475" s="13">
        <v>42690</v>
      </c>
      <c r="H1475" s="13">
        <v>42874</v>
      </c>
      <c r="I1475">
        <v>5500</v>
      </c>
      <c r="J1475">
        <v>0</v>
      </c>
      <c r="K1475">
        <v>5500</v>
      </c>
      <c r="N1475">
        <v>0</v>
      </c>
      <c r="O1475">
        <v>5.2</v>
      </c>
      <c r="P1475">
        <v>100</v>
      </c>
      <c r="T1475">
        <v>97.371111111111105</v>
      </c>
      <c r="W1475" t="s">
        <v>497</v>
      </c>
    </row>
    <row r="1476" spans="1:23" x14ac:dyDescent="0.25">
      <c r="A1476" t="s">
        <v>1926</v>
      </c>
      <c r="B1476" t="str">
        <f t="shared" si="23"/>
        <v>TD1300000171</v>
      </c>
      <c r="C1476" t="s">
        <v>237</v>
      </c>
      <c r="D1476" t="s">
        <v>77</v>
      </c>
      <c r="E1476" t="s">
        <v>287</v>
      </c>
      <c r="F1476">
        <v>8000</v>
      </c>
      <c r="G1476" s="13">
        <v>42697</v>
      </c>
      <c r="H1476" s="13">
        <v>43063</v>
      </c>
      <c r="I1476">
        <v>8000</v>
      </c>
      <c r="J1476">
        <v>0</v>
      </c>
      <c r="K1476">
        <v>8000</v>
      </c>
      <c r="N1476">
        <v>0</v>
      </c>
      <c r="O1476">
        <v>4.25</v>
      </c>
      <c r="P1476">
        <v>40</v>
      </c>
      <c r="T1476">
        <v>95.702777777777783</v>
      </c>
      <c r="W1476" t="s">
        <v>497</v>
      </c>
    </row>
    <row r="1477" spans="1:23" x14ac:dyDescent="0.25">
      <c r="A1477" t="s">
        <v>1927</v>
      </c>
      <c r="B1477" t="str">
        <f t="shared" si="23"/>
        <v>GQ1300000098</v>
      </c>
      <c r="C1477" t="s">
        <v>528</v>
      </c>
      <c r="D1477" t="s">
        <v>77</v>
      </c>
      <c r="E1477" t="s">
        <v>287</v>
      </c>
      <c r="F1477">
        <v>10000</v>
      </c>
      <c r="G1477" s="13">
        <v>42697</v>
      </c>
      <c r="H1477" s="13">
        <v>43063</v>
      </c>
      <c r="I1477">
        <v>10000</v>
      </c>
      <c r="J1477">
        <v>0</v>
      </c>
      <c r="K1477">
        <v>10000</v>
      </c>
      <c r="N1477">
        <v>0</v>
      </c>
      <c r="O1477">
        <v>3.99</v>
      </c>
      <c r="P1477">
        <v>105</v>
      </c>
      <c r="T1477">
        <v>95.965666666666664</v>
      </c>
      <c r="W1477" t="s">
        <v>497</v>
      </c>
    </row>
    <row r="1478" spans="1:23" x14ac:dyDescent="0.25">
      <c r="A1478" t="s">
        <v>1928</v>
      </c>
      <c r="B1478" t="str">
        <f t="shared" si="23"/>
        <v>GA1200000303</v>
      </c>
      <c r="C1478" t="s">
        <v>227</v>
      </c>
      <c r="D1478" t="s">
        <v>77</v>
      </c>
      <c r="E1478" t="s">
        <v>82</v>
      </c>
      <c r="F1478">
        <v>8000</v>
      </c>
      <c r="G1478" s="13">
        <v>42697</v>
      </c>
      <c r="H1478" s="13">
        <v>42881</v>
      </c>
      <c r="I1478">
        <v>4500</v>
      </c>
      <c r="J1478">
        <v>3500</v>
      </c>
      <c r="K1478">
        <v>8000</v>
      </c>
      <c r="N1478">
        <v>0</v>
      </c>
      <c r="O1478">
        <v>4.33</v>
      </c>
      <c r="P1478">
        <v>118.75</v>
      </c>
      <c r="T1478">
        <v>97.810944444444445</v>
      </c>
      <c r="W1478" t="s">
        <v>497</v>
      </c>
    </row>
    <row r="1479" spans="1:23" x14ac:dyDescent="0.25">
      <c r="A1479" t="s">
        <v>1929</v>
      </c>
      <c r="B1479" t="str">
        <f t="shared" si="23"/>
        <v>GA1300000245</v>
      </c>
      <c r="C1479" t="s">
        <v>227</v>
      </c>
      <c r="D1479" t="s">
        <v>77</v>
      </c>
      <c r="E1479" t="s">
        <v>287</v>
      </c>
      <c r="F1479">
        <v>10000</v>
      </c>
      <c r="G1479" s="13">
        <v>42704</v>
      </c>
      <c r="H1479" s="13">
        <v>43070</v>
      </c>
      <c r="I1479">
        <v>3200</v>
      </c>
      <c r="J1479">
        <v>6800</v>
      </c>
      <c r="K1479">
        <v>10000</v>
      </c>
      <c r="N1479">
        <v>0</v>
      </c>
      <c r="O1479">
        <v>4.62</v>
      </c>
      <c r="P1479">
        <v>112.00000000000001</v>
      </c>
      <c r="T1479">
        <v>95.328666666666663</v>
      </c>
      <c r="W1479" t="s">
        <v>497</v>
      </c>
    </row>
    <row r="1480" spans="1:23" x14ac:dyDescent="0.25">
      <c r="A1480" t="s">
        <v>1930</v>
      </c>
      <c r="B1480" t="str">
        <f t="shared" si="23"/>
        <v>TD1100000116</v>
      </c>
      <c r="C1480" t="s">
        <v>237</v>
      </c>
      <c r="D1480" t="s">
        <v>77</v>
      </c>
      <c r="E1480" t="s">
        <v>78</v>
      </c>
      <c r="F1480">
        <v>3000</v>
      </c>
      <c r="G1480" s="13">
        <v>42704</v>
      </c>
      <c r="H1480" s="13">
        <v>42797</v>
      </c>
      <c r="I1480">
        <v>3000</v>
      </c>
      <c r="J1480">
        <v>0</v>
      </c>
      <c r="K1480">
        <v>3000</v>
      </c>
      <c r="N1480">
        <v>0</v>
      </c>
      <c r="O1480">
        <v>3.75</v>
      </c>
      <c r="P1480">
        <v>60</v>
      </c>
      <c r="Q1480">
        <v>3.75</v>
      </c>
      <c r="T1480">
        <v>99.052083333333329</v>
      </c>
      <c r="W1480" t="s">
        <v>497</v>
      </c>
    </row>
    <row r="1481" spans="1:23" x14ac:dyDescent="0.25">
      <c r="A1481" t="s">
        <v>1931</v>
      </c>
      <c r="B1481" t="str">
        <f t="shared" si="23"/>
        <v>CM1100000395</v>
      </c>
      <c r="C1481" t="s">
        <v>225</v>
      </c>
      <c r="D1481" t="s">
        <v>77</v>
      </c>
      <c r="E1481" t="s">
        <v>78</v>
      </c>
      <c r="F1481">
        <v>7000</v>
      </c>
      <c r="G1481" s="13">
        <v>42711</v>
      </c>
      <c r="H1481" s="13">
        <v>42804</v>
      </c>
      <c r="I1481">
        <v>5929</v>
      </c>
      <c r="J1481">
        <v>1071</v>
      </c>
      <c r="K1481">
        <v>7000</v>
      </c>
      <c r="N1481">
        <v>0</v>
      </c>
      <c r="O1481">
        <v>2.7928500000000001</v>
      </c>
      <c r="P1481">
        <v>128.57</v>
      </c>
      <c r="Q1481">
        <v>3.5</v>
      </c>
      <c r="R1481">
        <v>2.2999999999999998</v>
      </c>
      <c r="S1481">
        <v>4</v>
      </c>
      <c r="T1481">
        <v>99.294029583333327</v>
      </c>
      <c r="W1481" t="s">
        <v>497</v>
      </c>
    </row>
    <row r="1482" spans="1:23" x14ac:dyDescent="0.25">
      <c r="A1482" t="s">
        <v>1932</v>
      </c>
      <c r="B1482" t="str">
        <f t="shared" si="23"/>
        <v>GA1100000288</v>
      </c>
      <c r="C1482" t="s">
        <v>227</v>
      </c>
      <c r="D1482" t="s">
        <v>77</v>
      </c>
      <c r="E1482" t="s">
        <v>78</v>
      </c>
      <c r="F1482">
        <v>8000</v>
      </c>
      <c r="G1482" s="13">
        <v>42711</v>
      </c>
      <c r="H1482" s="13">
        <v>42804</v>
      </c>
      <c r="I1482">
        <v>2500</v>
      </c>
      <c r="J1482">
        <v>5500</v>
      </c>
      <c r="K1482">
        <v>8000</v>
      </c>
      <c r="N1482">
        <v>0</v>
      </c>
      <c r="O1482">
        <v>4.3312499999999998</v>
      </c>
      <c r="P1482">
        <v>162.5</v>
      </c>
      <c r="Q1482">
        <v>4.5</v>
      </c>
      <c r="R1482">
        <v>3.95</v>
      </c>
      <c r="S1482">
        <v>6</v>
      </c>
      <c r="T1482">
        <v>98.905156250000005</v>
      </c>
      <c r="W1482" t="s">
        <v>497</v>
      </c>
    </row>
    <row r="1483" spans="1:23" x14ac:dyDescent="0.25">
      <c r="A1483" t="s">
        <v>1933</v>
      </c>
      <c r="B1483" t="str">
        <f t="shared" si="23"/>
        <v>GA1200000311</v>
      </c>
      <c r="C1483" t="s">
        <v>227</v>
      </c>
      <c r="D1483" t="s">
        <v>77</v>
      </c>
      <c r="E1483" t="s">
        <v>82</v>
      </c>
      <c r="F1483">
        <v>10000</v>
      </c>
      <c r="G1483" s="13">
        <v>42718</v>
      </c>
      <c r="H1483" s="13">
        <v>42902</v>
      </c>
      <c r="I1483">
        <v>8500</v>
      </c>
      <c r="J1483">
        <v>1500</v>
      </c>
      <c r="K1483">
        <v>10000</v>
      </c>
      <c r="N1483">
        <v>0</v>
      </c>
      <c r="O1483">
        <v>4.76</v>
      </c>
      <c r="P1483">
        <v>219</v>
      </c>
      <c r="T1483">
        <v>97.593555555555554</v>
      </c>
      <c r="W1483" t="s">
        <v>497</v>
      </c>
    </row>
    <row r="1484" spans="1:23" x14ac:dyDescent="0.25">
      <c r="A1484" t="s">
        <v>1934</v>
      </c>
      <c r="B1484" t="str">
        <f t="shared" si="23"/>
        <v>CM1200000402</v>
      </c>
      <c r="C1484" t="s">
        <v>225</v>
      </c>
      <c r="D1484" t="s">
        <v>77</v>
      </c>
      <c r="E1484" t="s">
        <v>82</v>
      </c>
      <c r="F1484">
        <v>6400</v>
      </c>
      <c r="G1484" s="13">
        <v>42718</v>
      </c>
      <c r="H1484" s="13">
        <v>42902</v>
      </c>
      <c r="I1484">
        <v>4000</v>
      </c>
      <c r="J1484">
        <v>2400</v>
      </c>
      <c r="K1484">
        <v>6400</v>
      </c>
      <c r="N1484">
        <v>0</v>
      </c>
      <c r="O1484">
        <v>2.69</v>
      </c>
      <c r="P1484">
        <v>156.79000000000002</v>
      </c>
      <c r="T1484">
        <v>98.640055555555563</v>
      </c>
      <c r="W1484" t="s">
        <v>497</v>
      </c>
    </row>
    <row r="1485" spans="1:23" x14ac:dyDescent="0.25">
      <c r="A1485" t="s">
        <v>1935</v>
      </c>
      <c r="B1485" t="str">
        <f t="shared" si="23"/>
        <v>GQ1300000106</v>
      </c>
      <c r="C1485" t="s">
        <v>528</v>
      </c>
      <c r="D1485" t="s">
        <v>77</v>
      </c>
      <c r="E1485" t="s">
        <v>287</v>
      </c>
      <c r="F1485">
        <v>20000</v>
      </c>
      <c r="G1485" s="13">
        <v>42718</v>
      </c>
      <c r="H1485" s="13">
        <v>43084</v>
      </c>
      <c r="I1485">
        <v>20000</v>
      </c>
      <c r="J1485">
        <v>0</v>
      </c>
      <c r="K1485">
        <v>20000</v>
      </c>
      <c r="N1485">
        <v>0</v>
      </c>
      <c r="O1485">
        <v>5.71</v>
      </c>
      <c r="P1485">
        <v>165</v>
      </c>
      <c r="T1485">
        <v>94.226555555555549</v>
      </c>
      <c r="W1485" t="s">
        <v>497</v>
      </c>
    </row>
    <row r="1486" spans="1:23" x14ac:dyDescent="0.25">
      <c r="A1486" t="s">
        <v>1936</v>
      </c>
      <c r="B1486" t="str">
        <f t="shared" si="23"/>
        <v>TD1300000197</v>
      </c>
      <c r="C1486" t="s">
        <v>237</v>
      </c>
      <c r="D1486" t="s">
        <v>77</v>
      </c>
      <c r="E1486" t="s">
        <v>287</v>
      </c>
      <c r="F1486">
        <v>13700</v>
      </c>
      <c r="G1486" s="13">
        <v>42725</v>
      </c>
      <c r="H1486" s="13">
        <v>43091</v>
      </c>
      <c r="I1486">
        <v>11200</v>
      </c>
      <c r="J1486">
        <v>2500</v>
      </c>
      <c r="K1486">
        <v>13700</v>
      </c>
      <c r="N1486">
        <v>0</v>
      </c>
      <c r="O1486">
        <v>4.4361300000000004</v>
      </c>
      <c r="P1486">
        <v>54.800000000000004</v>
      </c>
      <c r="Q1486">
        <v>4.75</v>
      </c>
      <c r="R1486">
        <v>4.25</v>
      </c>
      <c r="S1486">
        <v>4.75</v>
      </c>
      <c r="T1486">
        <v>95.514579666666663</v>
      </c>
      <c r="W1486" t="s">
        <v>497</v>
      </c>
    </row>
    <row r="1487" spans="1:23" x14ac:dyDescent="0.25">
      <c r="A1487" t="s">
        <v>1937</v>
      </c>
      <c r="B1487" t="str">
        <f t="shared" si="23"/>
        <v>GA1300000252</v>
      </c>
      <c r="C1487" t="s">
        <v>227</v>
      </c>
      <c r="D1487" t="s">
        <v>77</v>
      </c>
      <c r="E1487" t="s">
        <v>287</v>
      </c>
      <c r="F1487">
        <v>10000</v>
      </c>
      <c r="G1487" s="13">
        <v>42732</v>
      </c>
      <c r="H1487" s="13">
        <v>43098</v>
      </c>
      <c r="I1487">
        <v>6750</v>
      </c>
      <c r="J1487">
        <v>3250</v>
      </c>
      <c r="K1487">
        <v>10000</v>
      </c>
      <c r="N1487">
        <v>0</v>
      </c>
      <c r="O1487">
        <v>4.8</v>
      </c>
      <c r="P1487">
        <v>155</v>
      </c>
      <c r="T1487">
        <v>95.146666666666661</v>
      </c>
      <c r="W1487" t="s">
        <v>497</v>
      </c>
    </row>
    <row r="1488" spans="1:23" x14ac:dyDescent="0.25">
      <c r="A1488" t="s">
        <v>1938</v>
      </c>
      <c r="B1488" t="str">
        <f t="shared" si="23"/>
        <v>GA1100000296</v>
      </c>
      <c r="C1488" t="s">
        <v>227</v>
      </c>
      <c r="D1488" t="s">
        <v>77</v>
      </c>
      <c r="E1488" t="s">
        <v>78</v>
      </c>
      <c r="F1488">
        <v>12000</v>
      </c>
      <c r="G1488" s="13">
        <v>42739</v>
      </c>
      <c r="H1488" s="13">
        <v>42832</v>
      </c>
      <c r="I1488">
        <v>4500</v>
      </c>
      <c r="J1488">
        <v>7500</v>
      </c>
      <c r="K1488">
        <v>12000</v>
      </c>
      <c r="N1488">
        <v>0</v>
      </c>
      <c r="O1488">
        <v>3.77</v>
      </c>
      <c r="P1488">
        <v>137.5</v>
      </c>
      <c r="T1488">
        <v>99.047027777777771</v>
      </c>
      <c r="W1488" t="s">
        <v>497</v>
      </c>
    </row>
    <row r="1489" spans="1:23" x14ac:dyDescent="0.25">
      <c r="A1489" t="s">
        <v>1939</v>
      </c>
      <c r="B1489" t="str">
        <f t="shared" si="23"/>
        <v>GA1200000329</v>
      </c>
      <c r="C1489" t="s">
        <v>227</v>
      </c>
      <c r="D1489" t="s">
        <v>77</v>
      </c>
      <c r="E1489" t="s">
        <v>82</v>
      </c>
      <c r="F1489">
        <v>8000</v>
      </c>
      <c r="G1489" s="13">
        <v>42746</v>
      </c>
      <c r="H1489" s="13">
        <v>42930</v>
      </c>
      <c r="I1489">
        <v>0</v>
      </c>
      <c r="J1489">
        <v>8000</v>
      </c>
      <c r="K1489">
        <v>8000</v>
      </c>
      <c r="N1489">
        <v>0</v>
      </c>
      <c r="O1489">
        <v>4.74</v>
      </c>
      <c r="P1489">
        <v>150</v>
      </c>
      <c r="T1489">
        <v>97.603666666666669</v>
      </c>
      <c r="W1489" t="s">
        <v>497</v>
      </c>
    </row>
    <row r="1490" spans="1:23" x14ac:dyDescent="0.25">
      <c r="A1490" t="s">
        <v>1940</v>
      </c>
      <c r="B1490" t="str">
        <f t="shared" si="23"/>
        <v>GA1200000337</v>
      </c>
      <c r="C1490" t="s">
        <v>227</v>
      </c>
      <c r="D1490" t="s">
        <v>77</v>
      </c>
      <c r="E1490" t="s">
        <v>82</v>
      </c>
      <c r="F1490">
        <v>8000</v>
      </c>
      <c r="G1490" s="13">
        <v>42753</v>
      </c>
      <c r="H1490" s="13">
        <v>42937</v>
      </c>
      <c r="I1490">
        <v>4714</v>
      </c>
      <c r="J1490">
        <v>3286</v>
      </c>
      <c r="K1490">
        <v>8000</v>
      </c>
      <c r="N1490">
        <v>0</v>
      </c>
      <c r="O1490">
        <v>4.84</v>
      </c>
      <c r="P1490">
        <v>169.9</v>
      </c>
      <c r="T1490">
        <v>97.553111111111107</v>
      </c>
      <c r="W1490" t="s">
        <v>497</v>
      </c>
    </row>
    <row r="1491" spans="1:23" x14ac:dyDescent="0.25">
      <c r="A1491" t="s">
        <v>1941</v>
      </c>
      <c r="B1491" t="str">
        <f t="shared" si="23"/>
        <v>GA1100000304</v>
      </c>
      <c r="C1491" t="s">
        <v>227</v>
      </c>
      <c r="D1491" t="s">
        <v>77</v>
      </c>
      <c r="E1491" t="s">
        <v>78</v>
      </c>
      <c r="F1491">
        <v>4600</v>
      </c>
      <c r="G1491" s="13">
        <v>42760</v>
      </c>
      <c r="H1491" s="13">
        <v>42853</v>
      </c>
      <c r="I1491">
        <v>500</v>
      </c>
      <c r="J1491">
        <v>4100</v>
      </c>
      <c r="K1491">
        <v>4600</v>
      </c>
      <c r="N1491">
        <v>0</v>
      </c>
      <c r="O1491">
        <v>4.17</v>
      </c>
      <c r="P1491">
        <v>71.430000000000007</v>
      </c>
      <c r="T1491">
        <v>98.945916666666662</v>
      </c>
      <c r="W1491" t="s">
        <v>497</v>
      </c>
    </row>
    <row r="1492" spans="1:23" x14ac:dyDescent="0.25">
      <c r="A1492" t="s">
        <v>1942</v>
      </c>
      <c r="B1492" t="str">
        <f t="shared" si="23"/>
        <v>CF1200000237</v>
      </c>
      <c r="C1492" t="s">
        <v>634</v>
      </c>
      <c r="D1492" t="s">
        <v>77</v>
      </c>
      <c r="E1492" t="s">
        <v>82</v>
      </c>
      <c r="F1492">
        <v>4000</v>
      </c>
      <c r="G1492" s="13">
        <v>42746</v>
      </c>
      <c r="H1492" s="13">
        <v>42930</v>
      </c>
      <c r="I1492">
        <v>4000</v>
      </c>
      <c r="J1492">
        <v>0</v>
      </c>
      <c r="K1492">
        <v>4000</v>
      </c>
      <c r="N1492">
        <v>0</v>
      </c>
      <c r="O1492">
        <v>5.19</v>
      </c>
      <c r="P1492">
        <v>100</v>
      </c>
      <c r="T1492">
        <v>97.376166666666663</v>
      </c>
      <c r="W1492" t="s">
        <v>497</v>
      </c>
    </row>
    <row r="1493" spans="1:23" x14ac:dyDescent="0.25">
      <c r="A1493" t="s">
        <v>1943</v>
      </c>
      <c r="B1493" t="str">
        <f t="shared" si="23"/>
        <v>TD1300000205</v>
      </c>
      <c r="C1493" t="s">
        <v>237</v>
      </c>
      <c r="D1493" t="s">
        <v>77</v>
      </c>
      <c r="E1493" t="s">
        <v>287</v>
      </c>
      <c r="F1493">
        <v>7000</v>
      </c>
      <c r="G1493" s="13">
        <v>42760</v>
      </c>
      <c r="H1493" s="13">
        <v>43126</v>
      </c>
      <c r="I1493">
        <v>7000</v>
      </c>
      <c r="J1493">
        <v>0</v>
      </c>
      <c r="K1493">
        <v>7000</v>
      </c>
      <c r="N1493">
        <v>0</v>
      </c>
      <c r="O1493">
        <v>4.75</v>
      </c>
      <c r="P1493">
        <v>46.67</v>
      </c>
      <c r="T1493">
        <v>95.197222222222223</v>
      </c>
      <c r="W1493" t="s">
        <v>497</v>
      </c>
    </row>
    <row r="1494" spans="1:23" x14ac:dyDescent="0.25">
      <c r="A1494" t="s">
        <v>1944</v>
      </c>
      <c r="B1494" t="str">
        <f t="shared" si="23"/>
        <v>CM1100000403</v>
      </c>
      <c r="C1494" t="s">
        <v>225</v>
      </c>
      <c r="D1494" t="s">
        <v>77</v>
      </c>
      <c r="E1494" t="s">
        <v>78</v>
      </c>
      <c r="F1494">
        <v>5750</v>
      </c>
      <c r="G1494" s="13">
        <v>42767</v>
      </c>
      <c r="H1494" s="13">
        <v>42860</v>
      </c>
      <c r="I1494">
        <v>5750</v>
      </c>
      <c r="J1494">
        <v>0</v>
      </c>
      <c r="K1494">
        <v>5750</v>
      </c>
      <c r="N1494">
        <v>0</v>
      </c>
      <c r="O1494">
        <v>2.97</v>
      </c>
      <c r="P1494">
        <v>97.5</v>
      </c>
      <c r="T1494">
        <v>99.249250000000004</v>
      </c>
      <c r="W1494" t="s">
        <v>497</v>
      </c>
    </row>
    <row r="1495" spans="1:23" x14ac:dyDescent="0.25">
      <c r="A1495" t="s">
        <v>1945</v>
      </c>
      <c r="B1495" t="str">
        <f t="shared" si="23"/>
        <v>GA1100000312</v>
      </c>
      <c r="C1495" t="s">
        <v>227</v>
      </c>
      <c r="D1495" t="s">
        <v>77</v>
      </c>
      <c r="E1495" t="s">
        <v>78</v>
      </c>
      <c r="F1495">
        <v>8500</v>
      </c>
      <c r="G1495" s="13">
        <v>42767</v>
      </c>
      <c r="H1495" s="13">
        <v>42860</v>
      </c>
      <c r="I1495">
        <v>2500</v>
      </c>
      <c r="J1495">
        <v>6000</v>
      </c>
      <c r="K1495">
        <v>8500</v>
      </c>
      <c r="N1495">
        <v>0</v>
      </c>
      <c r="O1495">
        <v>4.75</v>
      </c>
      <c r="P1495">
        <v>108.24000000000001</v>
      </c>
      <c r="T1495">
        <v>98.799305555555549</v>
      </c>
      <c r="W1495" t="s">
        <v>497</v>
      </c>
    </row>
    <row r="1496" spans="1:23" x14ac:dyDescent="0.25">
      <c r="A1496" t="s">
        <v>1946</v>
      </c>
      <c r="B1496" t="str">
        <f t="shared" si="23"/>
        <v>GA1300000261</v>
      </c>
      <c r="C1496" t="s">
        <v>227</v>
      </c>
      <c r="D1496" t="s">
        <v>77</v>
      </c>
      <c r="E1496" t="s">
        <v>287</v>
      </c>
      <c r="F1496">
        <v>4975</v>
      </c>
      <c r="G1496" s="13">
        <v>42774</v>
      </c>
      <c r="H1496" s="13">
        <v>43140</v>
      </c>
      <c r="I1496">
        <v>0</v>
      </c>
      <c r="J1496">
        <v>4975</v>
      </c>
      <c r="K1496">
        <v>4975</v>
      </c>
      <c r="N1496">
        <v>0</v>
      </c>
      <c r="O1496">
        <v>5.23</v>
      </c>
      <c r="P1496">
        <v>65.28</v>
      </c>
      <c r="T1496">
        <v>94.711888888888893</v>
      </c>
      <c r="W1496" t="s">
        <v>497</v>
      </c>
    </row>
    <row r="1497" spans="1:23" x14ac:dyDescent="0.25">
      <c r="A1497" t="s">
        <v>1947</v>
      </c>
      <c r="B1497" t="str">
        <f t="shared" si="23"/>
        <v>CM1200000411</v>
      </c>
      <c r="C1497" t="s">
        <v>225</v>
      </c>
      <c r="D1497" t="s">
        <v>77</v>
      </c>
      <c r="E1497" t="s">
        <v>82</v>
      </c>
      <c r="F1497">
        <v>4805</v>
      </c>
      <c r="G1497" s="13">
        <v>42774</v>
      </c>
      <c r="H1497" s="13">
        <v>42958</v>
      </c>
      <c r="I1497">
        <v>4805</v>
      </c>
      <c r="J1497">
        <v>0</v>
      </c>
      <c r="K1497">
        <v>4805</v>
      </c>
      <c r="N1497">
        <v>0</v>
      </c>
      <c r="O1497">
        <v>3.22</v>
      </c>
      <c r="P1497">
        <v>118.63999999999999</v>
      </c>
      <c r="T1497">
        <v>98.37211111111111</v>
      </c>
      <c r="W1497" t="s">
        <v>497</v>
      </c>
    </row>
    <row r="1498" spans="1:23" x14ac:dyDescent="0.25">
      <c r="A1498" t="s">
        <v>1948</v>
      </c>
      <c r="B1498" t="str">
        <f t="shared" si="23"/>
        <v>CM1100000411</v>
      </c>
      <c r="C1498" t="s">
        <v>225</v>
      </c>
      <c r="D1498" t="s">
        <v>77</v>
      </c>
      <c r="E1498" t="s">
        <v>78</v>
      </c>
      <c r="F1498">
        <v>4500</v>
      </c>
      <c r="G1498" s="13">
        <v>42781</v>
      </c>
      <c r="H1498" s="13">
        <v>42874</v>
      </c>
      <c r="I1498">
        <v>1500</v>
      </c>
      <c r="J1498">
        <v>3000</v>
      </c>
      <c r="K1498">
        <v>4500</v>
      </c>
      <c r="N1498">
        <v>0</v>
      </c>
      <c r="O1498">
        <v>3.16</v>
      </c>
      <c r="P1498">
        <v>130</v>
      </c>
      <c r="T1498">
        <v>99.201222222222228</v>
      </c>
      <c r="W1498" t="s">
        <v>497</v>
      </c>
    </row>
    <row r="1499" spans="1:23" x14ac:dyDescent="0.25">
      <c r="A1499" t="s">
        <v>1949</v>
      </c>
      <c r="B1499" t="str">
        <f t="shared" ref="B1499:B1562" si="24">MID(A1499,1,12)</f>
        <v>GA1200000345</v>
      </c>
      <c r="C1499" t="s">
        <v>227</v>
      </c>
      <c r="D1499" t="s">
        <v>77</v>
      </c>
      <c r="E1499" t="s">
        <v>82</v>
      </c>
      <c r="F1499">
        <v>9500</v>
      </c>
      <c r="G1499" s="13">
        <v>42788</v>
      </c>
      <c r="H1499" s="13">
        <v>42972</v>
      </c>
      <c r="I1499">
        <v>1000</v>
      </c>
      <c r="J1499">
        <v>8500</v>
      </c>
      <c r="K1499">
        <v>9500</v>
      </c>
      <c r="N1499">
        <v>0</v>
      </c>
      <c r="O1499">
        <v>5.14</v>
      </c>
      <c r="P1499">
        <v>99</v>
      </c>
      <c r="T1499">
        <v>97.401444444444451</v>
      </c>
      <c r="W1499" t="s">
        <v>497</v>
      </c>
    </row>
    <row r="1500" spans="1:23" x14ac:dyDescent="0.25">
      <c r="A1500" t="s">
        <v>1950</v>
      </c>
      <c r="B1500" t="str">
        <f t="shared" si="24"/>
        <v>GQ1300000353</v>
      </c>
      <c r="C1500" t="s">
        <v>528</v>
      </c>
      <c r="D1500" t="s">
        <v>77</v>
      </c>
      <c r="E1500" t="s">
        <v>287</v>
      </c>
      <c r="F1500">
        <v>12000</v>
      </c>
      <c r="G1500" s="13">
        <v>42788</v>
      </c>
      <c r="H1500" s="13">
        <v>43154</v>
      </c>
      <c r="I1500">
        <v>10000</v>
      </c>
      <c r="J1500">
        <v>2000</v>
      </c>
      <c r="K1500">
        <v>12000</v>
      </c>
      <c r="N1500">
        <v>0</v>
      </c>
      <c r="O1500">
        <v>5.93</v>
      </c>
      <c r="P1500">
        <v>80</v>
      </c>
      <c r="T1500">
        <v>94.004111111111115</v>
      </c>
      <c r="W1500" t="s">
        <v>497</v>
      </c>
    </row>
    <row r="1501" spans="1:23" x14ac:dyDescent="0.25">
      <c r="A1501" t="s">
        <v>1951</v>
      </c>
      <c r="B1501" t="str">
        <f t="shared" si="24"/>
        <v>CG1100000013</v>
      </c>
      <c r="C1501" t="s">
        <v>229</v>
      </c>
      <c r="D1501" t="s">
        <v>77</v>
      </c>
      <c r="E1501" t="s">
        <v>78</v>
      </c>
      <c r="F1501">
        <v>4000</v>
      </c>
      <c r="G1501" s="13">
        <v>42788</v>
      </c>
      <c r="H1501" s="13">
        <v>42881</v>
      </c>
      <c r="I1501">
        <v>0</v>
      </c>
      <c r="J1501">
        <v>4000</v>
      </c>
      <c r="K1501">
        <v>4000</v>
      </c>
      <c r="N1501">
        <v>0</v>
      </c>
      <c r="O1501">
        <v>3.74</v>
      </c>
      <c r="P1501">
        <v>82.13000000000001</v>
      </c>
      <c r="T1501">
        <v>99.054611111111114</v>
      </c>
      <c r="W1501" t="s">
        <v>497</v>
      </c>
    </row>
    <row r="1502" spans="1:23" x14ac:dyDescent="0.25">
      <c r="A1502" t="s">
        <v>1952</v>
      </c>
      <c r="B1502" t="str">
        <f t="shared" si="24"/>
        <v>CM1100000429</v>
      </c>
      <c r="C1502" t="s">
        <v>225</v>
      </c>
      <c r="D1502" t="s">
        <v>77</v>
      </c>
      <c r="E1502" t="s">
        <v>78</v>
      </c>
      <c r="F1502">
        <v>5000</v>
      </c>
      <c r="G1502" s="13">
        <v>42795</v>
      </c>
      <c r="H1502" s="13">
        <v>42888</v>
      </c>
      <c r="I1502">
        <v>500</v>
      </c>
      <c r="J1502">
        <v>4500</v>
      </c>
      <c r="K1502">
        <v>5000</v>
      </c>
      <c r="N1502">
        <v>0</v>
      </c>
      <c r="O1502">
        <v>2.94</v>
      </c>
      <c r="P1502">
        <v>229.99999999999997</v>
      </c>
      <c r="T1502">
        <v>99.256833333333333</v>
      </c>
      <c r="W1502" t="s">
        <v>497</v>
      </c>
    </row>
    <row r="1503" spans="1:23" x14ac:dyDescent="0.25">
      <c r="A1503" t="s">
        <v>1953</v>
      </c>
      <c r="B1503" t="str">
        <f t="shared" si="24"/>
        <v>GA1100000321</v>
      </c>
      <c r="C1503" t="s">
        <v>227</v>
      </c>
      <c r="D1503" t="s">
        <v>77</v>
      </c>
      <c r="E1503" t="s">
        <v>78</v>
      </c>
      <c r="F1503">
        <v>8000</v>
      </c>
      <c r="G1503" s="13">
        <v>42795</v>
      </c>
      <c r="H1503" s="13">
        <v>42888</v>
      </c>
      <c r="I1503">
        <v>7500</v>
      </c>
      <c r="J1503">
        <v>500</v>
      </c>
      <c r="K1503">
        <v>8000</v>
      </c>
      <c r="N1503">
        <v>0</v>
      </c>
      <c r="O1503">
        <v>4.91</v>
      </c>
      <c r="P1503">
        <v>118.75</v>
      </c>
      <c r="T1503">
        <v>98.758861111111116</v>
      </c>
      <c r="W1503" t="s">
        <v>497</v>
      </c>
    </row>
    <row r="1504" spans="1:23" x14ac:dyDescent="0.25">
      <c r="A1504" t="s">
        <v>1954</v>
      </c>
      <c r="B1504" t="str">
        <f t="shared" si="24"/>
        <v>CM1100000437</v>
      </c>
      <c r="C1504" t="s">
        <v>225</v>
      </c>
      <c r="D1504" t="s">
        <v>77</v>
      </c>
      <c r="E1504" t="s">
        <v>78</v>
      </c>
      <c r="F1504">
        <v>5000</v>
      </c>
      <c r="G1504" s="13">
        <v>42802</v>
      </c>
      <c r="H1504" s="13">
        <v>42895</v>
      </c>
      <c r="I1504">
        <v>2333</v>
      </c>
      <c r="J1504">
        <v>2667</v>
      </c>
      <c r="K1504">
        <v>5000</v>
      </c>
      <c r="N1504">
        <v>0</v>
      </c>
      <c r="O1504">
        <v>3.02</v>
      </c>
      <c r="P1504">
        <v>175</v>
      </c>
      <c r="T1504">
        <v>99.236611111111117</v>
      </c>
      <c r="W1504" t="s">
        <v>497</v>
      </c>
    </row>
    <row r="1505" spans="1:23" x14ac:dyDescent="0.25">
      <c r="A1505" t="s">
        <v>1955</v>
      </c>
      <c r="B1505" t="str">
        <f t="shared" si="24"/>
        <v>GA1200000352</v>
      </c>
      <c r="C1505" t="s">
        <v>227</v>
      </c>
      <c r="D1505" t="s">
        <v>77</v>
      </c>
      <c r="E1505" t="s">
        <v>82</v>
      </c>
      <c r="F1505">
        <v>12000</v>
      </c>
      <c r="G1505" s="13">
        <v>42809</v>
      </c>
      <c r="H1505" s="13">
        <v>42993</v>
      </c>
      <c r="I1505">
        <v>4800</v>
      </c>
      <c r="J1505">
        <v>7200</v>
      </c>
      <c r="K1505">
        <v>12000</v>
      </c>
      <c r="N1505">
        <v>0</v>
      </c>
      <c r="O1505">
        <v>5.0987499999999999</v>
      </c>
      <c r="P1505">
        <v>80.5</v>
      </c>
      <c r="T1505">
        <v>97.422298611111117</v>
      </c>
      <c r="W1505" t="s">
        <v>497</v>
      </c>
    </row>
    <row r="1506" spans="1:23" x14ac:dyDescent="0.25">
      <c r="A1506" t="s">
        <v>1956</v>
      </c>
      <c r="B1506" t="str">
        <f t="shared" si="24"/>
        <v>GA1100000338</v>
      </c>
      <c r="C1506" t="s">
        <v>227</v>
      </c>
      <c r="D1506" t="s">
        <v>77</v>
      </c>
      <c r="E1506" t="s">
        <v>78</v>
      </c>
      <c r="F1506">
        <v>5000</v>
      </c>
      <c r="G1506" s="13">
        <v>42816</v>
      </c>
      <c r="H1506" s="13">
        <v>42909</v>
      </c>
      <c r="I1506">
        <v>2000</v>
      </c>
      <c r="J1506">
        <v>3000</v>
      </c>
      <c r="K1506">
        <v>5000</v>
      </c>
      <c r="N1506">
        <v>0</v>
      </c>
      <c r="O1506">
        <v>5.13</v>
      </c>
      <c r="P1506">
        <v>50.749999999999993</v>
      </c>
      <c r="T1506">
        <v>98.703249999999997</v>
      </c>
      <c r="W1506" t="s">
        <v>497</v>
      </c>
    </row>
    <row r="1507" spans="1:23" x14ac:dyDescent="0.25">
      <c r="A1507" t="s">
        <v>1957</v>
      </c>
      <c r="B1507" t="str">
        <f t="shared" si="24"/>
        <v>CM1200000428</v>
      </c>
      <c r="C1507" t="s">
        <v>225</v>
      </c>
      <c r="D1507" t="s">
        <v>77</v>
      </c>
      <c r="E1507" t="s">
        <v>82</v>
      </c>
      <c r="F1507">
        <v>4100</v>
      </c>
      <c r="G1507" s="13">
        <v>42816</v>
      </c>
      <c r="H1507" s="13">
        <v>43000</v>
      </c>
      <c r="I1507">
        <v>2600</v>
      </c>
      <c r="J1507">
        <v>1500</v>
      </c>
      <c r="K1507">
        <v>4100</v>
      </c>
      <c r="N1507">
        <v>0</v>
      </c>
      <c r="O1507">
        <v>3.6585299999999998</v>
      </c>
      <c r="P1507">
        <v>115.5</v>
      </c>
      <c r="T1507">
        <v>98.150409833333327</v>
      </c>
      <c r="W1507" t="s">
        <v>497</v>
      </c>
    </row>
    <row r="1508" spans="1:23" x14ac:dyDescent="0.25">
      <c r="A1508" t="s">
        <v>1958</v>
      </c>
      <c r="B1508" t="str">
        <f t="shared" si="24"/>
        <v>GA1100000346</v>
      </c>
      <c r="C1508" t="s">
        <v>227</v>
      </c>
      <c r="D1508" t="s">
        <v>77</v>
      </c>
      <c r="E1508" t="s">
        <v>78</v>
      </c>
      <c r="F1508">
        <v>11000</v>
      </c>
      <c r="G1508" s="13">
        <v>42830</v>
      </c>
      <c r="H1508" s="13">
        <v>42923</v>
      </c>
      <c r="I1508">
        <v>8066</v>
      </c>
      <c r="J1508">
        <v>2934</v>
      </c>
      <c r="K1508">
        <v>11000</v>
      </c>
      <c r="N1508">
        <v>0</v>
      </c>
      <c r="O1508">
        <v>5.5</v>
      </c>
      <c r="P1508">
        <v>128.18</v>
      </c>
      <c r="T1508">
        <v>98.609722222222217</v>
      </c>
      <c r="W1508" t="s">
        <v>497</v>
      </c>
    </row>
    <row r="1509" spans="1:23" x14ac:dyDescent="0.25">
      <c r="A1509" t="s">
        <v>1959</v>
      </c>
      <c r="B1509" t="str">
        <f t="shared" si="24"/>
        <v>GA1200000361</v>
      </c>
      <c r="C1509" t="s">
        <v>227</v>
      </c>
      <c r="D1509" t="s">
        <v>77</v>
      </c>
      <c r="E1509" t="s">
        <v>82</v>
      </c>
      <c r="F1509">
        <v>8000</v>
      </c>
      <c r="G1509" s="13">
        <v>42837</v>
      </c>
      <c r="H1509" s="13">
        <v>43021</v>
      </c>
      <c r="I1509">
        <v>1304</v>
      </c>
      <c r="J1509">
        <v>6696</v>
      </c>
      <c r="K1509">
        <v>8000</v>
      </c>
      <c r="N1509">
        <v>0</v>
      </c>
      <c r="O1509">
        <v>5.33</v>
      </c>
      <c r="P1509">
        <v>110.99000000000001</v>
      </c>
      <c r="T1509">
        <v>97.305388888888885</v>
      </c>
      <c r="W1509" t="s">
        <v>497</v>
      </c>
    </row>
    <row r="1510" spans="1:23" x14ac:dyDescent="0.25">
      <c r="A1510" t="s">
        <v>1960</v>
      </c>
      <c r="B1510" t="str">
        <f t="shared" si="24"/>
        <v>CM1200000436</v>
      </c>
      <c r="C1510" t="s">
        <v>225</v>
      </c>
      <c r="D1510" t="s">
        <v>77</v>
      </c>
      <c r="E1510" t="s">
        <v>82</v>
      </c>
      <c r="F1510">
        <v>5000</v>
      </c>
      <c r="G1510" s="13">
        <v>42837</v>
      </c>
      <c r="H1510" s="13">
        <v>43021</v>
      </c>
      <c r="I1510">
        <v>5000</v>
      </c>
      <c r="J1510">
        <v>0</v>
      </c>
      <c r="K1510">
        <v>5000</v>
      </c>
      <c r="N1510">
        <v>0</v>
      </c>
      <c r="O1510">
        <v>3.41</v>
      </c>
      <c r="P1510">
        <v>223.89999999999998</v>
      </c>
      <c r="T1510">
        <v>98.276055555555558</v>
      </c>
      <c r="W1510" t="s">
        <v>497</v>
      </c>
    </row>
    <row r="1511" spans="1:23" x14ac:dyDescent="0.25">
      <c r="A1511" t="s">
        <v>1961</v>
      </c>
      <c r="B1511" t="str">
        <f t="shared" si="24"/>
        <v>GQ1300000387</v>
      </c>
      <c r="C1511" t="s">
        <v>528</v>
      </c>
      <c r="D1511" t="s">
        <v>77</v>
      </c>
      <c r="E1511" t="s">
        <v>287</v>
      </c>
      <c r="F1511">
        <v>1500</v>
      </c>
      <c r="G1511" s="13">
        <v>42844</v>
      </c>
      <c r="H1511" s="13">
        <v>43210</v>
      </c>
      <c r="I1511">
        <v>1500</v>
      </c>
      <c r="J1511">
        <v>0</v>
      </c>
      <c r="K1511">
        <v>1500</v>
      </c>
      <c r="N1511">
        <v>0</v>
      </c>
      <c r="O1511">
        <v>5.42</v>
      </c>
      <c r="P1511">
        <v>10</v>
      </c>
      <c r="T1511">
        <v>94.519777777777776</v>
      </c>
      <c r="W1511" t="s">
        <v>497</v>
      </c>
    </row>
    <row r="1512" spans="1:23" x14ac:dyDescent="0.25">
      <c r="A1512" t="s">
        <v>1962</v>
      </c>
      <c r="B1512" t="str">
        <f t="shared" si="24"/>
        <v>CM1100000445</v>
      </c>
      <c r="C1512" t="s">
        <v>225</v>
      </c>
      <c r="D1512" t="s">
        <v>77</v>
      </c>
      <c r="E1512" t="s">
        <v>78</v>
      </c>
      <c r="F1512">
        <v>5000</v>
      </c>
      <c r="G1512" s="13">
        <v>42844</v>
      </c>
      <c r="H1512" s="13">
        <v>42937</v>
      </c>
      <c r="I1512">
        <v>5000</v>
      </c>
      <c r="J1512">
        <v>0</v>
      </c>
      <c r="K1512">
        <v>5000</v>
      </c>
      <c r="N1512">
        <v>0</v>
      </c>
      <c r="O1512">
        <v>2.99</v>
      </c>
      <c r="P1512">
        <v>221.5</v>
      </c>
      <c r="T1512">
        <v>99.244194444444446</v>
      </c>
      <c r="W1512" t="s">
        <v>497</v>
      </c>
    </row>
    <row r="1513" spans="1:23" x14ac:dyDescent="0.25">
      <c r="A1513" t="s">
        <v>1963</v>
      </c>
      <c r="B1513" t="str">
        <f t="shared" si="24"/>
        <v>GA1200000378</v>
      </c>
      <c r="C1513" t="s">
        <v>227</v>
      </c>
      <c r="D1513" t="s">
        <v>77</v>
      </c>
      <c r="E1513" t="s">
        <v>82</v>
      </c>
      <c r="F1513">
        <v>10525</v>
      </c>
      <c r="G1513" s="13">
        <v>42844</v>
      </c>
      <c r="H1513" s="13">
        <v>43028</v>
      </c>
      <c r="I1513">
        <v>4700</v>
      </c>
      <c r="J1513">
        <v>5825</v>
      </c>
      <c r="K1513">
        <v>10525</v>
      </c>
      <c r="N1513">
        <v>0</v>
      </c>
      <c r="O1513">
        <v>5.19</v>
      </c>
      <c r="P1513">
        <v>88.33</v>
      </c>
      <c r="T1513">
        <v>97.376166666666663</v>
      </c>
      <c r="W1513" t="s">
        <v>497</v>
      </c>
    </row>
    <row r="1514" spans="1:23" x14ac:dyDescent="0.25">
      <c r="A1514" t="s">
        <v>1964</v>
      </c>
      <c r="B1514" t="str">
        <f t="shared" si="24"/>
        <v>GA1200000386</v>
      </c>
      <c r="C1514" t="s">
        <v>227</v>
      </c>
      <c r="D1514" t="s">
        <v>77</v>
      </c>
      <c r="E1514" t="s">
        <v>82</v>
      </c>
      <c r="F1514">
        <v>5000</v>
      </c>
      <c r="G1514" s="13">
        <v>42851</v>
      </c>
      <c r="H1514" s="13">
        <v>43035</v>
      </c>
      <c r="I1514">
        <v>4000</v>
      </c>
      <c r="J1514">
        <v>1000</v>
      </c>
      <c r="K1514">
        <v>5000</v>
      </c>
      <c r="N1514">
        <v>0</v>
      </c>
      <c r="O1514">
        <v>5.15</v>
      </c>
      <c r="P1514">
        <v>83.33</v>
      </c>
      <c r="T1514">
        <v>97.396388888888893</v>
      </c>
      <c r="W1514" t="s">
        <v>497</v>
      </c>
    </row>
    <row r="1515" spans="1:23" x14ac:dyDescent="0.25">
      <c r="A1515" t="s">
        <v>1965</v>
      </c>
      <c r="B1515" t="str">
        <f t="shared" si="24"/>
        <v>CM1100000452</v>
      </c>
      <c r="C1515" t="s">
        <v>225</v>
      </c>
      <c r="D1515" t="s">
        <v>77</v>
      </c>
      <c r="E1515" t="s">
        <v>78</v>
      </c>
      <c r="F1515">
        <v>5000</v>
      </c>
      <c r="G1515" s="13">
        <v>42851</v>
      </c>
      <c r="H1515" s="13">
        <v>42944</v>
      </c>
      <c r="I1515">
        <v>4333</v>
      </c>
      <c r="J1515">
        <v>667</v>
      </c>
      <c r="K1515">
        <v>5000</v>
      </c>
      <c r="N1515">
        <v>0</v>
      </c>
      <c r="O1515">
        <v>3.01</v>
      </c>
      <c r="P1515">
        <v>231.5</v>
      </c>
      <c r="T1515">
        <v>99.239138888888888</v>
      </c>
      <c r="W1515" t="s">
        <v>497</v>
      </c>
    </row>
    <row r="1516" spans="1:23" x14ac:dyDescent="0.25">
      <c r="A1516" t="s">
        <v>1966</v>
      </c>
      <c r="B1516" t="str">
        <f t="shared" si="24"/>
        <v>CM1200000444</v>
      </c>
      <c r="C1516" t="s">
        <v>225</v>
      </c>
      <c r="D1516" t="s">
        <v>77</v>
      </c>
      <c r="E1516" t="s">
        <v>82</v>
      </c>
      <c r="F1516">
        <v>5000</v>
      </c>
      <c r="G1516" s="13">
        <v>42858</v>
      </c>
      <c r="H1516" s="13">
        <v>43042</v>
      </c>
      <c r="I1516">
        <v>4000</v>
      </c>
      <c r="J1516">
        <v>1000</v>
      </c>
      <c r="K1516">
        <v>5000</v>
      </c>
      <c r="N1516">
        <v>0</v>
      </c>
      <c r="O1516">
        <v>3.49</v>
      </c>
      <c r="P1516">
        <v>151.5</v>
      </c>
      <c r="T1516">
        <v>98.235611111111112</v>
      </c>
      <c r="W1516" t="s">
        <v>497</v>
      </c>
    </row>
    <row r="1517" spans="1:23" x14ac:dyDescent="0.25">
      <c r="A1517" t="s">
        <v>1967</v>
      </c>
      <c r="B1517" t="str">
        <f t="shared" si="24"/>
        <v>GA1100000353</v>
      </c>
      <c r="C1517" t="s">
        <v>227</v>
      </c>
      <c r="D1517" t="s">
        <v>77</v>
      </c>
      <c r="E1517" t="s">
        <v>78</v>
      </c>
      <c r="F1517">
        <v>7500</v>
      </c>
      <c r="G1517" s="13">
        <v>42858</v>
      </c>
      <c r="H1517" s="13">
        <v>42951</v>
      </c>
      <c r="I1517">
        <v>2500</v>
      </c>
      <c r="J1517">
        <v>5000</v>
      </c>
      <c r="K1517">
        <v>7500</v>
      </c>
      <c r="N1517">
        <v>0</v>
      </c>
      <c r="O1517">
        <v>5.22</v>
      </c>
      <c r="P1517">
        <v>88.24</v>
      </c>
      <c r="T1517">
        <v>98.680499999999995</v>
      </c>
      <c r="W1517" t="s">
        <v>497</v>
      </c>
    </row>
    <row r="1518" spans="1:23" x14ac:dyDescent="0.25">
      <c r="A1518" t="s">
        <v>1968</v>
      </c>
      <c r="B1518" t="str">
        <f t="shared" si="24"/>
        <v>GA1200000394</v>
      </c>
      <c r="C1518" t="s">
        <v>227</v>
      </c>
      <c r="D1518" t="s">
        <v>77</v>
      </c>
      <c r="E1518" t="s">
        <v>82</v>
      </c>
      <c r="F1518">
        <v>6060</v>
      </c>
      <c r="G1518" s="13">
        <v>42865</v>
      </c>
      <c r="H1518" s="13">
        <v>43049</v>
      </c>
      <c r="I1518">
        <v>3460</v>
      </c>
      <c r="J1518">
        <v>2600</v>
      </c>
      <c r="K1518">
        <v>6060</v>
      </c>
      <c r="N1518">
        <v>0</v>
      </c>
      <c r="O1518">
        <v>5.37</v>
      </c>
      <c r="P1518">
        <v>71.289999999999992</v>
      </c>
      <c r="T1518">
        <v>97.285166666666669</v>
      </c>
      <c r="W1518" t="s">
        <v>497</v>
      </c>
    </row>
    <row r="1519" spans="1:23" x14ac:dyDescent="0.25">
      <c r="A1519" t="s">
        <v>1969</v>
      </c>
      <c r="B1519" t="str">
        <f t="shared" si="24"/>
        <v>CM1100000461</v>
      </c>
      <c r="C1519" t="s">
        <v>225</v>
      </c>
      <c r="D1519" t="s">
        <v>77</v>
      </c>
      <c r="E1519" t="s">
        <v>78</v>
      </c>
      <c r="F1519">
        <v>5000</v>
      </c>
      <c r="G1519" s="13">
        <v>42865</v>
      </c>
      <c r="H1519" s="13">
        <v>42958</v>
      </c>
      <c r="I1519">
        <v>4973</v>
      </c>
      <c r="J1519">
        <v>27</v>
      </c>
      <c r="K1519">
        <v>5000</v>
      </c>
      <c r="N1519">
        <v>0</v>
      </c>
      <c r="O1519">
        <v>2.97</v>
      </c>
      <c r="P1519">
        <v>266</v>
      </c>
      <c r="T1519">
        <v>99.249250000000004</v>
      </c>
      <c r="W1519" t="s">
        <v>497</v>
      </c>
    </row>
    <row r="1520" spans="1:23" x14ac:dyDescent="0.25">
      <c r="A1520" t="s">
        <v>1970</v>
      </c>
      <c r="B1520" t="str">
        <f t="shared" si="24"/>
        <v>CF1200000245</v>
      </c>
      <c r="C1520" t="s">
        <v>634</v>
      </c>
      <c r="D1520" t="s">
        <v>77</v>
      </c>
      <c r="E1520" t="s">
        <v>82</v>
      </c>
      <c r="F1520">
        <v>5500</v>
      </c>
      <c r="G1520" s="13">
        <v>42865</v>
      </c>
      <c r="H1520" s="13">
        <v>43049</v>
      </c>
      <c r="I1520">
        <v>5500</v>
      </c>
      <c r="J1520">
        <v>0</v>
      </c>
      <c r="K1520">
        <v>5500</v>
      </c>
      <c r="N1520">
        <v>0</v>
      </c>
      <c r="O1520">
        <v>5.32</v>
      </c>
      <c r="P1520">
        <v>100</v>
      </c>
      <c r="T1520">
        <v>97.310444444444443</v>
      </c>
      <c r="W1520" t="s">
        <v>497</v>
      </c>
    </row>
    <row r="1521" spans="1:23" x14ac:dyDescent="0.25">
      <c r="A1521" t="s">
        <v>1971</v>
      </c>
      <c r="B1521" t="str">
        <f t="shared" si="24"/>
        <v>CM1300000369</v>
      </c>
      <c r="C1521" t="s">
        <v>225</v>
      </c>
      <c r="D1521" t="s">
        <v>77</v>
      </c>
      <c r="E1521" t="s">
        <v>287</v>
      </c>
      <c r="F1521">
        <v>5000</v>
      </c>
      <c r="G1521" s="13">
        <v>42872</v>
      </c>
      <c r="H1521" s="13">
        <v>43238</v>
      </c>
      <c r="I1521">
        <v>4000</v>
      </c>
      <c r="J1521">
        <v>1000</v>
      </c>
      <c r="K1521">
        <v>5000</v>
      </c>
      <c r="N1521">
        <v>0</v>
      </c>
      <c r="O1521">
        <v>3.8</v>
      </c>
      <c r="P1521">
        <v>79.64</v>
      </c>
      <c r="T1521">
        <v>96.157777777777781</v>
      </c>
      <c r="W1521" t="s">
        <v>497</v>
      </c>
    </row>
    <row r="1522" spans="1:23" x14ac:dyDescent="0.25">
      <c r="A1522" t="s">
        <v>1972</v>
      </c>
      <c r="B1522" t="str">
        <f t="shared" si="24"/>
        <v>GQ1300000395</v>
      </c>
      <c r="C1522" t="s">
        <v>528</v>
      </c>
      <c r="D1522" t="s">
        <v>77</v>
      </c>
      <c r="E1522" t="s">
        <v>287</v>
      </c>
      <c r="F1522">
        <v>6000</v>
      </c>
      <c r="G1522" s="13">
        <v>42872</v>
      </c>
      <c r="H1522" s="13">
        <v>43238</v>
      </c>
      <c r="I1522">
        <v>1000</v>
      </c>
      <c r="J1522">
        <v>5000</v>
      </c>
      <c r="K1522">
        <v>6000</v>
      </c>
      <c r="N1522">
        <v>0</v>
      </c>
      <c r="O1522">
        <v>5.54</v>
      </c>
      <c r="P1522">
        <v>40</v>
      </c>
      <c r="T1522">
        <v>94.398444444444451</v>
      </c>
      <c r="W1522" t="s">
        <v>497</v>
      </c>
    </row>
    <row r="1523" spans="1:23" x14ac:dyDescent="0.25">
      <c r="A1523" t="s">
        <v>1973</v>
      </c>
      <c r="B1523" t="str">
        <f t="shared" si="24"/>
        <v>GA1300000294</v>
      </c>
      <c r="C1523" t="s">
        <v>227</v>
      </c>
      <c r="D1523" t="s">
        <v>77</v>
      </c>
      <c r="E1523" t="s">
        <v>287</v>
      </c>
      <c r="F1523">
        <v>7000</v>
      </c>
      <c r="G1523" s="13">
        <v>42872</v>
      </c>
      <c r="H1523" s="13">
        <v>43238</v>
      </c>
      <c r="I1523">
        <v>2000</v>
      </c>
      <c r="J1523">
        <v>5000</v>
      </c>
      <c r="K1523">
        <v>7000</v>
      </c>
      <c r="N1523">
        <v>0</v>
      </c>
      <c r="O1523">
        <v>5.64</v>
      </c>
      <c r="P1523">
        <v>63.639999999999993</v>
      </c>
      <c r="T1523">
        <v>94.297333333333327</v>
      </c>
      <c r="W1523" t="s">
        <v>497</v>
      </c>
    </row>
    <row r="1524" spans="1:23" x14ac:dyDescent="0.25">
      <c r="A1524" t="s">
        <v>1974</v>
      </c>
      <c r="B1524" t="str">
        <f t="shared" si="24"/>
        <v>GA1200000402</v>
      </c>
      <c r="C1524" t="s">
        <v>227</v>
      </c>
      <c r="D1524" t="s">
        <v>77</v>
      </c>
      <c r="E1524" t="s">
        <v>82</v>
      </c>
      <c r="F1524">
        <v>3732</v>
      </c>
      <c r="G1524" s="13">
        <v>42879</v>
      </c>
      <c r="H1524" s="13">
        <v>43063</v>
      </c>
      <c r="I1524">
        <v>3732</v>
      </c>
      <c r="J1524">
        <v>0</v>
      </c>
      <c r="K1524">
        <v>3732</v>
      </c>
      <c r="N1524">
        <v>0</v>
      </c>
      <c r="O1524">
        <v>5.66</v>
      </c>
      <c r="P1524">
        <v>41.47</v>
      </c>
      <c r="T1524">
        <v>97.138555555555556</v>
      </c>
      <c r="W1524" t="s">
        <v>497</v>
      </c>
    </row>
    <row r="1525" spans="1:23" x14ac:dyDescent="0.25">
      <c r="A1525" t="s">
        <v>1975</v>
      </c>
      <c r="B1525" t="str">
        <f t="shared" si="24"/>
        <v>CM1200000451</v>
      </c>
      <c r="C1525" t="s">
        <v>225</v>
      </c>
      <c r="D1525" t="s">
        <v>77</v>
      </c>
      <c r="E1525" t="s">
        <v>82</v>
      </c>
      <c r="F1525">
        <v>5000</v>
      </c>
      <c r="G1525" s="13">
        <v>42879</v>
      </c>
      <c r="H1525" s="13">
        <v>43063</v>
      </c>
      <c r="I1525">
        <v>4643</v>
      </c>
      <c r="J1525">
        <v>357</v>
      </c>
      <c r="K1525">
        <v>5000</v>
      </c>
      <c r="N1525">
        <v>0</v>
      </c>
      <c r="O1525">
        <v>3.47</v>
      </c>
      <c r="P1525">
        <v>160</v>
      </c>
      <c r="T1525">
        <v>98.245722222222227</v>
      </c>
      <c r="W1525" t="s">
        <v>497</v>
      </c>
    </row>
    <row r="1526" spans="1:23" x14ac:dyDescent="0.25">
      <c r="A1526" t="s">
        <v>1976</v>
      </c>
      <c r="B1526" t="str">
        <f t="shared" si="24"/>
        <v>GA1100000361</v>
      </c>
      <c r="C1526" t="s">
        <v>227</v>
      </c>
      <c r="D1526" t="s">
        <v>77</v>
      </c>
      <c r="E1526" t="s">
        <v>78</v>
      </c>
      <c r="F1526">
        <v>8200</v>
      </c>
      <c r="G1526" s="13">
        <v>42886</v>
      </c>
      <c r="H1526" s="13">
        <v>42979</v>
      </c>
      <c r="I1526">
        <v>3200</v>
      </c>
      <c r="J1526">
        <v>5000</v>
      </c>
      <c r="K1526">
        <v>8200</v>
      </c>
      <c r="N1526">
        <v>0</v>
      </c>
      <c r="O1526">
        <v>5.16</v>
      </c>
      <c r="P1526">
        <v>135.56</v>
      </c>
      <c r="T1526">
        <v>98.695666666666668</v>
      </c>
      <c r="W1526" t="s">
        <v>497</v>
      </c>
    </row>
    <row r="1527" spans="1:23" x14ac:dyDescent="0.25">
      <c r="A1527" t="s">
        <v>1977</v>
      </c>
      <c r="B1527" t="str">
        <f t="shared" si="24"/>
        <v>CM1200000469</v>
      </c>
      <c r="C1527" t="s">
        <v>225</v>
      </c>
      <c r="D1527" t="s">
        <v>77</v>
      </c>
      <c r="E1527" t="s">
        <v>82</v>
      </c>
      <c r="F1527">
        <v>5000</v>
      </c>
      <c r="G1527" s="13">
        <v>42893</v>
      </c>
      <c r="H1527" s="13">
        <v>43077</v>
      </c>
      <c r="I1527">
        <v>4807</v>
      </c>
      <c r="J1527">
        <v>193</v>
      </c>
      <c r="K1527">
        <v>5000</v>
      </c>
      <c r="N1527">
        <v>0</v>
      </c>
      <c r="O1527">
        <v>3.38</v>
      </c>
      <c r="P1527">
        <v>221</v>
      </c>
      <c r="Q1527">
        <v>3.5</v>
      </c>
      <c r="R1527">
        <v>3.1</v>
      </c>
      <c r="S1527">
        <v>4.1500000000000004</v>
      </c>
      <c r="T1527">
        <v>98.291222222222217</v>
      </c>
      <c r="W1527" t="s">
        <v>497</v>
      </c>
    </row>
    <row r="1528" spans="1:23" x14ac:dyDescent="0.25">
      <c r="A1528" t="s">
        <v>1978</v>
      </c>
      <c r="B1528" t="str">
        <f t="shared" si="24"/>
        <v>GA1100000379</v>
      </c>
      <c r="C1528" t="s">
        <v>227</v>
      </c>
      <c r="D1528" t="s">
        <v>77</v>
      </c>
      <c r="E1528" t="s">
        <v>78</v>
      </c>
      <c r="F1528">
        <v>4700</v>
      </c>
      <c r="G1528" s="13">
        <v>42893</v>
      </c>
      <c r="H1528" s="13">
        <v>42986</v>
      </c>
      <c r="I1528">
        <v>3000</v>
      </c>
      <c r="J1528">
        <v>1700</v>
      </c>
      <c r="K1528">
        <v>4700</v>
      </c>
      <c r="N1528">
        <v>0</v>
      </c>
      <c r="O1528">
        <v>5.16</v>
      </c>
      <c r="P1528">
        <v>47</v>
      </c>
      <c r="Q1528">
        <v>5.5</v>
      </c>
      <c r="R1528">
        <v>4.95</v>
      </c>
      <c r="S1528">
        <v>5.5</v>
      </c>
      <c r="T1528">
        <v>98.695666666666668</v>
      </c>
      <c r="W1528" t="s">
        <v>497</v>
      </c>
    </row>
    <row r="1529" spans="1:23" x14ac:dyDescent="0.25">
      <c r="A1529" t="s">
        <v>1979</v>
      </c>
      <c r="B1529" t="str">
        <f t="shared" si="24"/>
        <v>CG1100000039</v>
      </c>
      <c r="C1529" t="s">
        <v>229</v>
      </c>
      <c r="D1529" t="s">
        <v>77</v>
      </c>
      <c r="E1529" t="s">
        <v>78</v>
      </c>
      <c r="F1529">
        <v>0</v>
      </c>
      <c r="G1529" s="13">
        <v>42893</v>
      </c>
      <c r="H1529" s="13"/>
      <c r="J1529">
        <v>0</v>
      </c>
      <c r="K1529">
        <v>0</v>
      </c>
      <c r="N1529">
        <v>0</v>
      </c>
      <c r="P1529">
        <v>0</v>
      </c>
      <c r="T1529" t="e">
        <v>#NUM!</v>
      </c>
      <c r="W1529" t="s">
        <v>497</v>
      </c>
    </row>
    <row r="1530" spans="1:23" x14ac:dyDescent="0.25">
      <c r="A1530" t="s">
        <v>1980</v>
      </c>
      <c r="B1530" t="str">
        <f t="shared" si="24"/>
        <v>GA1200000411</v>
      </c>
      <c r="C1530" t="s">
        <v>227</v>
      </c>
      <c r="D1530" t="s">
        <v>77</v>
      </c>
      <c r="E1530" t="s">
        <v>82</v>
      </c>
      <c r="F1530">
        <v>10000</v>
      </c>
      <c r="G1530" s="13">
        <v>42900</v>
      </c>
      <c r="H1530" s="13">
        <v>43084</v>
      </c>
      <c r="I1530">
        <v>10000</v>
      </c>
      <c r="J1530">
        <v>0</v>
      </c>
      <c r="K1530">
        <v>10000</v>
      </c>
      <c r="N1530">
        <v>0</v>
      </c>
      <c r="O1530">
        <v>5.4</v>
      </c>
      <c r="P1530">
        <v>100</v>
      </c>
      <c r="Q1530">
        <v>5.85</v>
      </c>
      <c r="R1530">
        <v>5</v>
      </c>
      <c r="S1530">
        <v>5.85</v>
      </c>
      <c r="T1530">
        <v>97.27</v>
      </c>
      <c r="W1530" t="s">
        <v>497</v>
      </c>
    </row>
    <row r="1531" spans="1:23" x14ac:dyDescent="0.25">
      <c r="A1531" t="s">
        <v>1981</v>
      </c>
      <c r="B1531" t="str">
        <f t="shared" si="24"/>
        <v>CM1200000477</v>
      </c>
      <c r="C1531" t="s">
        <v>225</v>
      </c>
      <c r="D1531" t="s">
        <v>77</v>
      </c>
      <c r="E1531" t="s">
        <v>82</v>
      </c>
      <c r="F1531">
        <v>5000</v>
      </c>
      <c r="G1531" s="13">
        <v>42900</v>
      </c>
      <c r="H1531" s="13">
        <v>43084</v>
      </c>
      <c r="I1531">
        <v>3971</v>
      </c>
      <c r="J1531">
        <v>1029</v>
      </c>
      <c r="K1531">
        <v>5000</v>
      </c>
      <c r="N1531">
        <v>0</v>
      </c>
      <c r="O1531">
        <v>3.47</v>
      </c>
      <c r="P1531">
        <v>154</v>
      </c>
      <c r="Q1531">
        <v>3.5</v>
      </c>
      <c r="R1531">
        <v>3.4</v>
      </c>
      <c r="S1531">
        <v>3.7</v>
      </c>
      <c r="T1531">
        <v>98.245722222222227</v>
      </c>
      <c r="W1531" t="s">
        <v>497</v>
      </c>
    </row>
    <row r="1532" spans="1:23" x14ac:dyDescent="0.25">
      <c r="A1532" t="s">
        <v>1982</v>
      </c>
      <c r="B1532" t="str">
        <f t="shared" si="24"/>
        <v>TD1300000221</v>
      </c>
      <c r="C1532" t="s">
        <v>237</v>
      </c>
      <c r="D1532" t="s">
        <v>77</v>
      </c>
      <c r="E1532" t="s">
        <v>287</v>
      </c>
      <c r="F1532">
        <v>14500</v>
      </c>
      <c r="G1532" s="13">
        <v>42900</v>
      </c>
      <c r="H1532" s="13">
        <v>43266</v>
      </c>
      <c r="I1532">
        <v>11500</v>
      </c>
      <c r="J1532">
        <v>3000</v>
      </c>
      <c r="K1532">
        <v>14500</v>
      </c>
      <c r="N1532">
        <v>0</v>
      </c>
      <c r="O1532">
        <v>5.01</v>
      </c>
      <c r="P1532">
        <v>96.67</v>
      </c>
      <c r="Q1532">
        <v>6</v>
      </c>
      <c r="R1532">
        <v>4.75</v>
      </c>
      <c r="S1532">
        <v>6</v>
      </c>
      <c r="T1532">
        <v>94.934333333333328</v>
      </c>
      <c r="W1532" t="s">
        <v>497</v>
      </c>
    </row>
    <row r="1533" spans="1:23" x14ac:dyDescent="0.25">
      <c r="A1533" t="s">
        <v>1983</v>
      </c>
      <c r="B1533" t="str">
        <f t="shared" si="24"/>
        <v>GQ1300000403</v>
      </c>
      <c r="C1533" t="s">
        <v>528</v>
      </c>
      <c r="D1533" t="s">
        <v>77</v>
      </c>
      <c r="E1533" t="s">
        <v>287</v>
      </c>
      <c r="F1533">
        <v>15000</v>
      </c>
      <c r="G1533" s="13">
        <v>42907</v>
      </c>
      <c r="H1533" s="13">
        <v>43273</v>
      </c>
      <c r="I1533">
        <v>15000</v>
      </c>
      <c r="J1533">
        <v>0</v>
      </c>
      <c r="K1533">
        <v>15000</v>
      </c>
      <c r="N1533">
        <v>0</v>
      </c>
      <c r="O1533">
        <v>6.67</v>
      </c>
      <c r="P1533">
        <v>100</v>
      </c>
      <c r="Q1533">
        <v>7</v>
      </c>
      <c r="R1533">
        <v>6.5</v>
      </c>
      <c r="S1533">
        <v>7</v>
      </c>
      <c r="T1533">
        <v>93.25588888888889</v>
      </c>
      <c r="W1533" t="s">
        <v>497</v>
      </c>
    </row>
    <row r="1534" spans="1:23" x14ac:dyDescent="0.25">
      <c r="A1534" t="s">
        <v>1984</v>
      </c>
      <c r="B1534" t="str">
        <f t="shared" si="24"/>
        <v>GA1200000428</v>
      </c>
      <c r="C1534" t="s">
        <v>227</v>
      </c>
      <c r="D1534" t="s">
        <v>77</v>
      </c>
      <c r="E1534" t="s">
        <v>82</v>
      </c>
      <c r="F1534">
        <v>4219</v>
      </c>
      <c r="G1534" s="13">
        <v>42907</v>
      </c>
      <c r="H1534" s="13">
        <v>43091</v>
      </c>
      <c r="I1534">
        <v>1219</v>
      </c>
      <c r="J1534">
        <v>3000</v>
      </c>
      <c r="K1534">
        <v>4219</v>
      </c>
      <c r="N1534">
        <v>0</v>
      </c>
      <c r="O1534">
        <v>5.55</v>
      </c>
      <c r="P1534">
        <v>52.739999999999995</v>
      </c>
      <c r="Q1534">
        <v>5.9</v>
      </c>
      <c r="R1534">
        <v>5.25</v>
      </c>
      <c r="S1534">
        <v>5.9</v>
      </c>
      <c r="T1534">
        <v>97.194166666666661</v>
      </c>
      <c r="W1534" t="s">
        <v>497</v>
      </c>
    </row>
    <row r="1535" spans="1:23" x14ac:dyDescent="0.25">
      <c r="A1535" t="s">
        <v>1985</v>
      </c>
      <c r="B1535" t="str">
        <f t="shared" si="24"/>
        <v>GA1100000387</v>
      </c>
      <c r="C1535" t="s">
        <v>227</v>
      </c>
      <c r="D1535" t="s">
        <v>77</v>
      </c>
      <c r="E1535" t="s">
        <v>78</v>
      </c>
      <c r="F1535">
        <v>0</v>
      </c>
      <c r="G1535" s="13">
        <v>42914</v>
      </c>
      <c r="H1535" s="13">
        <v>43007</v>
      </c>
      <c r="J1535">
        <v>0</v>
      </c>
      <c r="K1535">
        <v>0</v>
      </c>
      <c r="N1535">
        <v>0</v>
      </c>
      <c r="O1535" t="s">
        <v>285</v>
      </c>
      <c r="T1535" t="e">
        <v>#VALUE!</v>
      </c>
      <c r="W1535" t="s">
        <v>497</v>
      </c>
    </row>
    <row r="1536" spans="1:23" x14ac:dyDescent="0.25">
      <c r="A1536" t="s">
        <v>1986</v>
      </c>
      <c r="B1536" t="str">
        <f t="shared" si="24"/>
        <v>CM1100000478</v>
      </c>
      <c r="C1536" t="s">
        <v>225</v>
      </c>
      <c r="D1536" t="s">
        <v>77</v>
      </c>
      <c r="E1536" t="s">
        <v>78</v>
      </c>
      <c r="F1536">
        <v>5000</v>
      </c>
      <c r="G1536" s="13">
        <v>42914</v>
      </c>
      <c r="H1536" s="13">
        <v>43007</v>
      </c>
      <c r="I1536">
        <v>4750</v>
      </c>
      <c r="J1536">
        <v>250</v>
      </c>
      <c r="K1536">
        <v>5000</v>
      </c>
      <c r="N1536">
        <v>0</v>
      </c>
      <c r="O1536">
        <v>2.97</v>
      </c>
      <c r="P1536">
        <v>170</v>
      </c>
      <c r="Q1536">
        <v>3</v>
      </c>
      <c r="R1536">
        <v>2.95</v>
      </c>
      <c r="S1536">
        <v>4</v>
      </c>
      <c r="T1536">
        <v>99.249250000000004</v>
      </c>
      <c r="W1536" t="s">
        <v>497</v>
      </c>
    </row>
    <row r="1537" spans="1:23" x14ac:dyDescent="0.25">
      <c r="A1537" t="s">
        <v>1987</v>
      </c>
      <c r="B1537" t="str">
        <f t="shared" si="24"/>
        <v>CM1100000486</v>
      </c>
      <c r="C1537" t="s">
        <v>225</v>
      </c>
      <c r="D1537" t="s">
        <v>77</v>
      </c>
      <c r="E1537" t="s">
        <v>78</v>
      </c>
      <c r="F1537">
        <v>4200</v>
      </c>
      <c r="G1537" s="13">
        <v>42921</v>
      </c>
      <c r="H1537" s="13">
        <v>43014</v>
      </c>
      <c r="I1537">
        <v>2200</v>
      </c>
      <c r="J1537">
        <v>2000</v>
      </c>
      <c r="K1537">
        <v>4200</v>
      </c>
      <c r="N1537">
        <v>0</v>
      </c>
      <c r="O1537">
        <v>3.13</v>
      </c>
      <c r="P1537">
        <v>105.5</v>
      </c>
      <c r="Q1537">
        <v>3.5</v>
      </c>
      <c r="R1537">
        <v>2.9</v>
      </c>
      <c r="S1537">
        <v>5.5</v>
      </c>
      <c r="T1537">
        <v>99.208805555555557</v>
      </c>
      <c r="W1537" t="s">
        <v>497</v>
      </c>
    </row>
    <row r="1538" spans="1:23" x14ac:dyDescent="0.25">
      <c r="A1538" t="s">
        <v>1988</v>
      </c>
      <c r="B1538" t="str">
        <f t="shared" si="24"/>
        <v>CF1200000252</v>
      </c>
      <c r="C1538" t="s">
        <v>634</v>
      </c>
      <c r="D1538" t="s">
        <v>77</v>
      </c>
      <c r="E1538" t="s">
        <v>82</v>
      </c>
      <c r="F1538">
        <v>4000</v>
      </c>
      <c r="G1538" s="13">
        <v>42921</v>
      </c>
      <c r="H1538" s="13">
        <v>43105</v>
      </c>
      <c r="I1538">
        <v>4000</v>
      </c>
      <c r="J1538">
        <v>0</v>
      </c>
      <c r="K1538">
        <v>4000</v>
      </c>
      <c r="N1538">
        <v>0</v>
      </c>
      <c r="O1538">
        <v>5</v>
      </c>
      <c r="P1538">
        <v>112.5</v>
      </c>
      <c r="Q1538">
        <v>5.5</v>
      </c>
      <c r="R1538">
        <v>5</v>
      </c>
      <c r="S1538">
        <v>5.5</v>
      </c>
      <c r="T1538">
        <v>97.472222222222229</v>
      </c>
      <c r="W1538" t="s">
        <v>497</v>
      </c>
    </row>
    <row r="1539" spans="1:23" x14ac:dyDescent="0.25">
      <c r="A1539" t="s">
        <v>1989</v>
      </c>
      <c r="B1539" t="str">
        <f t="shared" si="24"/>
        <v>GA1200000436</v>
      </c>
      <c r="C1539" t="s">
        <v>227</v>
      </c>
      <c r="D1539" t="s">
        <v>77</v>
      </c>
      <c r="E1539" t="s">
        <v>82</v>
      </c>
      <c r="F1539">
        <v>9000</v>
      </c>
      <c r="G1539" s="13">
        <v>42921</v>
      </c>
      <c r="H1539" s="13">
        <v>43105</v>
      </c>
      <c r="I1539">
        <v>6100</v>
      </c>
      <c r="J1539">
        <v>2900</v>
      </c>
      <c r="K1539">
        <v>9000</v>
      </c>
      <c r="N1539">
        <v>0</v>
      </c>
      <c r="O1539">
        <v>5.73</v>
      </c>
      <c r="P1539">
        <v>81.820000000000007</v>
      </c>
      <c r="Q1539">
        <v>6</v>
      </c>
      <c r="R1539">
        <v>5.5</v>
      </c>
      <c r="S1539">
        <v>6</v>
      </c>
      <c r="T1539">
        <v>97.103166666666667</v>
      </c>
      <c r="W1539" t="s">
        <v>497</v>
      </c>
    </row>
    <row r="1540" spans="1:23" x14ac:dyDescent="0.25">
      <c r="A1540" t="s">
        <v>1990</v>
      </c>
      <c r="B1540" t="str">
        <f t="shared" si="24"/>
        <v>CG1100000047</v>
      </c>
      <c r="C1540" t="s">
        <v>229</v>
      </c>
      <c r="D1540" t="s">
        <v>77</v>
      </c>
      <c r="E1540" t="s">
        <v>78</v>
      </c>
      <c r="F1540">
        <v>5200</v>
      </c>
      <c r="G1540" s="13">
        <v>42921</v>
      </c>
      <c r="H1540" s="13">
        <v>43014</v>
      </c>
      <c r="I1540">
        <v>5000</v>
      </c>
      <c r="J1540">
        <v>200</v>
      </c>
      <c r="K1540">
        <v>5200</v>
      </c>
      <c r="N1540">
        <v>0</v>
      </c>
      <c r="O1540">
        <v>5</v>
      </c>
      <c r="P1540">
        <v>65</v>
      </c>
      <c r="Q1540">
        <v>5</v>
      </c>
      <c r="R1540">
        <v>5</v>
      </c>
      <c r="S1540">
        <v>5</v>
      </c>
      <c r="T1540">
        <v>98.736111111111114</v>
      </c>
      <c r="W1540" t="s">
        <v>497</v>
      </c>
    </row>
    <row r="1541" spans="1:23" x14ac:dyDescent="0.25">
      <c r="A1541" t="s">
        <v>1991</v>
      </c>
      <c r="B1541" t="str">
        <f t="shared" si="24"/>
        <v>GA1200000444</v>
      </c>
      <c r="C1541" t="s">
        <v>227</v>
      </c>
      <c r="D1541" t="s">
        <v>77</v>
      </c>
      <c r="E1541" t="s">
        <v>82</v>
      </c>
      <c r="F1541">
        <v>5500</v>
      </c>
      <c r="G1541" s="13">
        <v>42928</v>
      </c>
      <c r="H1541" s="13">
        <v>43112</v>
      </c>
      <c r="I1541">
        <v>500</v>
      </c>
      <c r="J1541">
        <v>5000</v>
      </c>
      <c r="K1541">
        <v>5500</v>
      </c>
      <c r="N1541">
        <v>0</v>
      </c>
      <c r="O1541">
        <v>5.91</v>
      </c>
      <c r="P1541">
        <v>73.33</v>
      </c>
      <c r="Q1541">
        <v>6</v>
      </c>
      <c r="R1541">
        <v>5.75</v>
      </c>
      <c r="S1541">
        <v>6</v>
      </c>
      <c r="T1541">
        <v>97.012166666666673</v>
      </c>
      <c r="W1541" t="s">
        <v>497</v>
      </c>
    </row>
    <row r="1542" spans="1:23" x14ac:dyDescent="0.25">
      <c r="A1542" t="s">
        <v>1992</v>
      </c>
      <c r="B1542" t="str">
        <f t="shared" si="24"/>
        <v>CM1100000494</v>
      </c>
      <c r="C1542" t="s">
        <v>225</v>
      </c>
      <c r="D1542" t="s">
        <v>77</v>
      </c>
      <c r="E1542" t="s">
        <v>78</v>
      </c>
      <c r="F1542">
        <v>5000</v>
      </c>
      <c r="G1542" s="13">
        <v>42928</v>
      </c>
      <c r="H1542" s="13">
        <v>43021</v>
      </c>
      <c r="I1542">
        <v>3833</v>
      </c>
      <c r="J1542">
        <v>1167</v>
      </c>
      <c r="K1542">
        <v>5000</v>
      </c>
      <c r="N1542">
        <v>0</v>
      </c>
      <c r="O1542">
        <v>3.15</v>
      </c>
      <c r="P1542">
        <v>170</v>
      </c>
      <c r="Q1542">
        <v>3.5</v>
      </c>
      <c r="R1542">
        <v>3</v>
      </c>
      <c r="S1542">
        <v>4</v>
      </c>
      <c r="T1542">
        <v>99.203749999999999</v>
      </c>
      <c r="W1542" t="s">
        <v>497</v>
      </c>
    </row>
    <row r="1543" spans="1:23" x14ac:dyDescent="0.25">
      <c r="A1543" t="s">
        <v>1993</v>
      </c>
      <c r="B1543" t="str">
        <f t="shared" si="24"/>
        <v>TD1200000115</v>
      </c>
      <c r="C1543" t="s">
        <v>237</v>
      </c>
      <c r="D1543" t="s">
        <v>77</v>
      </c>
      <c r="E1543" t="s">
        <v>82</v>
      </c>
      <c r="F1543">
        <v>25000</v>
      </c>
      <c r="G1543" s="13">
        <v>42928</v>
      </c>
      <c r="H1543" s="13">
        <v>43112</v>
      </c>
      <c r="I1543">
        <v>25000</v>
      </c>
      <c r="J1543">
        <v>0</v>
      </c>
      <c r="K1543">
        <v>25000</v>
      </c>
      <c r="N1543">
        <v>0</v>
      </c>
      <c r="O1543">
        <v>4.75</v>
      </c>
      <c r="P1543">
        <v>100</v>
      </c>
      <c r="Q1543">
        <v>4.75</v>
      </c>
      <c r="R1543">
        <v>4.75</v>
      </c>
      <c r="S1543">
        <v>4.75</v>
      </c>
      <c r="T1543">
        <v>97.598611111111111</v>
      </c>
      <c r="W1543" t="s">
        <v>497</v>
      </c>
    </row>
    <row r="1544" spans="1:23" x14ac:dyDescent="0.25">
      <c r="A1544" t="s">
        <v>1994</v>
      </c>
      <c r="B1544" t="str">
        <f t="shared" si="24"/>
        <v>TD1200000123</v>
      </c>
      <c r="C1544" t="s">
        <v>237</v>
      </c>
      <c r="D1544" t="s">
        <v>77</v>
      </c>
      <c r="E1544" t="s">
        <v>82</v>
      </c>
      <c r="F1544">
        <v>22500</v>
      </c>
      <c r="G1544" s="13">
        <v>42935</v>
      </c>
      <c r="H1544" s="13">
        <v>43119</v>
      </c>
      <c r="I1544">
        <v>15500</v>
      </c>
      <c r="J1544">
        <v>7000</v>
      </c>
      <c r="K1544">
        <v>22500</v>
      </c>
      <c r="N1544">
        <v>0</v>
      </c>
      <c r="O1544">
        <v>5.61</v>
      </c>
      <c r="P1544">
        <v>90.2</v>
      </c>
      <c r="Q1544">
        <v>6</v>
      </c>
      <c r="R1544">
        <v>4.75</v>
      </c>
      <c r="S1544">
        <v>6.25</v>
      </c>
      <c r="T1544">
        <v>97.163833333333329</v>
      </c>
      <c r="W1544" t="s">
        <v>497</v>
      </c>
    </row>
    <row r="1545" spans="1:23" x14ac:dyDescent="0.25">
      <c r="A1545" t="s">
        <v>1995</v>
      </c>
      <c r="B1545" t="str">
        <f t="shared" si="24"/>
        <v>GQ1300000411</v>
      </c>
      <c r="C1545" t="s">
        <v>528</v>
      </c>
      <c r="D1545" t="s">
        <v>77</v>
      </c>
      <c r="E1545" t="s">
        <v>287</v>
      </c>
      <c r="F1545">
        <v>0</v>
      </c>
      <c r="G1545" s="13">
        <v>42935</v>
      </c>
      <c r="H1545" s="13"/>
      <c r="I1545">
        <v>0</v>
      </c>
      <c r="J1545">
        <v>0</v>
      </c>
      <c r="K1545">
        <v>0</v>
      </c>
      <c r="N1545">
        <v>0</v>
      </c>
      <c r="P1545">
        <v>6.660000000000001</v>
      </c>
      <c r="Q1545">
        <v>0</v>
      </c>
      <c r="R1545">
        <v>5.85</v>
      </c>
      <c r="S1545">
        <v>8.85</v>
      </c>
      <c r="T1545" t="e">
        <v>#NUM!</v>
      </c>
      <c r="W1545" t="s">
        <v>497</v>
      </c>
    </row>
    <row r="1546" spans="1:23" x14ac:dyDescent="0.25">
      <c r="A1546" t="s">
        <v>1996</v>
      </c>
      <c r="B1546" t="str">
        <f t="shared" si="24"/>
        <v>GA1200000451</v>
      </c>
      <c r="C1546" t="s">
        <v>227</v>
      </c>
      <c r="D1546" t="s">
        <v>77</v>
      </c>
      <c r="E1546" t="s">
        <v>82</v>
      </c>
      <c r="F1546">
        <v>8500</v>
      </c>
      <c r="G1546" s="13">
        <v>42935</v>
      </c>
      <c r="H1546" s="13">
        <v>43119</v>
      </c>
      <c r="I1546">
        <v>3500</v>
      </c>
      <c r="J1546">
        <v>5000</v>
      </c>
      <c r="K1546">
        <v>8500</v>
      </c>
      <c r="N1546">
        <v>0</v>
      </c>
      <c r="O1546">
        <v>5.91</v>
      </c>
      <c r="P1546">
        <v>85</v>
      </c>
      <c r="Q1546">
        <v>6</v>
      </c>
      <c r="R1546">
        <v>5.75</v>
      </c>
      <c r="S1546">
        <v>6</v>
      </c>
      <c r="T1546">
        <v>97.012166666666673</v>
      </c>
      <c r="W1546" t="s">
        <v>497</v>
      </c>
    </row>
    <row r="1547" spans="1:23" x14ac:dyDescent="0.25">
      <c r="A1547" t="s">
        <v>1997</v>
      </c>
      <c r="B1547" t="str">
        <f t="shared" si="24"/>
        <v>GA1200000469</v>
      </c>
      <c r="C1547" t="s">
        <v>227</v>
      </c>
      <c r="D1547" t="s">
        <v>77</v>
      </c>
      <c r="E1547" t="s">
        <v>82</v>
      </c>
      <c r="F1547">
        <v>10000</v>
      </c>
      <c r="G1547" s="13">
        <v>42942</v>
      </c>
      <c r="H1547" s="13">
        <v>43126</v>
      </c>
      <c r="I1547">
        <v>341</v>
      </c>
      <c r="J1547">
        <v>9659</v>
      </c>
      <c r="K1547">
        <v>10000</v>
      </c>
      <c r="N1547">
        <v>0</v>
      </c>
      <c r="O1547">
        <v>5.69</v>
      </c>
      <c r="P1547">
        <v>107</v>
      </c>
      <c r="Q1547">
        <v>6</v>
      </c>
      <c r="R1547">
        <v>5.5</v>
      </c>
      <c r="S1547">
        <v>6</v>
      </c>
      <c r="T1547">
        <v>97.123388888888883</v>
      </c>
      <c r="W1547" t="s">
        <v>497</v>
      </c>
    </row>
    <row r="1548" spans="1:23" x14ac:dyDescent="0.25">
      <c r="A1548" t="s">
        <v>1998</v>
      </c>
      <c r="B1548" t="str">
        <f t="shared" si="24"/>
        <v>CM1200000485</v>
      </c>
      <c r="C1548" t="s">
        <v>225</v>
      </c>
      <c r="D1548" t="s">
        <v>77</v>
      </c>
      <c r="E1548" t="s">
        <v>82</v>
      </c>
      <c r="F1548">
        <v>5000</v>
      </c>
      <c r="G1548" s="13">
        <v>42942</v>
      </c>
      <c r="H1548" s="13">
        <v>43126</v>
      </c>
      <c r="I1548">
        <v>3500</v>
      </c>
      <c r="J1548">
        <v>1500</v>
      </c>
      <c r="K1548">
        <v>5000</v>
      </c>
      <c r="N1548">
        <v>0</v>
      </c>
      <c r="O1548">
        <v>3.5</v>
      </c>
      <c r="P1548">
        <v>211.50000000000003</v>
      </c>
      <c r="Q1548">
        <v>3.6</v>
      </c>
      <c r="R1548">
        <v>3.4</v>
      </c>
      <c r="S1548">
        <v>5.5</v>
      </c>
      <c r="T1548">
        <v>98.230555555555554</v>
      </c>
      <c r="W1548" t="s">
        <v>497</v>
      </c>
    </row>
    <row r="1549" spans="1:23" x14ac:dyDescent="0.25">
      <c r="A1549" t="s">
        <v>1999</v>
      </c>
      <c r="B1549" t="str">
        <f t="shared" si="24"/>
        <v>TD1300000239</v>
      </c>
      <c r="C1549" t="s">
        <v>237</v>
      </c>
      <c r="D1549" t="s">
        <v>77</v>
      </c>
      <c r="E1549" t="s">
        <v>287</v>
      </c>
      <c r="F1549">
        <v>13000</v>
      </c>
      <c r="G1549" s="13">
        <v>42949</v>
      </c>
      <c r="H1549" s="13">
        <v>43315</v>
      </c>
      <c r="I1549">
        <v>13000</v>
      </c>
      <c r="J1549">
        <v>0</v>
      </c>
      <c r="K1549">
        <v>13000</v>
      </c>
      <c r="N1549">
        <v>0</v>
      </c>
      <c r="O1549">
        <v>3.75</v>
      </c>
      <c r="P1549">
        <v>83.87</v>
      </c>
      <c r="Q1549">
        <v>3.75</v>
      </c>
      <c r="R1549">
        <v>3.75</v>
      </c>
      <c r="S1549">
        <v>3.75</v>
      </c>
      <c r="T1549">
        <v>96.208333333333329</v>
      </c>
      <c r="W1549" t="s">
        <v>497</v>
      </c>
    </row>
    <row r="1550" spans="1:23" x14ac:dyDescent="0.25">
      <c r="A1550" t="s">
        <v>2000</v>
      </c>
      <c r="B1550" t="str">
        <f t="shared" si="24"/>
        <v>GA1100000395</v>
      </c>
      <c r="C1550" t="s">
        <v>227</v>
      </c>
      <c r="D1550" t="s">
        <v>77</v>
      </c>
      <c r="E1550" t="s">
        <v>78</v>
      </c>
      <c r="F1550">
        <v>7000</v>
      </c>
      <c r="G1550" s="13">
        <v>42949</v>
      </c>
      <c r="H1550" s="13">
        <v>43042</v>
      </c>
      <c r="I1550">
        <v>875</v>
      </c>
      <c r="J1550">
        <v>6125</v>
      </c>
      <c r="K1550">
        <v>7000</v>
      </c>
      <c r="N1550">
        <v>0</v>
      </c>
      <c r="O1550">
        <v>5.5</v>
      </c>
      <c r="P1550">
        <v>140.79</v>
      </c>
      <c r="Q1550">
        <v>5.5</v>
      </c>
      <c r="R1550">
        <v>5.5</v>
      </c>
      <c r="S1550">
        <v>5.5</v>
      </c>
      <c r="T1550">
        <v>98.609722222222217</v>
      </c>
      <c r="W1550" t="s">
        <v>497</v>
      </c>
    </row>
    <row r="1551" spans="1:23" x14ac:dyDescent="0.25">
      <c r="A1551" t="s">
        <v>2001</v>
      </c>
      <c r="B1551" t="str">
        <f t="shared" si="24"/>
        <v>GA1200000477</v>
      </c>
      <c r="C1551" t="s">
        <v>227</v>
      </c>
      <c r="D1551" t="s">
        <v>77</v>
      </c>
      <c r="E1551" t="s">
        <v>82</v>
      </c>
      <c r="F1551">
        <v>5655</v>
      </c>
      <c r="G1551" s="13">
        <v>42956</v>
      </c>
      <c r="H1551" s="13">
        <v>43140</v>
      </c>
      <c r="I1551">
        <v>4500</v>
      </c>
      <c r="J1551">
        <v>1155</v>
      </c>
      <c r="K1551">
        <v>5655</v>
      </c>
      <c r="N1551">
        <v>0</v>
      </c>
      <c r="O1551">
        <v>5.81</v>
      </c>
      <c r="P1551">
        <v>94.25</v>
      </c>
      <c r="Q1551">
        <v>6</v>
      </c>
      <c r="R1551">
        <v>4</v>
      </c>
      <c r="S1551">
        <v>6</v>
      </c>
      <c r="T1551">
        <v>97.06272222222222</v>
      </c>
      <c r="W1551" t="s">
        <v>497</v>
      </c>
    </row>
    <row r="1552" spans="1:23" x14ac:dyDescent="0.25">
      <c r="A1552" t="s">
        <v>2002</v>
      </c>
      <c r="B1552" t="str">
        <f t="shared" si="24"/>
        <v>CM1200000493</v>
      </c>
      <c r="C1552" t="s">
        <v>225</v>
      </c>
      <c r="D1552" t="s">
        <v>77</v>
      </c>
      <c r="E1552" t="s">
        <v>82</v>
      </c>
      <c r="F1552">
        <v>5000</v>
      </c>
      <c r="G1552" s="13">
        <v>42956</v>
      </c>
      <c r="H1552" s="13">
        <v>43140</v>
      </c>
      <c r="I1552">
        <v>4917</v>
      </c>
      <c r="J1552">
        <v>83</v>
      </c>
      <c r="K1552">
        <v>5000</v>
      </c>
      <c r="N1552">
        <v>0</v>
      </c>
      <c r="O1552">
        <v>3.35</v>
      </c>
      <c r="P1552">
        <v>211.50000000000003</v>
      </c>
      <c r="Q1552">
        <v>3.5</v>
      </c>
      <c r="R1552">
        <v>3.3</v>
      </c>
      <c r="S1552">
        <v>5.6</v>
      </c>
      <c r="T1552">
        <v>98.30638888888889</v>
      </c>
      <c r="W1552" t="s">
        <v>497</v>
      </c>
    </row>
    <row r="1553" spans="1:23" x14ac:dyDescent="0.25">
      <c r="A1553" t="s">
        <v>2003</v>
      </c>
      <c r="B1553" t="str">
        <f t="shared" si="24"/>
        <v>GQ1300000429</v>
      </c>
      <c r="C1553" t="s">
        <v>528</v>
      </c>
      <c r="D1553" t="s">
        <v>77</v>
      </c>
      <c r="E1553" t="s">
        <v>287</v>
      </c>
      <c r="F1553">
        <v>10000</v>
      </c>
      <c r="G1553" s="13">
        <v>42956</v>
      </c>
      <c r="H1553" s="13">
        <v>43322</v>
      </c>
      <c r="I1553">
        <v>10000</v>
      </c>
      <c r="J1553">
        <v>0</v>
      </c>
      <c r="K1553">
        <v>10000</v>
      </c>
      <c r="N1553">
        <v>0</v>
      </c>
      <c r="O1553">
        <v>7.5</v>
      </c>
      <c r="P1553">
        <v>66.67</v>
      </c>
      <c r="Q1553">
        <v>7.5</v>
      </c>
      <c r="R1553">
        <v>7.5</v>
      </c>
      <c r="S1553">
        <v>7.5</v>
      </c>
      <c r="T1553">
        <v>92.416666666666671</v>
      </c>
      <c r="W1553" t="s">
        <v>497</v>
      </c>
    </row>
    <row r="1554" spans="1:23" x14ac:dyDescent="0.25">
      <c r="A1554" t="s">
        <v>2004</v>
      </c>
      <c r="B1554" t="str">
        <f t="shared" si="24"/>
        <v>CG1100000054</v>
      </c>
      <c r="C1554" t="s">
        <v>229</v>
      </c>
      <c r="D1554" t="s">
        <v>77</v>
      </c>
      <c r="E1554" t="s">
        <v>78</v>
      </c>
      <c r="F1554">
        <v>1500</v>
      </c>
      <c r="G1554" s="13">
        <v>42956</v>
      </c>
      <c r="H1554" s="13">
        <v>43049</v>
      </c>
      <c r="I1554">
        <v>0</v>
      </c>
      <c r="J1554">
        <v>1500</v>
      </c>
      <c r="K1554">
        <v>1500</v>
      </c>
      <c r="N1554">
        <v>0</v>
      </c>
      <c r="O1554">
        <v>4.33</v>
      </c>
      <c r="P1554">
        <v>25</v>
      </c>
      <c r="Q1554">
        <v>5.0999999999999996</v>
      </c>
      <c r="R1554">
        <v>3.95</v>
      </c>
      <c r="S1554">
        <v>6</v>
      </c>
      <c r="T1554">
        <v>98.905472222222215</v>
      </c>
      <c r="W1554" t="s">
        <v>497</v>
      </c>
    </row>
    <row r="1555" spans="1:23" x14ac:dyDescent="0.25">
      <c r="A1555" t="s">
        <v>2005</v>
      </c>
      <c r="B1555" t="str">
        <f t="shared" si="24"/>
        <v>CM1300000377</v>
      </c>
      <c r="C1555" t="s">
        <v>225</v>
      </c>
      <c r="D1555" t="s">
        <v>77</v>
      </c>
      <c r="E1555" t="s">
        <v>287</v>
      </c>
      <c r="F1555">
        <v>5000</v>
      </c>
      <c r="G1555" s="13">
        <v>42970</v>
      </c>
      <c r="H1555" s="13">
        <v>43336</v>
      </c>
      <c r="I1555">
        <v>4870</v>
      </c>
      <c r="J1555">
        <v>130</v>
      </c>
      <c r="K1555">
        <v>5000</v>
      </c>
      <c r="N1555">
        <v>0</v>
      </c>
      <c r="O1555">
        <v>3.74</v>
      </c>
      <c r="P1555">
        <v>129.84</v>
      </c>
      <c r="Q1555">
        <v>3.8</v>
      </c>
      <c r="R1555">
        <v>3.7</v>
      </c>
      <c r="S1555">
        <v>5.6</v>
      </c>
      <c r="T1555">
        <v>96.218444444444444</v>
      </c>
      <c r="W1555" t="s">
        <v>497</v>
      </c>
    </row>
    <row r="1556" spans="1:23" x14ac:dyDescent="0.25">
      <c r="A1556" t="s">
        <v>2006</v>
      </c>
      <c r="B1556" t="str">
        <f t="shared" si="24"/>
        <v>GA1200000485</v>
      </c>
      <c r="C1556" t="s">
        <v>227</v>
      </c>
      <c r="D1556" t="s">
        <v>77</v>
      </c>
      <c r="E1556" t="s">
        <v>82</v>
      </c>
      <c r="F1556">
        <v>7340</v>
      </c>
      <c r="G1556" s="13">
        <v>42963</v>
      </c>
      <c r="H1556" s="13">
        <v>43147</v>
      </c>
      <c r="I1556">
        <v>2000</v>
      </c>
      <c r="J1556">
        <v>5340</v>
      </c>
      <c r="K1556">
        <v>7340</v>
      </c>
      <c r="N1556">
        <v>0</v>
      </c>
      <c r="O1556">
        <v>5.38</v>
      </c>
      <c r="P1556">
        <v>73.400000000000006</v>
      </c>
      <c r="Q1556">
        <v>5.95</v>
      </c>
      <c r="R1556">
        <v>4.75</v>
      </c>
      <c r="S1556">
        <v>5.95</v>
      </c>
      <c r="T1556">
        <v>97.280111111111111</v>
      </c>
      <c r="W1556" t="s">
        <v>497</v>
      </c>
    </row>
    <row r="1557" spans="1:23" x14ac:dyDescent="0.25">
      <c r="A1557" t="s">
        <v>2007</v>
      </c>
      <c r="B1557" t="str">
        <f t="shared" si="24"/>
        <v>GA1100000403</v>
      </c>
      <c r="C1557" t="s">
        <v>227</v>
      </c>
      <c r="D1557" t="s">
        <v>77</v>
      </c>
      <c r="E1557" t="s">
        <v>78</v>
      </c>
      <c r="F1557">
        <v>10000</v>
      </c>
      <c r="G1557" s="13">
        <v>42970</v>
      </c>
      <c r="H1557" s="13">
        <v>43063</v>
      </c>
      <c r="I1557">
        <v>2367</v>
      </c>
      <c r="J1557">
        <v>7633</v>
      </c>
      <c r="K1557">
        <v>10000</v>
      </c>
      <c r="N1557">
        <v>0</v>
      </c>
      <c r="O1557">
        <v>5.12</v>
      </c>
      <c r="P1557">
        <v>156.75</v>
      </c>
      <c r="Q1557">
        <v>5.5</v>
      </c>
      <c r="R1557">
        <v>4.75</v>
      </c>
      <c r="S1557">
        <v>7</v>
      </c>
      <c r="T1557">
        <v>98.705777777777783</v>
      </c>
      <c r="W1557" t="s">
        <v>497</v>
      </c>
    </row>
    <row r="1558" spans="1:23" x14ac:dyDescent="0.25">
      <c r="A1558" t="s">
        <v>2008</v>
      </c>
      <c r="B1558" t="str">
        <f t="shared" si="24"/>
        <v>TD1300000247</v>
      </c>
      <c r="C1558" t="s">
        <v>237</v>
      </c>
      <c r="D1558" t="s">
        <v>77</v>
      </c>
      <c r="E1558" t="s">
        <v>287</v>
      </c>
      <c r="F1558">
        <v>15000</v>
      </c>
      <c r="G1558" s="13">
        <v>42970</v>
      </c>
      <c r="H1558" s="13">
        <v>43336</v>
      </c>
      <c r="I1558">
        <v>15000</v>
      </c>
      <c r="J1558">
        <v>0</v>
      </c>
      <c r="K1558">
        <v>15000</v>
      </c>
      <c r="N1558">
        <v>0</v>
      </c>
      <c r="O1558">
        <v>5.73</v>
      </c>
      <c r="P1558">
        <v>96.77</v>
      </c>
      <c r="Q1558">
        <v>6</v>
      </c>
      <c r="R1558">
        <v>5</v>
      </c>
      <c r="S1558">
        <v>6</v>
      </c>
      <c r="T1558">
        <v>94.206333333333333</v>
      </c>
      <c r="W1558" t="s">
        <v>497</v>
      </c>
    </row>
    <row r="1559" spans="1:23" x14ac:dyDescent="0.25">
      <c r="A1559" t="s">
        <v>2009</v>
      </c>
      <c r="B1559" t="str">
        <f t="shared" si="24"/>
        <v>GA1200000493</v>
      </c>
      <c r="C1559" t="s">
        <v>227</v>
      </c>
      <c r="D1559" t="s">
        <v>77</v>
      </c>
      <c r="E1559" t="s">
        <v>82</v>
      </c>
      <c r="F1559">
        <v>8500</v>
      </c>
      <c r="G1559" s="13">
        <v>42977</v>
      </c>
      <c r="H1559" s="13">
        <v>43161</v>
      </c>
      <c r="I1559">
        <v>0</v>
      </c>
      <c r="J1559">
        <v>8500</v>
      </c>
      <c r="K1559">
        <v>8500</v>
      </c>
      <c r="N1559">
        <v>0</v>
      </c>
      <c r="O1559">
        <v>5.5</v>
      </c>
      <c r="P1559">
        <v>138.47</v>
      </c>
      <c r="Q1559">
        <v>5.5</v>
      </c>
      <c r="R1559">
        <v>5.5</v>
      </c>
      <c r="S1559">
        <v>5.95</v>
      </c>
      <c r="T1559">
        <v>97.219444444444449</v>
      </c>
      <c r="W1559" t="s">
        <v>497</v>
      </c>
    </row>
    <row r="1560" spans="1:23" x14ac:dyDescent="0.25">
      <c r="A1560" t="s">
        <v>2010</v>
      </c>
      <c r="B1560" t="str">
        <f t="shared" si="24"/>
        <v>TD1300000254</v>
      </c>
      <c r="C1560" t="s">
        <v>237</v>
      </c>
      <c r="D1560" t="s">
        <v>77</v>
      </c>
      <c r="E1560" t="s">
        <v>287</v>
      </c>
      <c r="F1560">
        <v>26500</v>
      </c>
      <c r="G1560" s="13">
        <v>42977</v>
      </c>
      <c r="H1560" s="13">
        <v>43343</v>
      </c>
      <c r="I1560">
        <v>0</v>
      </c>
      <c r="J1560">
        <v>26500</v>
      </c>
      <c r="K1560">
        <v>26500</v>
      </c>
      <c r="N1560">
        <v>0</v>
      </c>
      <c r="O1560">
        <v>6.28</v>
      </c>
      <c r="P1560">
        <v>92.97999999999999</v>
      </c>
      <c r="Q1560">
        <v>6.5</v>
      </c>
      <c r="R1560">
        <v>6</v>
      </c>
      <c r="S1560">
        <v>6.5</v>
      </c>
      <c r="T1560">
        <v>93.650222222222226</v>
      </c>
      <c r="W1560" t="s">
        <v>497</v>
      </c>
    </row>
    <row r="1561" spans="1:23" x14ac:dyDescent="0.25">
      <c r="A1561" t="s">
        <v>2011</v>
      </c>
      <c r="B1561" t="str">
        <f t="shared" si="24"/>
        <v>TD1200000131</v>
      </c>
      <c r="C1561" t="s">
        <v>237</v>
      </c>
      <c r="D1561" t="s">
        <v>77</v>
      </c>
      <c r="E1561" t="s">
        <v>82</v>
      </c>
      <c r="F1561">
        <v>1200</v>
      </c>
      <c r="G1561" s="13">
        <v>42977</v>
      </c>
      <c r="H1561" s="13">
        <v>43161</v>
      </c>
      <c r="I1561">
        <v>1200</v>
      </c>
      <c r="J1561">
        <v>0</v>
      </c>
      <c r="K1561">
        <v>1200</v>
      </c>
      <c r="N1561">
        <v>0</v>
      </c>
      <c r="O1561">
        <v>4.38</v>
      </c>
      <c r="P1561">
        <v>70</v>
      </c>
      <c r="Q1561">
        <v>5.25</v>
      </c>
      <c r="R1561">
        <v>3.5</v>
      </c>
      <c r="S1561">
        <v>6.7</v>
      </c>
      <c r="T1561">
        <v>97.785666666666671</v>
      </c>
      <c r="W1561" t="s">
        <v>497</v>
      </c>
    </row>
    <row r="1562" spans="1:23" x14ac:dyDescent="0.25">
      <c r="A1562" t="s">
        <v>2012</v>
      </c>
      <c r="B1562" t="str">
        <f t="shared" si="24"/>
        <v>CM1100000502</v>
      </c>
      <c r="C1562" t="s">
        <v>225</v>
      </c>
      <c r="D1562" t="s">
        <v>77</v>
      </c>
      <c r="E1562" t="s">
        <v>78</v>
      </c>
      <c r="F1562">
        <v>5000</v>
      </c>
      <c r="G1562" s="13">
        <v>42984</v>
      </c>
      <c r="H1562" s="13">
        <v>43077</v>
      </c>
      <c r="I1562">
        <v>4500</v>
      </c>
      <c r="J1562">
        <v>500</v>
      </c>
      <c r="K1562">
        <v>5000</v>
      </c>
      <c r="N1562">
        <v>0</v>
      </c>
      <c r="O1562">
        <v>3.21</v>
      </c>
      <c r="P1562">
        <v>385</v>
      </c>
      <c r="Q1562">
        <v>3.3</v>
      </c>
      <c r="R1562">
        <v>3.1</v>
      </c>
      <c r="S1562">
        <v>4.5</v>
      </c>
      <c r="T1562">
        <v>99.188583333333327</v>
      </c>
      <c r="W1562" t="s">
        <v>497</v>
      </c>
    </row>
    <row r="1563" spans="1:23" x14ac:dyDescent="0.25">
      <c r="A1563" t="s">
        <v>2013</v>
      </c>
      <c r="B1563" t="str">
        <f t="shared" ref="B1563:B1626" si="25">MID(A1563,1,12)</f>
        <v>TD1300000262</v>
      </c>
      <c r="C1563" t="s">
        <v>237</v>
      </c>
      <c r="D1563" t="s">
        <v>77</v>
      </c>
      <c r="E1563" t="s">
        <v>287</v>
      </c>
      <c r="F1563">
        <v>15000</v>
      </c>
      <c r="G1563" s="13">
        <v>42984</v>
      </c>
      <c r="H1563" s="13">
        <v>43350</v>
      </c>
      <c r="I1563">
        <v>0</v>
      </c>
      <c r="J1563">
        <v>15000</v>
      </c>
      <c r="K1563">
        <v>15000</v>
      </c>
      <c r="N1563">
        <v>0</v>
      </c>
      <c r="O1563">
        <v>6.5</v>
      </c>
      <c r="P1563">
        <v>100</v>
      </c>
      <c r="Q1563">
        <v>6.5</v>
      </c>
      <c r="R1563">
        <v>6.5</v>
      </c>
      <c r="S1563">
        <v>6.5</v>
      </c>
      <c r="T1563">
        <v>93.427777777777777</v>
      </c>
      <c r="W1563" t="s">
        <v>497</v>
      </c>
    </row>
    <row r="1564" spans="1:23" x14ac:dyDescent="0.25">
      <c r="A1564" t="s">
        <v>2014</v>
      </c>
      <c r="B1564" t="str">
        <f t="shared" si="25"/>
        <v>GA1100000411</v>
      </c>
      <c r="C1564" t="s">
        <v>227</v>
      </c>
      <c r="D1564" t="s">
        <v>77</v>
      </c>
      <c r="E1564" t="s">
        <v>78</v>
      </c>
      <c r="F1564">
        <v>9000</v>
      </c>
      <c r="G1564" s="13">
        <v>42984</v>
      </c>
      <c r="H1564" s="13">
        <v>43077</v>
      </c>
      <c r="I1564">
        <v>4905</v>
      </c>
      <c r="J1564">
        <v>4095</v>
      </c>
      <c r="K1564">
        <v>9000</v>
      </c>
      <c r="N1564">
        <v>0</v>
      </c>
      <c r="O1564">
        <v>5.24</v>
      </c>
      <c r="P1564">
        <v>187.5</v>
      </c>
      <c r="Q1564">
        <v>5.5</v>
      </c>
      <c r="R1564">
        <v>4.8</v>
      </c>
      <c r="S1564">
        <v>7.05</v>
      </c>
      <c r="T1564">
        <v>98.675444444444437</v>
      </c>
      <c r="W1564" t="s">
        <v>497</v>
      </c>
    </row>
    <row r="1565" spans="1:23" x14ac:dyDescent="0.25">
      <c r="A1565" t="s">
        <v>2015</v>
      </c>
      <c r="B1565" t="str">
        <f t="shared" si="25"/>
        <v>GA1200000501</v>
      </c>
      <c r="C1565" t="s">
        <v>227</v>
      </c>
      <c r="D1565" t="s">
        <v>77</v>
      </c>
      <c r="E1565" t="s">
        <v>82</v>
      </c>
      <c r="F1565">
        <v>10000</v>
      </c>
      <c r="G1565" s="13">
        <v>42991</v>
      </c>
      <c r="H1565" s="13">
        <v>43175</v>
      </c>
      <c r="I1565">
        <v>4814</v>
      </c>
      <c r="J1565">
        <v>5186</v>
      </c>
      <c r="K1565">
        <v>10000</v>
      </c>
      <c r="N1565">
        <v>0</v>
      </c>
      <c r="O1565">
        <v>5.2</v>
      </c>
      <c r="P1565">
        <v>170</v>
      </c>
      <c r="Q1565">
        <v>5.5</v>
      </c>
      <c r="R1565">
        <v>4.9000000000000004</v>
      </c>
      <c r="S1565">
        <v>5.6</v>
      </c>
      <c r="T1565">
        <v>97.371111111111105</v>
      </c>
      <c r="W1565" t="s">
        <v>497</v>
      </c>
    </row>
    <row r="1566" spans="1:23" x14ac:dyDescent="0.25">
      <c r="A1566" t="s">
        <v>2016</v>
      </c>
      <c r="B1566" t="str">
        <f t="shared" si="25"/>
        <v>CM1300000385</v>
      </c>
      <c r="C1566" t="s">
        <v>225</v>
      </c>
      <c r="D1566" t="s">
        <v>77</v>
      </c>
      <c r="E1566" t="s">
        <v>287</v>
      </c>
      <c r="F1566">
        <v>3500</v>
      </c>
      <c r="G1566" s="13">
        <v>42991</v>
      </c>
      <c r="H1566" s="13">
        <v>43357</v>
      </c>
      <c r="I1566">
        <v>3500</v>
      </c>
      <c r="J1566">
        <v>0</v>
      </c>
      <c r="K1566">
        <v>3500</v>
      </c>
      <c r="N1566">
        <v>0</v>
      </c>
      <c r="O1566">
        <v>3.76</v>
      </c>
      <c r="P1566">
        <v>110.00000000000001</v>
      </c>
      <c r="Q1566">
        <v>3.85</v>
      </c>
      <c r="R1566">
        <v>3.7</v>
      </c>
      <c r="S1566">
        <v>4.5</v>
      </c>
      <c r="T1566">
        <v>96.198222222222228</v>
      </c>
      <c r="W1566" t="s">
        <v>497</v>
      </c>
    </row>
    <row r="1567" spans="1:23" x14ac:dyDescent="0.25">
      <c r="A1567" t="s">
        <v>2017</v>
      </c>
      <c r="B1567" t="str">
        <f t="shared" si="25"/>
        <v>CM1200000501</v>
      </c>
      <c r="C1567" t="s">
        <v>225</v>
      </c>
      <c r="D1567" t="s">
        <v>77</v>
      </c>
      <c r="E1567" t="s">
        <v>82</v>
      </c>
      <c r="F1567">
        <v>5000</v>
      </c>
      <c r="G1567" s="13">
        <v>42998</v>
      </c>
      <c r="H1567" s="13">
        <v>43182</v>
      </c>
      <c r="I1567">
        <v>5000</v>
      </c>
      <c r="J1567">
        <v>0</v>
      </c>
      <c r="K1567">
        <v>5000</v>
      </c>
      <c r="N1567">
        <v>0</v>
      </c>
      <c r="O1567">
        <v>3.35</v>
      </c>
      <c r="P1567">
        <v>231.5</v>
      </c>
      <c r="Q1567">
        <v>3.4</v>
      </c>
      <c r="R1567">
        <v>3.3</v>
      </c>
      <c r="S1567">
        <v>6</v>
      </c>
      <c r="T1567">
        <v>98.30638888888889</v>
      </c>
      <c r="W1567" t="s">
        <v>497</v>
      </c>
    </row>
    <row r="1568" spans="1:23" x14ac:dyDescent="0.25">
      <c r="A1568" t="s">
        <v>2018</v>
      </c>
      <c r="B1568" t="str">
        <f t="shared" si="25"/>
        <v>GQ1300000437</v>
      </c>
      <c r="C1568" t="s">
        <v>528</v>
      </c>
      <c r="D1568" t="s">
        <v>77</v>
      </c>
      <c r="E1568" t="s">
        <v>287</v>
      </c>
      <c r="F1568">
        <v>15000</v>
      </c>
      <c r="G1568" s="13">
        <v>42998</v>
      </c>
      <c r="H1568" s="13">
        <v>43364</v>
      </c>
      <c r="I1568">
        <v>15000</v>
      </c>
      <c r="J1568">
        <v>0</v>
      </c>
      <c r="K1568">
        <v>15000</v>
      </c>
      <c r="N1568">
        <v>0</v>
      </c>
      <c r="O1568">
        <v>6.61</v>
      </c>
      <c r="P1568">
        <v>130</v>
      </c>
      <c r="Q1568">
        <v>8.5</v>
      </c>
      <c r="R1568">
        <v>1.8</v>
      </c>
      <c r="S1568">
        <v>8.5</v>
      </c>
      <c r="T1568">
        <v>93.316555555555553</v>
      </c>
      <c r="W1568" t="s">
        <v>497</v>
      </c>
    </row>
    <row r="1569" spans="1:23" x14ac:dyDescent="0.25">
      <c r="A1569" t="s">
        <v>2019</v>
      </c>
      <c r="B1569" t="str">
        <f t="shared" si="25"/>
        <v>GA1200000519</v>
      </c>
      <c r="C1569" t="s">
        <v>227</v>
      </c>
      <c r="D1569" t="s">
        <v>77</v>
      </c>
      <c r="E1569" t="s">
        <v>82</v>
      </c>
      <c r="F1569">
        <v>10000</v>
      </c>
      <c r="G1569" s="13">
        <v>42998</v>
      </c>
      <c r="H1569" s="13">
        <v>43182</v>
      </c>
      <c r="I1569">
        <v>2299</v>
      </c>
      <c r="J1569">
        <v>7701</v>
      </c>
      <c r="K1569">
        <v>10000</v>
      </c>
      <c r="N1569">
        <v>0</v>
      </c>
      <c r="O1569">
        <v>5.16</v>
      </c>
      <c r="P1569">
        <v>195.01</v>
      </c>
      <c r="Q1569">
        <v>5.35</v>
      </c>
      <c r="R1569">
        <v>4.75</v>
      </c>
      <c r="S1569">
        <v>5.9</v>
      </c>
      <c r="T1569">
        <v>97.391333333333336</v>
      </c>
      <c r="W1569" t="s">
        <v>497</v>
      </c>
    </row>
    <row r="1570" spans="1:23" x14ac:dyDescent="0.25">
      <c r="A1570" t="s">
        <v>2020</v>
      </c>
      <c r="B1570" t="str">
        <f t="shared" si="25"/>
        <v>CG1100000062</v>
      </c>
      <c r="C1570" t="s">
        <v>229</v>
      </c>
      <c r="D1570" t="s">
        <v>77</v>
      </c>
      <c r="E1570" t="s">
        <v>78</v>
      </c>
      <c r="F1570">
        <v>3000</v>
      </c>
      <c r="G1570" s="13">
        <v>42998</v>
      </c>
      <c r="H1570" s="13">
        <v>43091</v>
      </c>
      <c r="I1570">
        <v>500</v>
      </c>
      <c r="J1570">
        <v>2500</v>
      </c>
      <c r="K1570">
        <v>3000</v>
      </c>
      <c r="N1570">
        <v>0</v>
      </c>
      <c r="O1570">
        <v>5.04</v>
      </c>
      <c r="P1570">
        <v>50</v>
      </c>
      <c r="Q1570">
        <v>6</v>
      </c>
      <c r="R1570">
        <v>1</v>
      </c>
      <c r="S1570">
        <v>6</v>
      </c>
      <c r="T1570">
        <v>98.725999999999999</v>
      </c>
      <c r="W1570" t="s">
        <v>497</v>
      </c>
    </row>
    <row r="1571" spans="1:23" x14ac:dyDescent="0.25">
      <c r="A1571" t="s">
        <v>2021</v>
      </c>
      <c r="B1571" t="str">
        <f t="shared" si="25"/>
        <v>GA1200000527</v>
      </c>
      <c r="C1571" t="s">
        <v>227</v>
      </c>
      <c r="D1571" t="s">
        <v>77</v>
      </c>
      <c r="E1571" t="s">
        <v>82</v>
      </c>
      <c r="F1571">
        <v>5000</v>
      </c>
      <c r="G1571" s="13">
        <v>43005</v>
      </c>
      <c r="H1571" s="13">
        <v>43189</v>
      </c>
      <c r="I1571">
        <v>2242</v>
      </c>
      <c r="J1571">
        <v>2758</v>
      </c>
      <c r="K1571">
        <v>5000</v>
      </c>
      <c r="N1571">
        <v>0</v>
      </c>
      <c r="O1571">
        <v>4.95</v>
      </c>
      <c r="P1571">
        <v>258.8</v>
      </c>
      <c r="Q1571">
        <v>5</v>
      </c>
      <c r="R1571">
        <v>4.95</v>
      </c>
      <c r="S1571">
        <v>5.5</v>
      </c>
      <c r="T1571">
        <v>97.497500000000002</v>
      </c>
      <c r="W1571" t="s">
        <v>497</v>
      </c>
    </row>
    <row r="1572" spans="1:23" x14ac:dyDescent="0.25">
      <c r="A1572" t="s">
        <v>2022</v>
      </c>
      <c r="B1572" t="str">
        <f t="shared" si="25"/>
        <v>GA1200000535</v>
      </c>
      <c r="C1572" t="s">
        <v>227</v>
      </c>
      <c r="D1572" t="s">
        <v>77</v>
      </c>
      <c r="E1572" t="s">
        <v>82</v>
      </c>
      <c r="F1572">
        <v>10000</v>
      </c>
      <c r="G1572" s="13">
        <v>43012</v>
      </c>
      <c r="H1572" s="13">
        <v>43196</v>
      </c>
      <c r="I1572">
        <v>2000</v>
      </c>
      <c r="J1572">
        <v>8000</v>
      </c>
      <c r="K1572">
        <v>10000</v>
      </c>
      <c r="N1572">
        <v>0</v>
      </c>
      <c r="O1572">
        <v>4.96</v>
      </c>
      <c r="P1572">
        <v>218.00000000000003</v>
      </c>
      <c r="Q1572">
        <v>5</v>
      </c>
      <c r="R1572">
        <v>4.8</v>
      </c>
      <c r="S1572">
        <v>5.5</v>
      </c>
      <c r="T1572">
        <v>97.492444444444445</v>
      </c>
      <c r="W1572" t="s">
        <v>497</v>
      </c>
    </row>
    <row r="1573" spans="1:23" x14ac:dyDescent="0.25">
      <c r="A1573" t="s">
        <v>2023</v>
      </c>
      <c r="B1573" t="str">
        <f t="shared" si="25"/>
        <v>CG1100000071</v>
      </c>
      <c r="C1573" t="s">
        <v>229</v>
      </c>
      <c r="D1573" t="s">
        <v>77</v>
      </c>
      <c r="E1573" t="s">
        <v>78</v>
      </c>
      <c r="F1573">
        <v>5000</v>
      </c>
      <c r="G1573" s="13">
        <v>43012</v>
      </c>
      <c r="H1573" s="13">
        <v>43105</v>
      </c>
      <c r="I1573">
        <v>5000</v>
      </c>
      <c r="J1573">
        <v>0</v>
      </c>
      <c r="K1573">
        <v>5000</v>
      </c>
      <c r="N1573">
        <v>0</v>
      </c>
      <c r="O1573">
        <v>5.5</v>
      </c>
      <c r="P1573">
        <v>62.5</v>
      </c>
      <c r="Q1573">
        <v>5.5</v>
      </c>
      <c r="R1573">
        <v>5.5</v>
      </c>
      <c r="S1573">
        <v>5.5</v>
      </c>
      <c r="T1573">
        <v>98.609722222222217</v>
      </c>
      <c r="W1573" t="s">
        <v>497</v>
      </c>
    </row>
    <row r="1574" spans="1:23" x14ac:dyDescent="0.25">
      <c r="A1574" t="s">
        <v>2024</v>
      </c>
      <c r="B1574" t="str">
        <f t="shared" si="25"/>
        <v>GA1100000429</v>
      </c>
      <c r="C1574" t="s">
        <v>227</v>
      </c>
      <c r="D1574" t="s">
        <v>77</v>
      </c>
      <c r="E1574" t="s">
        <v>78</v>
      </c>
      <c r="F1574">
        <v>6500</v>
      </c>
      <c r="G1574" s="13">
        <v>43019</v>
      </c>
      <c r="H1574" s="13">
        <v>43112</v>
      </c>
      <c r="I1574">
        <v>3609</v>
      </c>
      <c r="J1574">
        <v>2891</v>
      </c>
      <c r="K1574">
        <v>6500</v>
      </c>
      <c r="N1574">
        <v>0</v>
      </c>
      <c r="O1574">
        <v>4.82</v>
      </c>
      <c r="P1574">
        <v>195</v>
      </c>
      <c r="Q1574">
        <v>5</v>
      </c>
      <c r="R1574">
        <v>7.05</v>
      </c>
      <c r="S1574">
        <v>4.55</v>
      </c>
      <c r="T1574">
        <v>98.781611111111104</v>
      </c>
      <c r="W1574" t="s">
        <v>497</v>
      </c>
    </row>
    <row r="1575" spans="1:23" x14ac:dyDescent="0.25">
      <c r="A1575" t="s">
        <v>2025</v>
      </c>
      <c r="B1575" t="str">
        <f t="shared" si="25"/>
        <v>CM1300000393</v>
      </c>
      <c r="C1575" t="s">
        <v>225</v>
      </c>
      <c r="D1575" t="s">
        <v>77</v>
      </c>
      <c r="E1575" t="s">
        <v>287</v>
      </c>
      <c r="F1575">
        <v>4500</v>
      </c>
      <c r="G1575" s="13">
        <v>43019</v>
      </c>
      <c r="H1575" s="13">
        <v>43385</v>
      </c>
      <c r="I1575">
        <v>1500</v>
      </c>
      <c r="J1575">
        <v>3000</v>
      </c>
      <c r="K1575">
        <v>4500</v>
      </c>
      <c r="N1575">
        <v>0</v>
      </c>
      <c r="O1575">
        <v>3.75</v>
      </c>
      <c r="P1575">
        <v>100</v>
      </c>
      <c r="Q1575">
        <v>3.8</v>
      </c>
      <c r="R1575">
        <v>4.25</v>
      </c>
      <c r="S1575">
        <v>3.6</v>
      </c>
      <c r="T1575">
        <v>96.208333333333329</v>
      </c>
      <c r="W1575" t="s">
        <v>497</v>
      </c>
    </row>
    <row r="1576" spans="1:23" x14ac:dyDescent="0.25">
      <c r="A1576" t="s">
        <v>2026</v>
      </c>
      <c r="B1576" t="str">
        <f t="shared" si="25"/>
        <v>TD1300000271</v>
      </c>
      <c r="C1576" t="s">
        <v>237</v>
      </c>
      <c r="D1576" t="s">
        <v>77</v>
      </c>
      <c r="E1576" t="s">
        <v>287</v>
      </c>
      <c r="F1576">
        <v>7500</v>
      </c>
      <c r="G1576" s="13">
        <v>43026</v>
      </c>
      <c r="H1576" s="13">
        <v>43392</v>
      </c>
      <c r="I1576">
        <v>7150</v>
      </c>
      <c r="J1576">
        <v>350</v>
      </c>
      <c r="K1576">
        <v>7500</v>
      </c>
      <c r="N1576">
        <v>0</v>
      </c>
      <c r="O1576">
        <v>5.97</v>
      </c>
      <c r="P1576">
        <v>104.67</v>
      </c>
      <c r="Q1576">
        <v>6</v>
      </c>
      <c r="R1576">
        <v>5.35</v>
      </c>
      <c r="S1576">
        <v>6</v>
      </c>
      <c r="T1576">
        <v>93.963666666666668</v>
      </c>
      <c r="W1576" t="s">
        <v>497</v>
      </c>
    </row>
    <row r="1577" spans="1:23" x14ac:dyDescent="0.25">
      <c r="A1577" t="s">
        <v>2027</v>
      </c>
      <c r="B1577" t="str">
        <f t="shared" si="25"/>
        <v>CG1100000088</v>
      </c>
      <c r="C1577" t="s">
        <v>229</v>
      </c>
      <c r="D1577" t="s">
        <v>77</v>
      </c>
      <c r="E1577" t="s">
        <v>78</v>
      </c>
      <c r="F1577">
        <v>1000</v>
      </c>
      <c r="G1577" s="13">
        <v>43026</v>
      </c>
      <c r="H1577" s="13">
        <v>43119</v>
      </c>
      <c r="J1577">
        <v>1000</v>
      </c>
      <c r="K1577">
        <v>1000</v>
      </c>
      <c r="N1577">
        <v>0</v>
      </c>
      <c r="O1577">
        <v>5.15</v>
      </c>
      <c r="P1577">
        <v>22</v>
      </c>
      <c r="Q1577">
        <v>5.15</v>
      </c>
      <c r="T1577">
        <v>98.698194444444439</v>
      </c>
      <c r="W1577" t="s">
        <v>497</v>
      </c>
    </row>
    <row r="1578" spans="1:23" x14ac:dyDescent="0.25">
      <c r="A1578" t="s">
        <v>2028</v>
      </c>
      <c r="B1578" t="str">
        <f t="shared" si="25"/>
        <v>GA1200000543</v>
      </c>
      <c r="C1578" t="s">
        <v>227</v>
      </c>
      <c r="D1578" t="s">
        <v>77</v>
      </c>
      <c r="E1578" t="s">
        <v>82</v>
      </c>
      <c r="F1578">
        <v>8000</v>
      </c>
      <c r="G1578" s="13">
        <v>43026</v>
      </c>
      <c r="H1578" s="13">
        <v>43210</v>
      </c>
      <c r="I1578">
        <v>0</v>
      </c>
      <c r="J1578">
        <v>8000</v>
      </c>
      <c r="K1578">
        <v>8000</v>
      </c>
      <c r="N1578">
        <v>0</v>
      </c>
      <c r="O1578">
        <v>4.8</v>
      </c>
      <c r="P1578">
        <v>119.31</v>
      </c>
      <c r="Q1578">
        <v>5</v>
      </c>
      <c r="R1578">
        <v>4.8</v>
      </c>
      <c r="S1578">
        <v>5.35</v>
      </c>
      <c r="T1578">
        <v>97.573333333333338</v>
      </c>
      <c r="W1578" t="s">
        <v>497</v>
      </c>
    </row>
    <row r="1579" spans="1:23" x14ac:dyDescent="0.25">
      <c r="A1579" t="s">
        <v>2029</v>
      </c>
      <c r="B1579" t="str">
        <f t="shared" si="25"/>
        <v>GA1200000551</v>
      </c>
      <c r="C1579" t="s">
        <v>227</v>
      </c>
      <c r="D1579" t="s">
        <v>77</v>
      </c>
      <c r="E1579" t="s">
        <v>82</v>
      </c>
      <c r="F1579">
        <v>7000</v>
      </c>
      <c r="G1579" s="13">
        <v>43033</v>
      </c>
      <c r="H1579" s="13">
        <v>43217</v>
      </c>
      <c r="I1579">
        <v>2045</v>
      </c>
      <c r="J1579">
        <v>4955</v>
      </c>
      <c r="K1579">
        <v>7000</v>
      </c>
      <c r="N1579">
        <v>0</v>
      </c>
      <c r="O1579">
        <v>5.21</v>
      </c>
      <c r="P1579">
        <v>134.57</v>
      </c>
      <c r="Q1579">
        <v>5.5</v>
      </c>
      <c r="R1579">
        <v>4.8</v>
      </c>
      <c r="S1579">
        <v>7.05</v>
      </c>
      <c r="T1579">
        <v>97.366055555555562</v>
      </c>
      <c r="W1579" t="s">
        <v>497</v>
      </c>
    </row>
    <row r="1580" spans="1:23" x14ac:dyDescent="0.25">
      <c r="A1580" t="s">
        <v>2030</v>
      </c>
      <c r="B1580" t="str">
        <f t="shared" si="25"/>
        <v>CM1200000519</v>
      </c>
      <c r="C1580" t="s">
        <v>225</v>
      </c>
      <c r="D1580" t="s">
        <v>77</v>
      </c>
      <c r="E1580" t="s">
        <v>82</v>
      </c>
      <c r="F1580">
        <v>5000</v>
      </c>
      <c r="G1580" s="13">
        <v>43033</v>
      </c>
      <c r="H1580" s="13">
        <v>43217</v>
      </c>
      <c r="I1580">
        <v>2370</v>
      </c>
      <c r="J1580">
        <v>2630</v>
      </c>
      <c r="K1580">
        <v>5000</v>
      </c>
      <c r="N1580">
        <v>0</v>
      </c>
      <c r="O1580">
        <v>3.38</v>
      </c>
      <c r="P1580">
        <v>184</v>
      </c>
      <c r="Q1580">
        <v>3.5</v>
      </c>
      <c r="R1580">
        <v>3.2</v>
      </c>
      <c r="S1580">
        <v>4</v>
      </c>
      <c r="T1580">
        <v>98.291222222222217</v>
      </c>
      <c r="W1580" t="s">
        <v>497</v>
      </c>
    </row>
    <row r="1581" spans="1:23" x14ac:dyDescent="0.25">
      <c r="A1581" t="s">
        <v>2031</v>
      </c>
      <c r="B1581" t="str">
        <f t="shared" si="25"/>
        <v>GQ1300000445</v>
      </c>
      <c r="C1581" t="s">
        <v>528</v>
      </c>
      <c r="D1581" t="s">
        <v>77</v>
      </c>
      <c r="E1581" t="s">
        <v>287</v>
      </c>
      <c r="F1581">
        <v>5500</v>
      </c>
      <c r="G1581" s="13">
        <v>43033</v>
      </c>
      <c r="H1581" s="13">
        <v>43399</v>
      </c>
      <c r="I1581">
        <v>5500</v>
      </c>
      <c r="J1581">
        <v>0</v>
      </c>
      <c r="K1581">
        <v>5500</v>
      </c>
      <c r="N1581">
        <v>0</v>
      </c>
      <c r="O1581">
        <v>8.73</v>
      </c>
      <c r="P1581">
        <v>36.67</v>
      </c>
      <c r="Q1581">
        <v>9</v>
      </c>
      <c r="R1581">
        <v>6</v>
      </c>
      <c r="S1581">
        <v>9</v>
      </c>
      <c r="T1581">
        <v>91.173000000000002</v>
      </c>
      <c r="W1581" t="s">
        <v>497</v>
      </c>
    </row>
    <row r="1582" spans="1:23" x14ac:dyDescent="0.25">
      <c r="A1582" t="s">
        <v>2032</v>
      </c>
      <c r="B1582" t="str">
        <f t="shared" si="25"/>
        <v>CF1200000261</v>
      </c>
      <c r="C1582" t="s">
        <v>634</v>
      </c>
      <c r="D1582" t="s">
        <v>77</v>
      </c>
      <c r="E1582" t="s">
        <v>82</v>
      </c>
      <c r="F1582">
        <v>5500</v>
      </c>
      <c r="G1582" s="13">
        <v>43040</v>
      </c>
      <c r="H1582" s="13">
        <v>43224</v>
      </c>
      <c r="I1582">
        <v>5500</v>
      </c>
      <c r="J1582">
        <v>0</v>
      </c>
      <c r="K1582">
        <v>5500</v>
      </c>
      <c r="N1582">
        <v>0</v>
      </c>
      <c r="O1582">
        <v>5.32</v>
      </c>
      <c r="P1582">
        <v>100</v>
      </c>
      <c r="Q1582">
        <v>5.5</v>
      </c>
      <c r="R1582">
        <v>5</v>
      </c>
      <c r="S1582">
        <v>5.5</v>
      </c>
      <c r="T1582">
        <v>97.310444444444443</v>
      </c>
      <c r="W1582" t="s">
        <v>497</v>
      </c>
    </row>
    <row r="1583" spans="1:23" x14ac:dyDescent="0.25">
      <c r="A1583" t="s">
        <v>2033</v>
      </c>
      <c r="B1583" t="str">
        <f t="shared" si="25"/>
        <v>GA1100000437</v>
      </c>
      <c r="C1583" t="s">
        <v>227</v>
      </c>
      <c r="D1583" t="s">
        <v>77</v>
      </c>
      <c r="E1583" t="s">
        <v>78</v>
      </c>
      <c r="F1583">
        <v>6500</v>
      </c>
      <c r="G1583" s="13">
        <v>43040</v>
      </c>
      <c r="H1583" s="13">
        <v>43133</v>
      </c>
      <c r="I1583">
        <v>1187</v>
      </c>
      <c r="J1583">
        <v>5313</v>
      </c>
      <c r="K1583">
        <v>6500</v>
      </c>
      <c r="N1583">
        <v>0</v>
      </c>
      <c r="O1583">
        <v>4.8899999999999997</v>
      </c>
      <c r="P1583">
        <v>151.78</v>
      </c>
      <c r="Q1583">
        <v>5</v>
      </c>
      <c r="R1583">
        <v>4.5</v>
      </c>
      <c r="S1583">
        <v>7.05</v>
      </c>
      <c r="T1583">
        <v>98.76391666666666</v>
      </c>
      <c r="W1583" t="s">
        <v>497</v>
      </c>
    </row>
    <row r="1584" spans="1:23" x14ac:dyDescent="0.25">
      <c r="A1584" t="s">
        <v>2034</v>
      </c>
      <c r="B1584" t="str">
        <f t="shared" si="25"/>
        <v>GA1200000568</v>
      </c>
      <c r="C1584" t="s">
        <v>227</v>
      </c>
      <c r="D1584" t="s">
        <v>77</v>
      </c>
      <c r="E1584" t="s">
        <v>82</v>
      </c>
      <c r="F1584">
        <v>6000</v>
      </c>
      <c r="G1584" s="13">
        <v>43047</v>
      </c>
      <c r="H1584" s="13">
        <v>43231</v>
      </c>
      <c r="I1584">
        <v>0</v>
      </c>
      <c r="J1584">
        <v>6000</v>
      </c>
      <c r="K1584">
        <v>6000</v>
      </c>
      <c r="N1584">
        <v>0</v>
      </c>
      <c r="O1584">
        <v>5.25</v>
      </c>
      <c r="P1584">
        <v>101.25</v>
      </c>
      <c r="Q1584">
        <v>5.25</v>
      </c>
      <c r="R1584">
        <v>5.25</v>
      </c>
      <c r="S1584">
        <v>6.95</v>
      </c>
      <c r="T1584">
        <v>97.345833333333331</v>
      </c>
      <c r="W1584" t="s">
        <v>497</v>
      </c>
    </row>
    <row r="1585" spans="1:23" x14ac:dyDescent="0.25">
      <c r="A1585" t="s">
        <v>2035</v>
      </c>
      <c r="B1585" t="str">
        <f t="shared" si="25"/>
        <v>CM1100000511</v>
      </c>
      <c r="C1585" t="s">
        <v>225</v>
      </c>
      <c r="D1585" t="s">
        <v>77</v>
      </c>
      <c r="E1585" t="s">
        <v>78</v>
      </c>
      <c r="F1585">
        <v>5000</v>
      </c>
      <c r="G1585" s="13">
        <v>43047</v>
      </c>
      <c r="H1585" s="13">
        <v>43140</v>
      </c>
      <c r="I1585">
        <v>5000</v>
      </c>
      <c r="J1585">
        <v>0</v>
      </c>
      <c r="K1585">
        <v>5000</v>
      </c>
      <c r="N1585">
        <v>0</v>
      </c>
      <c r="O1585">
        <v>3.11</v>
      </c>
      <c r="P1585">
        <v>171.5</v>
      </c>
      <c r="Q1585">
        <v>3.25</v>
      </c>
      <c r="R1585">
        <v>3</v>
      </c>
      <c r="S1585">
        <v>5.85</v>
      </c>
      <c r="T1585">
        <v>99.213861111111115</v>
      </c>
      <c r="W1585" t="s">
        <v>497</v>
      </c>
    </row>
    <row r="1586" spans="1:23" x14ac:dyDescent="0.25">
      <c r="A1586" t="s">
        <v>2036</v>
      </c>
      <c r="B1586" t="str">
        <f t="shared" si="25"/>
        <v>GQ1300000452</v>
      </c>
      <c r="C1586" t="s">
        <v>528</v>
      </c>
      <c r="D1586" t="s">
        <v>77</v>
      </c>
      <c r="E1586" t="s">
        <v>287</v>
      </c>
      <c r="F1586">
        <v>1500</v>
      </c>
      <c r="G1586" s="13">
        <v>43047</v>
      </c>
      <c r="H1586" s="13">
        <v>43413</v>
      </c>
      <c r="I1586">
        <v>0</v>
      </c>
      <c r="J1586">
        <v>1500</v>
      </c>
      <c r="K1586">
        <v>1500</v>
      </c>
      <c r="N1586">
        <v>0</v>
      </c>
      <c r="O1586">
        <v>5.5</v>
      </c>
      <c r="P1586">
        <v>10</v>
      </c>
      <c r="Q1586">
        <v>5.5</v>
      </c>
      <c r="R1586">
        <v>5.5</v>
      </c>
      <c r="S1586">
        <v>5.5</v>
      </c>
      <c r="T1586">
        <v>94.438888888888883</v>
      </c>
      <c r="W1586" t="s">
        <v>497</v>
      </c>
    </row>
    <row r="1587" spans="1:23" x14ac:dyDescent="0.25">
      <c r="A1587" t="s">
        <v>2037</v>
      </c>
      <c r="B1587" t="str">
        <f t="shared" si="25"/>
        <v>CG1100000096</v>
      </c>
      <c r="C1587" t="s">
        <v>229</v>
      </c>
      <c r="D1587" t="s">
        <v>77</v>
      </c>
      <c r="E1587" t="s">
        <v>78</v>
      </c>
      <c r="F1587">
        <v>2000</v>
      </c>
      <c r="G1587" s="13">
        <v>43047</v>
      </c>
      <c r="H1587" s="13">
        <v>43140</v>
      </c>
      <c r="I1587">
        <v>0</v>
      </c>
      <c r="J1587">
        <v>2000</v>
      </c>
      <c r="K1587">
        <v>2000</v>
      </c>
      <c r="N1587">
        <v>0</v>
      </c>
      <c r="O1587">
        <v>5.5750000000000002</v>
      </c>
      <c r="P1587">
        <v>54.379999999999995</v>
      </c>
      <c r="Q1587">
        <v>6</v>
      </c>
      <c r="R1587">
        <v>5.15</v>
      </c>
      <c r="S1587">
        <v>6</v>
      </c>
      <c r="T1587">
        <v>98.590763888888887</v>
      </c>
      <c r="W1587" t="s">
        <v>497</v>
      </c>
    </row>
    <row r="1588" spans="1:23" x14ac:dyDescent="0.25">
      <c r="A1588" t="s">
        <v>2038</v>
      </c>
      <c r="B1588" t="str">
        <f t="shared" si="25"/>
        <v>CM1100000528</v>
      </c>
      <c r="C1588" t="s">
        <v>225</v>
      </c>
      <c r="D1588" t="s">
        <v>77</v>
      </c>
      <c r="E1588" t="s">
        <v>78</v>
      </c>
      <c r="F1588">
        <v>10000</v>
      </c>
      <c r="G1588" s="13">
        <v>43054</v>
      </c>
      <c r="H1588" s="13">
        <v>43147</v>
      </c>
      <c r="I1588">
        <v>7500</v>
      </c>
      <c r="J1588">
        <v>2500</v>
      </c>
      <c r="K1588">
        <v>10000</v>
      </c>
      <c r="N1588">
        <v>0</v>
      </c>
      <c r="O1588">
        <v>3.2</v>
      </c>
      <c r="P1588">
        <v>145</v>
      </c>
      <c r="Q1588">
        <v>3.3</v>
      </c>
      <c r="R1588">
        <v>3.1</v>
      </c>
      <c r="S1588">
        <v>4</v>
      </c>
      <c r="T1588">
        <v>99.191111111111113</v>
      </c>
      <c r="W1588" t="s">
        <v>497</v>
      </c>
    </row>
    <row r="1589" spans="1:23" x14ac:dyDescent="0.25">
      <c r="A1589" t="s">
        <v>2039</v>
      </c>
      <c r="B1589" t="str">
        <f t="shared" si="25"/>
        <v>GA1200000576</v>
      </c>
      <c r="C1589" t="s">
        <v>227</v>
      </c>
      <c r="D1589" t="s">
        <v>77</v>
      </c>
      <c r="E1589" t="s">
        <v>82</v>
      </c>
      <c r="F1589">
        <v>9500</v>
      </c>
      <c r="G1589" s="13">
        <v>43054</v>
      </c>
      <c r="H1589" s="13">
        <v>43238</v>
      </c>
      <c r="I1589">
        <v>4760</v>
      </c>
      <c r="J1589">
        <v>4740</v>
      </c>
      <c r="K1589">
        <v>9500</v>
      </c>
      <c r="N1589">
        <v>0</v>
      </c>
      <c r="O1589">
        <v>5.08</v>
      </c>
      <c r="P1589">
        <v>125.63</v>
      </c>
      <c r="Q1589">
        <v>5.5</v>
      </c>
      <c r="R1589">
        <v>4.8</v>
      </c>
      <c r="S1589">
        <v>6.95</v>
      </c>
      <c r="T1589">
        <v>97.431777777777782</v>
      </c>
      <c r="W1589" t="s">
        <v>497</v>
      </c>
    </row>
    <row r="1590" spans="1:23" x14ac:dyDescent="0.25">
      <c r="A1590" t="s">
        <v>2040</v>
      </c>
      <c r="B1590" t="str">
        <f t="shared" si="25"/>
        <v>GA1100000445</v>
      </c>
      <c r="C1590" t="s">
        <v>227</v>
      </c>
      <c r="D1590" t="s">
        <v>77</v>
      </c>
      <c r="E1590" t="s">
        <v>78</v>
      </c>
      <c r="F1590">
        <v>13500</v>
      </c>
      <c r="G1590" s="13">
        <v>43061</v>
      </c>
      <c r="H1590" s="13">
        <v>43154</v>
      </c>
      <c r="I1590">
        <v>6000</v>
      </c>
      <c r="J1590">
        <v>7500</v>
      </c>
      <c r="K1590">
        <v>13500</v>
      </c>
      <c r="N1590">
        <v>0</v>
      </c>
      <c r="O1590">
        <v>4.6900000000000004</v>
      </c>
      <c r="P1590">
        <v>162.56</v>
      </c>
      <c r="Q1590">
        <v>5.2</v>
      </c>
      <c r="R1590">
        <v>3.15</v>
      </c>
      <c r="S1590">
        <v>5.5</v>
      </c>
      <c r="T1590">
        <v>98.814472222222221</v>
      </c>
      <c r="W1590" t="s">
        <v>497</v>
      </c>
    </row>
    <row r="1591" spans="1:23" x14ac:dyDescent="0.25">
      <c r="A1591" t="s">
        <v>2041</v>
      </c>
      <c r="B1591" t="str">
        <f t="shared" si="25"/>
        <v>CM1100000536</v>
      </c>
      <c r="C1591" t="s">
        <v>225</v>
      </c>
      <c r="D1591" t="s">
        <v>77</v>
      </c>
      <c r="E1591" t="s">
        <v>78</v>
      </c>
      <c r="F1591">
        <v>10000</v>
      </c>
      <c r="G1591" s="13">
        <v>43061</v>
      </c>
      <c r="H1591" s="13">
        <v>43154</v>
      </c>
      <c r="I1591">
        <v>9500</v>
      </c>
      <c r="J1591">
        <v>500</v>
      </c>
      <c r="K1591">
        <v>10000</v>
      </c>
      <c r="N1591">
        <v>0</v>
      </c>
      <c r="O1591">
        <v>3.18</v>
      </c>
      <c r="P1591">
        <v>125.2</v>
      </c>
      <c r="Q1591">
        <v>3.2</v>
      </c>
      <c r="R1591">
        <v>3.15</v>
      </c>
      <c r="S1591">
        <v>4</v>
      </c>
      <c r="T1591">
        <v>99.19616666666667</v>
      </c>
      <c r="W1591" t="s">
        <v>497</v>
      </c>
    </row>
    <row r="1592" spans="1:23" x14ac:dyDescent="0.25">
      <c r="A1592" t="s">
        <v>2042</v>
      </c>
      <c r="B1592" t="str">
        <f t="shared" si="25"/>
        <v>GQ1300000461</v>
      </c>
      <c r="C1592" t="s">
        <v>528</v>
      </c>
      <c r="D1592" t="s">
        <v>77</v>
      </c>
      <c r="E1592" t="s">
        <v>287</v>
      </c>
      <c r="F1592">
        <v>10000</v>
      </c>
      <c r="G1592" s="13">
        <v>43061</v>
      </c>
      <c r="H1592" s="13">
        <v>43427</v>
      </c>
      <c r="I1592">
        <v>10000</v>
      </c>
      <c r="J1592">
        <v>0</v>
      </c>
      <c r="K1592">
        <v>10000</v>
      </c>
      <c r="N1592">
        <v>0</v>
      </c>
      <c r="O1592">
        <v>9.44</v>
      </c>
      <c r="P1592">
        <v>66.67</v>
      </c>
      <c r="Q1592">
        <v>9.5</v>
      </c>
      <c r="R1592">
        <v>9.1999999999999993</v>
      </c>
      <c r="S1592">
        <v>9.5</v>
      </c>
      <c r="T1592">
        <v>90.455111111111108</v>
      </c>
      <c r="W1592" t="s">
        <v>497</v>
      </c>
    </row>
    <row r="1593" spans="1:23" x14ac:dyDescent="0.25">
      <c r="A1593" t="s">
        <v>2043</v>
      </c>
      <c r="B1593" t="str">
        <f t="shared" si="25"/>
        <v>TD1300000288</v>
      </c>
      <c r="C1593" t="s">
        <v>237</v>
      </c>
      <c r="D1593" t="s">
        <v>77</v>
      </c>
      <c r="E1593" t="s">
        <v>287</v>
      </c>
      <c r="F1593">
        <v>8000</v>
      </c>
      <c r="G1593" s="13">
        <v>43061</v>
      </c>
      <c r="H1593" s="13">
        <v>43427</v>
      </c>
      <c r="I1593">
        <v>8000</v>
      </c>
      <c r="J1593">
        <v>0</v>
      </c>
      <c r="K1593">
        <v>8000</v>
      </c>
      <c r="N1593">
        <v>0</v>
      </c>
      <c r="O1593">
        <v>6</v>
      </c>
      <c r="P1593">
        <v>100</v>
      </c>
      <c r="Q1593">
        <v>6</v>
      </c>
      <c r="R1593">
        <v>6</v>
      </c>
      <c r="S1593">
        <v>6</v>
      </c>
      <c r="T1593">
        <v>93.933333333333337</v>
      </c>
      <c r="W1593" t="s">
        <v>497</v>
      </c>
    </row>
    <row r="1594" spans="1:23" x14ac:dyDescent="0.25">
      <c r="A1594" t="s">
        <v>2044</v>
      </c>
      <c r="B1594" t="str">
        <f t="shared" si="25"/>
        <v>GA1200000584</v>
      </c>
      <c r="C1594" t="s">
        <v>227</v>
      </c>
      <c r="D1594" t="s">
        <v>77</v>
      </c>
      <c r="E1594" t="s">
        <v>82</v>
      </c>
      <c r="F1594">
        <v>5700</v>
      </c>
      <c r="G1594" s="13">
        <v>43068</v>
      </c>
      <c r="H1594" s="13">
        <v>43252</v>
      </c>
      <c r="I1594">
        <v>4200</v>
      </c>
      <c r="J1594">
        <v>1500</v>
      </c>
      <c r="K1594">
        <v>5700</v>
      </c>
      <c r="N1594">
        <v>0</v>
      </c>
      <c r="O1594">
        <v>5.1587699999999996</v>
      </c>
      <c r="P1594">
        <v>56.999999999999993</v>
      </c>
      <c r="Q1594">
        <v>5.5</v>
      </c>
      <c r="R1594">
        <v>5</v>
      </c>
      <c r="S1594">
        <v>5.5</v>
      </c>
      <c r="T1594">
        <v>97.391955166666662</v>
      </c>
      <c r="W1594" t="s">
        <v>497</v>
      </c>
    </row>
    <row r="1595" spans="1:23" x14ac:dyDescent="0.25">
      <c r="A1595" t="s">
        <v>2045</v>
      </c>
      <c r="B1595" t="str">
        <f t="shared" si="25"/>
        <v>CM1200000527</v>
      </c>
      <c r="C1595" t="s">
        <v>225</v>
      </c>
      <c r="D1595" t="s">
        <v>77</v>
      </c>
      <c r="E1595" t="s">
        <v>82</v>
      </c>
      <c r="F1595">
        <v>7000</v>
      </c>
      <c r="G1595" s="13">
        <v>43068</v>
      </c>
      <c r="H1595" s="13">
        <v>43252</v>
      </c>
      <c r="I1595">
        <v>6000</v>
      </c>
      <c r="J1595">
        <v>1000</v>
      </c>
      <c r="K1595">
        <v>7000</v>
      </c>
      <c r="N1595">
        <v>0</v>
      </c>
      <c r="O1595">
        <v>3.5428500000000001</v>
      </c>
      <c r="P1595">
        <v>135.714</v>
      </c>
      <c r="Q1595">
        <v>3.75</v>
      </c>
      <c r="R1595">
        <v>3.4</v>
      </c>
      <c r="S1595">
        <v>3.75</v>
      </c>
      <c r="T1595">
        <v>98.208892500000005</v>
      </c>
      <c r="W1595" t="s">
        <v>497</v>
      </c>
    </row>
    <row r="1596" spans="1:23" x14ac:dyDescent="0.25">
      <c r="A1596" t="s">
        <v>2046</v>
      </c>
      <c r="B1596" t="str">
        <f t="shared" si="25"/>
        <v>CM1200000535</v>
      </c>
      <c r="C1596" t="s">
        <v>225</v>
      </c>
      <c r="D1596" t="s">
        <v>77</v>
      </c>
      <c r="E1596" t="s">
        <v>82</v>
      </c>
      <c r="F1596">
        <v>7000</v>
      </c>
      <c r="G1596" s="13">
        <v>43075</v>
      </c>
      <c r="H1596" s="13">
        <v>43259</v>
      </c>
      <c r="I1596">
        <v>6056</v>
      </c>
      <c r="J1596">
        <v>944</v>
      </c>
      <c r="K1596">
        <v>7000</v>
      </c>
      <c r="N1596">
        <v>0</v>
      </c>
      <c r="O1596">
        <v>3.69</v>
      </c>
      <c r="P1596">
        <v>135.71</v>
      </c>
      <c r="Q1596">
        <v>3.75</v>
      </c>
      <c r="R1596">
        <v>3.6</v>
      </c>
      <c r="S1596">
        <v>4</v>
      </c>
      <c r="T1596">
        <v>98.134500000000003</v>
      </c>
      <c r="W1596" t="s">
        <v>497</v>
      </c>
    </row>
    <row r="1597" spans="1:23" x14ac:dyDescent="0.25">
      <c r="A1597" t="s">
        <v>2047</v>
      </c>
      <c r="B1597" t="str">
        <f t="shared" si="25"/>
        <v>GQ1300000478</v>
      </c>
      <c r="C1597" t="s">
        <v>528</v>
      </c>
      <c r="D1597" t="s">
        <v>77</v>
      </c>
      <c r="E1597" t="s">
        <v>287</v>
      </c>
      <c r="F1597">
        <v>1500</v>
      </c>
      <c r="G1597" s="13">
        <v>43075</v>
      </c>
      <c r="H1597" s="13">
        <v>43441</v>
      </c>
      <c r="I1597">
        <v>1500</v>
      </c>
      <c r="J1597">
        <v>0</v>
      </c>
      <c r="K1597">
        <v>1500</v>
      </c>
      <c r="N1597">
        <v>0</v>
      </c>
      <c r="O1597">
        <v>7</v>
      </c>
      <c r="P1597">
        <v>10</v>
      </c>
      <c r="Q1597">
        <v>7</v>
      </c>
      <c r="R1597">
        <v>7</v>
      </c>
      <c r="S1597">
        <v>7</v>
      </c>
      <c r="T1597">
        <v>92.922222222222217</v>
      </c>
      <c r="W1597" t="s">
        <v>497</v>
      </c>
    </row>
    <row r="1598" spans="1:23" x14ac:dyDescent="0.25">
      <c r="A1598" t="s">
        <v>2048</v>
      </c>
      <c r="B1598" t="str">
        <f t="shared" si="25"/>
        <v>GA1100000452</v>
      </c>
      <c r="C1598" t="s">
        <v>227</v>
      </c>
      <c r="D1598" t="s">
        <v>77</v>
      </c>
      <c r="E1598" t="s">
        <v>78</v>
      </c>
      <c r="F1598">
        <v>8080</v>
      </c>
      <c r="G1598" s="13">
        <v>43075</v>
      </c>
      <c r="H1598" s="13">
        <v>43168</v>
      </c>
      <c r="I1598">
        <v>500</v>
      </c>
      <c r="J1598">
        <v>7580</v>
      </c>
      <c r="K1598">
        <v>8080</v>
      </c>
      <c r="N1598">
        <v>0</v>
      </c>
      <c r="O1598">
        <v>5</v>
      </c>
      <c r="P1598">
        <v>80.800000000000011</v>
      </c>
      <c r="Q1598">
        <v>5.2</v>
      </c>
      <c r="R1598">
        <v>4.75</v>
      </c>
      <c r="S1598">
        <v>5.2</v>
      </c>
      <c r="T1598">
        <v>98.736111111111114</v>
      </c>
      <c r="W1598" t="s">
        <v>497</v>
      </c>
    </row>
    <row r="1599" spans="1:23" x14ac:dyDescent="0.25">
      <c r="A1599" t="s">
        <v>2049</v>
      </c>
      <c r="B1599" t="str">
        <f t="shared" si="25"/>
        <v>GA1200000592</v>
      </c>
      <c r="C1599" t="s">
        <v>227</v>
      </c>
      <c r="D1599" t="s">
        <v>77</v>
      </c>
      <c r="E1599" t="s">
        <v>82</v>
      </c>
      <c r="F1599">
        <v>10000</v>
      </c>
      <c r="G1599" s="13">
        <v>43082</v>
      </c>
      <c r="H1599" s="13">
        <v>43266</v>
      </c>
      <c r="I1599">
        <v>4600</v>
      </c>
      <c r="J1599">
        <v>5400</v>
      </c>
      <c r="K1599">
        <v>10000</v>
      </c>
      <c r="N1599">
        <v>0</v>
      </c>
      <c r="O1599">
        <v>5.24</v>
      </c>
      <c r="P1599">
        <v>130</v>
      </c>
      <c r="Q1599">
        <v>5.35</v>
      </c>
      <c r="R1599">
        <v>5</v>
      </c>
      <c r="S1599">
        <v>5.5</v>
      </c>
      <c r="T1599">
        <v>97.350888888888889</v>
      </c>
      <c r="W1599" t="s">
        <v>497</v>
      </c>
    </row>
    <row r="1600" spans="1:23" x14ac:dyDescent="0.25">
      <c r="A1600" t="s">
        <v>2050</v>
      </c>
      <c r="B1600" t="str">
        <f t="shared" si="25"/>
        <v>CM1200000543</v>
      </c>
      <c r="C1600" t="s">
        <v>225</v>
      </c>
      <c r="D1600" t="s">
        <v>77</v>
      </c>
      <c r="E1600" t="s">
        <v>82</v>
      </c>
      <c r="F1600">
        <v>4000</v>
      </c>
      <c r="G1600" s="13">
        <v>43082</v>
      </c>
      <c r="H1600" s="13">
        <v>43266</v>
      </c>
      <c r="I1600">
        <v>3500</v>
      </c>
      <c r="J1600">
        <v>500</v>
      </c>
      <c r="K1600">
        <v>4000</v>
      </c>
      <c r="N1600">
        <v>0</v>
      </c>
      <c r="O1600">
        <v>3.74</v>
      </c>
      <c r="P1600">
        <v>58.209999999999994</v>
      </c>
      <c r="Q1600">
        <v>4</v>
      </c>
      <c r="R1600">
        <v>3.45</v>
      </c>
      <c r="S1600">
        <v>5.9</v>
      </c>
      <c r="T1600">
        <v>98.109222222222229</v>
      </c>
      <c r="W1600" t="s">
        <v>497</v>
      </c>
    </row>
    <row r="1601" spans="1:23" x14ac:dyDescent="0.25">
      <c r="A1601" t="s">
        <v>2051</v>
      </c>
      <c r="B1601" t="str">
        <f t="shared" si="25"/>
        <v>CG1100000104</v>
      </c>
      <c r="C1601" t="s">
        <v>229</v>
      </c>
      <c r="D1601" t="s">
        <v>77</v>
      </c>
      <c r="E1601" t="s">
        <v>78</v>
      </c>
      <c r="F1601">
        <v>2000</v>
      </c>
      <c r="G1601" s="13">
        <v>43082</v>
      </c>
      <c r="H1601" s="13">
        <v>43175</v>
      </c>
      <c r="I1601">
        <v>300</v>
      </c>
      <c r="J1601">
        <v>1700</v>
      </c>
      <c r="K1601">
        <v>2000</v>
      </c>
      <c r="N1601">
        <v>0</v>
      </c>
      <c r="O1601">
        <v>5.55</v>
      </c>
      <c r="P1601">
        <v>27.500000000000004</v>
      </c>
      <c r="Q1601">
        <v>6.5</v>
      </c>
      <c r="R1601">
        <v>5</v>
      </c>
      <c r="S1601">
        <v>6.5</v>
      </c>
      <c r="T1601">
        <v>98.59708333333333</v>
      </c>
      <c r="W1601" t="s">
        <v>497</v>
      </c>
    </row>
    <row r="1602" spans="1:23" x14ac:dyDescent="0.25">
      <c r="A1602" t="s">
        <v>2052</v>
      </c>
      <c r="B1602" t="str">
        <f t="shared" si="25"/>
        <v>CM1200000551</v>
      </c>
      <c r="C1602" t="s">
        <v>225</v>
      </c>
      <c r="D1602" t="s">
        <v>77</v>
      </c>
      <c r="E1602" t="s">
        <v>82</v>
      </c>
      <c r="F1602">
        <v>0</v>
      </c>
      <c r="G1602" s="13">
        <v>43089</v>
      </c>
      <c r="H1602" s="13">
        <v>43273</v>
      </c>
      <c r="I1602">
        <v>0</v>
      </c>
      <c r="J1602">
        <v>0</v>
      </c>
      <c r="K1602">
        <v>0</v>
      </c>
      <c r="N1602">
        <v>0</v>
      </c>
      <c r="O1602" t="s">
        <v>285</v>
      </c>
      <c r="P1602">
        <v>29.571399999999997</v>
      </c>
      <c r="Q1602" t="s">
        <v>285</v>
      </c>
      <c r="R1602">
        <v>3.8</v>
      </c>
      <c r="S1602">
        <v>5.95</v>
      </c>
      <c r="T1602" t="e">
        <v>#VALUE!</v>
      </c>
      <c r="W1602" t="s">
        <v>497</v>
      </c>
    </row>
    <row r="1603" spans="1:23" x14ac:dyDescent="0.25">
      <c r="A1603" t="s">
        <v>2053</v>
      </c>
      <c r="B1603" t="str">
        <f t="shared" si="25"/>
        <v>TD1300000296</v>
      </c>
      <c r="C1603" t="s">
        <v>237</v>
      </c>
      <c r="D1603" t="s">
        <v>77</v>
      </c>
      <c r="E1603" t="s">
        <v>287</v>
      </c>
      <c r="F1603">
        <v>13500</v>
      </c>
      <c r="G1603" s="13">
        <v>43089</v>
      </c>
      <c r="H1603" s="13">
        <v>43455</v>
      </c>
      <c r="I1603">
        <v>11000</v>
      </c>
      <c r="J1603">
        <v>2500</v>
      </c>
      <c r="K1603">
        <v>13500</v>
      </c>
      <c r="N1603">
        <v>0</v>
      </c>
      <c r="O1603">
        <v>6.28</v>
      </c>
      <c r="P1603">
        <v>98.54</v>
      </c>
      <c r="Q1603">
        <v>6.5</v>
      </c>
      <c r="R1603">
        <v>6</v>
      </c>
      <c r="S1603">
        <v>6.5</v>
      </c>
      <c r="T1603">
        <v>93.650222222222226</v>
      </c>
      <c r="W1603" t="s">
        <v>497</v>
      </c>
    </row>
    <row r="1604" spans="1:23" x14ac:dyDescent="0.25">
      <c r="A1604" t="s">
        <v>2054</v>
      </c>
      <c r="B1604" t="str">
        <f t="shared" si="25"/>
        <v>GA1200000601</v>
      </c>
      <c r="C1604" t="s">
        <v>227</v>
      </c>
      <c r="D1604" t="s">
        <v>77</v>
      </c>
      <c r="E1604" t="s">
        <v>82</v>
      </c>
      <c r="F1604">
        <v>4400</v>
      </c>
      <c r="G1604" s="13">
        <v>43089</v>
      </c>
      <c r="H1604" s="13">
        <v>43273</v>
      </c>
      <c r="I1604">
        <v>2500</v>
      </c>
      <c r="J1604">
        <v>1900</v>
      </c>
      <c r="K1604">
        <v>4400</v>
      </c>
      <c r="N1604">
        <v>0</v>
      </c>
      <c r="O1604">
        <v>5.18</v>
      </c>
      <c r="P1604">
        <v>131.66999999999999</v>
      </c>
      <c r="Q1604">
        <v>5.35</v>
      </c>
      <c r="R1604">
        <v>5</v>
      </c>
      <c r="S1604">
        <v>6.5</v>
      </c>
      <c r="T1604">
        <v>97.38122222222222</v>
      </c>
      <c r="W1604" t="s">
        <v>497</v>
      </c>
    </row>
    <row r="1605" spans="1:23" x14ac:dyDescent="0.25">
      <c r="A1605" t="s">
        <v>2055</v>
      </c>
      <c r="B1605" t="str">
        <f t="shared" si="25"/>
        <v>GA1100000461</v>
      </c>
      <c r="C1605" t="s">
        <v>227</v>
      </c>
      <c r="D1605" t="s">
        <v>77</v>
      </c>
      <c r="E1605" t="s">
        <v>78</v>
      </c>
      <c r="F1605">
        <v>10000</v>
      </c>
      <c r="G1605" s="13">
        <v>43096</v>
      </c>
      <c r="H1605" s="13">
        <v>43189</v>
      </c>
      <c r="I1605">
        <v>9000</v>
      </c>
      <c r="J1605">
        <v>1000</v>
      </c>
      <c r="K1605">
        <v>10000</v>
      </c>
      <c r="N1605">
        <v>0</v>
      </c>
      <c r="O1605">
        <v>5.07</v>
      </c>
      <c r="P1605">
        <v>150</v>
      </c>
      <c r="Q1605">
        <v>5.25</v>
      </c>
      <c r="R1605">
        <v>4.8</v>
      </c>
      <c r="S1605">
        <v>5.35</v>
      </c>
      <c r="T1605">
        <v>98.71841666666667</v>
      </c>
      <c r="W1605" t="s">
        <v>497</v>
      </c>
    </row>
    <row r="1606" spans="1:23" x14ac:dyDescent="0.25">
      <c r="A1606" t="s">
        <v>2056</v>
      </c>
      <c r="B1606" t="str">
        <f t="shared" si="25"/>
        <v>CM1100000544</v>
      </c>
      <c r="C1606" t="s">
        <v>225</v>
      </c>
      <c r="D1606" t="s">
        <v>77</v>
      </c>
      <c r="E1606" t="s">
        <v>78</v>
      </c>
      <c r="F1606">
        <v>4000</v>
      </c>
      <c r="G1606" s="13">
        <v>43096</v>
      </c>
      <c r="H1606" s="13">
        <v>43189</v>
      </c>
      <c r="I1606">
        <v>3500</v>
      </c>
      <c r="J1606">
        <v>500</v>
      </c>
      <c r="K1606">
        <v>4000</v>
      </c>
      <c r="N1606">
        <v>0</v>
      </c>
      <c r="O1606">
        <v>3.44</v>
      </c>
      <c r="P1606">
        <v>40</v>
      </c>
      <c r="Q1606">
        <v>3.75</v>
      </c>
      <c r="R1606">
        <v>3.15</v>
      </c>
      <c r="S1606">
        <v>3.75</v>
      </c>
      <c r="T1606">
        <v>99.13044444444445</v>
      </c>
      <c r="W1606" t="s">
        <v>497</v>
      </c>
    </row>
    <row r="1607" spans="1:23" x14ac:dyDescent="0.25">
      <c r="A1607" t="s">
        <v>2057</v>
      </c>
      <c r="B1607" t="str">
        <f t="shared" si="25"/>
        <v>CF1200000278</v>
      </c>
      <c r="C1607" t="s">
        <v>634</v>
      </c>
      <c r="D1607" t="s">
        <v>77</v>
      </c>
      <c r="E1607" t="s">
        <v>82</v>
      </c>
      <c r="F1607">
        <v>4000</v>
      </c>
      <c r="G1607" s="13">
        <v>43096</v>
      </c>
      <c r="H1607" s="13">
        <v>43280</v>
      </c>
      <c r="I1607">
        <v>4000</v>
      </c>
      <c r="J1607">
        <v>0</v>
      </c>
      <c r="K1607">
        <v>4000</v>
      </c>
      <c r="N1607">
        <v>0</v>
      </c>
      <c r="O1607">
        <v>5.13</v>
      </c>
      <c r="P1607">
        <v>100</v>
      </c>
      <c r="Q1607">
        <v>5.5</v>
      </c>
      <c r="R1607">
        <v>5</v>
      </c>
      <c r="S1607">
        <v>5.5</v>
      </c>
      <c r="T1607">
        <v>97.406499999999994</v>
      </c>
      <c r="W1607" t="s">
        <v>497</v>
      </c>
    </row>
    <row r="1608" spans="1:23" x14ac:dyDescent="0.25">
      <c r="A1608" t="s">
        <v>2058</v>
      </c>
      <c r="B1608" t="str">
        <f t="shared" si="25"/>
        <v>CG1100000112</v>
      </c>
      <c r="C1608" t="s">
        <v>229</v>
      </c>
      <c r="D1608" t="s">
        <v>77</v>
      </c>
      <c r="E1608" t="s">
        <v>78</v>
      </c>
      <c r="F1608">
        <v>4300</v>
      </c>
      <c r="G1608" s="13">
        <v>43103</v>
      </c>
      <c r="H1608" s="13">
        <v>43196</v>
      </c>
      <c r="I1608">
        <v>300</v>
      </c>
      <c r="J1608">
        <v>4000</v>
      </c>
      <c r="K1608">
        <v>4300</v>
      </c>
      <c r="N1608">
        <v>0</v>
      </c>
      <c r="O1608">
        <v>5.7</v>
      </c>
      <c r="P1608">
        <v>61.429999999999993</v>
      </c>
      <c r="Q1608">
        <v>6.5</v>
      </c>
      <c r="R1608">
        <v>2</v>
      </c>
      <c r="S1608">
        <v>6.5</v>
      </c>
      <c r="T1608">
        <v>98.55916666666667</v>
      </c>
      <c r="W1608" t="s">
        <v>497</v>
      </c>
    </row>
    <row r="1609" spans="1:23" x14ac:dyDescent="0.25">
      <c r="A1609" t="s">
        <v>2059</v>
      </c>
      <c r="B1609" t="str">
        <f t="shared" si="25"/>
        <v>GA1200000618</v>
      </c>
      <c r="C1609" t="s">
        <v>227</v>
      </c>
      <c r="D1609" t="s">
        <v>77</v>
      </c>
      <c r="E1609" t="s">
        <v>82</v>
      </c>
      <c r="F1609">
        <v>9000</v>
      </c>
      <c r="G1609" s="13">
        <v>43103</v>
      </c>
      <c r="H1609" s="13">
        <v>43287</v>
      </c>
      <c r="I1609">
        <v>6000</v>
      </c>
      <c r="J1609">
        <v>3000</v>
      </c>
      <c r="K1609">
        <v>9000</v>
      </c>
      <c r="N1609">
        <v>0</v>
      </c>
      <c r="O1609">
        <v>5.01</v>
      </c>
      <c r="P1609">
        <v>131.06</v>
      </c>
      <c r="Q1609">
        <v>5.25</v>
      </c>
      <c r="R1609">
        <v>4.9000000000000004</v>
      </c>
      <c r="S1609">
        <v>5.85</v>
      </c>
      <c r="T1609">
        <v>97.467166666666671</v>
      </c>
      <c r="W1609" t="s">
        <v>497</v>
      </c>
    </row>
    <row r="1610" spans="1:23" x14ac:dyDescent="0.25">
      <c r="A1610" t="s">
        <v>2060</v>
      </c>
      <c r="B1610" t="str">
        <f t="shared" si="25"/>
        <v>GQ1300000486</v>
      </c>
      <c r="C1610" t="s">
        <v>528</v>
      </c>
      <c r="D1610" t="s">
        <v>77</v>
      </c>
      <c r="E1610" t="s">
        <v>287</v>
      </c>
      <c r="F1610">
        <v>1500</v>
      </c>
      <c r="G1610" s="13">
        <v>43103</v>
      </c>
      <c r="H1610" s="13">
        <v>43469</v>
      </c>
      <c r="I1610">
        <v>0</v>
      </c>
      <c r="J1610">
        <v>1500</v>
      </c>
      <c r="K1610">
        <v>1500</v>
      </c>
      <c r="N1610">
        <v>0</v>
      </c>
      <c r="O1610">
        <v>5.76</v>
      </c>
      <c r="P1610">
        <v>10</v>
      </c>
      <c r="Q1610">
        <v>6</v>
      </c>
      <c r="R1610">
        <v>5.7</v>
      </c>
      <c r="S1610">
        <v>6</v>
      </c>
      <c r="T1610">
        <v>94.176000000000002</v>
      </c>
      <c r="W1610" t="s">
        <v>497</v>
      </c>
    </row>
    <row r="1611" spans="1:23" x14ac:dyDescent="0.25">
      <c r="A1611" t="s">
        <v>2061</v>
      </c>
      <c r="B1611" t="str">
        <f t="shared" si="25"/>
        <v>GA1100000478</v>
      </c>
      <c r="C1611" t="s">
        <v>227</v>
      </c>
      <c r="D1611" t="s">
        <v>77</v>
      </c>
      <c r="E1611" t="s">
        <v>78</v>
      </c>
      <c r="F1611">
        <v>12000</v>
      </c>
      <c r="G1611" s="13">
        <v>43110</v>
      </c>
      <c r="H1611" s="13">
        <v>43203</v>
      </c>
      <c r="I1611">
        <v>6090</v>
      </c>
      <c r="J1611">
        <v>5910</v>
      </c>
      <c r="K1611">
        <v>12000</v>
      </c>
      <c r="N1611">
        <v>0</v>
      </c>
      <c r="O1611">
        <v>5.01</v>
      </c>
      <c r="P1611">
        <v>132.58000000000001</v>
      </c>
      <c r="Q1611">
        <v>5.15</v>
      </c>
      <c r="R1611">
        <v>4.9000000000000004</v>
      </c>
      <c r="S1611">
        <v>5.5</v>
      </c>
      <c r="T1611">
        <v>98.733583333333328</v>
      </c>
      <c r="W1611" t="s">
        <v>497</v>
      </c>
    </row>
    <row r="1612" spans="1:23" x14ac:dyDescent="0.25">
      <c r="A1612" t="s">
        <v>2062</v>
      </c>
      <c r="B1612" t="str">
        <f t="shared" si="25"/>
        <v>TD1300000304</v>
      </c>
      <c r="C1612" t="s">
        <v>237</v>
      </c>
      <c r="D1612" t="s">
        <v>77</v>
      </c>
      <c r="E1612" t="s">
        <v>287</v>
      </c>
      <c r="F1612">
        <v>22500</v>
      </c>
      <c r="G1612" s="13">
        <v>43110</v>
      </c>
      <c r="H1612" s="13">
        <v>43476</v>
      </c>
      <c r="I1612">
        <v>22500</v>
      </c>
      <c r="J1612">
        <v>0</v>
      </c>
      <c r="K1612">
        <v>22500</v>
      </c>
      <c r="N1612">
        <v>0</v>
      </c>
      <c r="O1612">
        <v>6</v>
      </c>
      <c r="P1612">
        <v>100</v>
      </c>
      <c r="Q1612">
        <v>6</v>
      </c>
      <c r="R1612">
        <v>6</v>
      </c>
      <c r="S1612">
        <v>6</v>
      </c>
      <c r="T1612">
        <v>93.933333333333337</v>
      </c>
      <c r="W1612" t="s">
        <v>497</v>
      </c>
    </row>
    <row r="1613" spans="1:23" x14ac:dyDescent="0.25">
      <c r="A1613" t="s">
        <v>2063</v>
      </c>
      <c r="B1613" t="str">
        <f t="shared" si="25"/>
        <v>TD1200000149</v>
      </c>
      <c r="C1613" t="s">
        <v>237</v>
      </c>
      <c r="D1613" t="s">
        <v>77</v>
      </c>
      <c r="E1613" t="s">
        <v>82</v>
      </c>
      <c r="F1613">
        <v>20500</v>
      </c>
      <c r="G1613" s="13">
        <v>43117</v>
      </c>
      <c r="H1613" s="13">
        <v>43301</v>
      </c>
      <c r="I1613">
        <v>14100</v>
      </c>
      <c r="J1613">
        <v>6400</v>
      </c>
      <c r="K1613">
        <v>20500</v>
      </c>
      <c r="N1613">
        <v>0</v>
      </c>
      <c r="O1613">
        <v>6.1</v>
      </c>
      <c r="P1613">
        <v>105.11999999999999</v>
      </c>
      <c r="Q1613">
        <v>6.25</v>
      </c>
      <c r="R1613">
        <v>6</v>
      </c>
      <c r="S1613">
        <v>6.5</v>
      </c>
      <c r="T1613">
        <v>96.916111111111107</v>
      </c>
      <c r="W1613" t="s">
        <v>497</v>
      </c>
    </row>
    <row r="1614" spans="1:23" x14ac:dyDescent="0.25">
      <c r="A1614" t="s">
        <v>2064</v>
      </c>
      <c r="B1614" t="str">
        <f t="shared" si="25"/>
        <v>CM1200000576</v>
      </c>
      <c r="C1614" t="s">
        <v>225</v>
      </c>
      <c r="D1614" t="s">
        <v>77</v>
      </c>
      <c r="E1614" t="s">
        <v>82</v>
      </c>
      <c r="F1614">
        <v>5000</v>
      </c>
      <c r="G1614" s="13">
        <v>43117</v>
      </c>
      <c r="H1614" s="13">
        <v>43301</v>
      </c>
      <c r="I1614">
        <v>3750</v>
      </c>
      <c r="J1614">
        <v>1250</v>
      </c>
      <c r="K1614">
        <v>5000</v>
      </c>
      <c r="N1614">
        <v>0</v>
      </c>
      <c r="O1614">
        <v>3.7</v>
      </c>
      <c r="P1614">
        <v>316.40000000000003</v>
      </c>
      <c r="Q1614">
        <v>3.9</v>
      </c>
      <c r="R1614">
        <v>3.6</v>
      </c>
      <c r="S1614">
        <v>5.95</v>
      </c>
      <c r="T1614">
        <v>98.129444444444445</v>
      </c>
      <c r="W1614" t="s">
        <v>497</v>
      </c>
    </row>
    <row r="1615" spans="1:23" x14ac:dyDescent="0.25">
      <c r="A1615" t="s">
        <v>2065</v>
      </c>
      <c r="B1615" t="str">
        <f t="shared" si="25"/>
        <v>GA1200000626</v>
      </c>
      <c r="C1615" t="s">
        <v>227</v>
      </c>
      <c r="D1615" t="s">
        <v>77</v>
      </c>
      <c r="E1615" t="s">
        <v>82</v>
      </c>
      <c r="F1615">
        <v>8500</v>
      </c>
      <c r="G1615" s="13">
        <v>43117</v>
      </c>
      <c r="H1615" s="13">
        <v>43301</v>
      </c>
      <c r="I1615">
        <v>6500</v>
      </c>
      <c r="J1615">
        <v>2000</v>
      </c>
      <c r="K1615">
        <v>8500</v>
      </c>
      <c r="N1615">
        <v>0</v>
      </c>
      <c r="O1615">
        <v>5.09</v>
      </c>
      <c r="P1615">
        <v>158.82</v>
      </c>
      <c r="Q1615">
        <v>5.25</v>
      </c>
      <c r="R1615">
        <v>5</v>
      </c>
      <c r="S1615">
        <v>5.25</v>
      </c>
      <c r="T1615">
        <v>97.426722222222224</v>
      </c>
      <c r="W1615" t="s">
        <v>497</v>
      </c>
    </row>
    <row r="1616" spans="1:23" x14ac:dyDescent="0.25">
      <c r="A1616" t="s">
        <v>2066</v>
      </c>
      <c r="B1616" t="str">
        <f t="shared" si="25"/>
        <v>GQ1300000494</v>
      </c>
      <c r="C1616" t="s">
        <v>528</v>
      </c>
      <c r="D1616" t="s">
        <v>77</v>
      </c>
      <c r="E1616" t="s">
        <v>287</v>
      </c>
      <c r="F1616">
        <v>15000</v>
      </c>
      <c r="G1616" s="13">
        <v>43117</v>
      </c>
      <c r="H1616" s="13">
        <v>43483</v>
      </c>
      <c r="I1616">
        <v>13800</v>
      </c>
      <c r="J1616">
        <v>1200</v>
      </c>
      <c r="K1616">
        <v>15000</v>
      </c>
      <c r="N1616">
        <v>0</v>
      </c>
      <c r="O1616">
        <v>7.91</v>
      </c>
      <c r="P1616">
        <v>197.67</v>
      </c>
      <c r="Q1616">
        <v>9.3000000000000007</v>
      </c>
      <c r="R1616">
        <v>6</v>
      </c>
      <c r="S1616">
        <v>9.5</v>
      </c>
      <c r="T1616">
        <v>92.002111111111105</v>
      </c>
      <c r="W1616" t="s">
        <v>497</v>
      </c>
    </row>
    <row r="1617" spans="1:23" x14ac:dyDescent="0.25">
      <c r="A1617" t="s">
        <v>2067</v>
      </c>
      <c r="B1617" t="str">
        <f t="shared" si="25"/>
        <v>GA1100000486</v>
      </c>
      <c r="C1617" t="s">
        <v>227</v>
      </c>
      <c r="D1617" t="s">
        <v>77</v>
      </c>
      <c r="E1617" t="s">
        <v>78</v>
      </c>
      <c r="F1617">
        <v>10000</v>
      </c>
      <c r="G1617" s="13">
        <v>43124</v>
      </c>
      <c r="H1617" s="13">
        <v>43217</v>
      </c>
      <c r="I1617">
        <v>0</v>
      </c>
      <c r="J1617">
        <v>10000</v>
      </c>
      <c r="K1617">
        <v>10000</v>
      </c>
      <c r="N1617">
        <v>0</v>
      </c>
      <c r="O1617">
        <v>4.8</v>
      </c>
      <c r="P1617">
        <v>170</v>
      </c>
      <c r="Q1617">
        <v>5</v>
      </c>
      <c r="R1617">
        <v>4.8</v>
      </c>
      <c r="S1617">
        <v>6</v>
      </c>
      <c r="T1617">
        <v>98.786666666666662</v>
      </c>
      <c r="W1617" t="s">
        <v>497</v>
      </c>
    </row>
    <row r="1618" spans="1:23" x14ac:dyDescent="0.25">
      <c r="A1618" t="s">
        <v>2068</v>
      </c>
      <c r="B1618" t="str">
        <f t="shared" si="25"/>
        <v>CM1100000551</v>
      </c>
      <c r="C1618" t="s">
        <v>225</v>
      </c>
      <c r="D1618" t="s">
        <v>77</v>
      </c>
      <c r="E1618" t="s">
        <v>78</v>
      </c>
      <c r="F1618">
        <v>5000</v>
      </c>
      <c r="G1618" s="13">
        <v>43124</v>
      </c>
      <c r="H1618" s="13">
        <v>43217</v>
      </c>
      <c r="I1618">
        <v>4081</v>
      </c>
      <c r="J1618">
        <v>919</v>
      </c>
      <c r="K1618">
        <v>5000</v>
      </c>
      <c r="N1618">
        <v>0</v>
      </c>
      <c r="O1618">
        <v>3.23</v>
      </c>
      <c r="P1618">
        <v>260.40000000000003</v>
      </c>
      <c r="Q1618">
        <v>3.4</v>
      </c>
      <c r="R1618">
        <v>3.15</v>
      </c>
      <c r="S1618">
        <v>4</v>
      </c>
      <c r="T1618">
        <v>99.183527777777783</v>
      </c>
      <c r="W1618" t="s">
        <v>497</v>
      </c>
    </row>
    <row r="1619" spans="1:23" x14ac:dyDescent="0.25">
      <c r="A1619" t="s">
        <v>2069</v>
      </c>
      <c r="B1619" t="str">
        <f t="shared" si="25"/>
        <v>TD1300000312</v>
      </c>
      <c r="C1619" t="s">
        <v>237</v>
      </c>
      <c r="D1619" t="s">
        <v>77</v>
      </c>
      <c r="E1619" t="s">
        <v>287</v>
      </c>
      <c r="F1619">
        <v>6000</v>
      </c>
      <c r="G1619" s="13">
        <v>43124</v>
      </c>
      <c r="H1619" s="13">
        <v>43490</v>
      </c>
      <c r="I1619">
        <v>6000</v>
      </c>
      <c r="J1619">
        <v>0</v>
      </c>
      <c r="K1619">
        <v>6000</v>
      </c>
      <c r="N1619">
        <v>0</v>
      </c>
      <c r="O1619">
        <v>6.5</v>
      </c>
      <c r="P1619">
        <v>95.240000000000009</v>
      </c>
      <c r="Q1619">
        <v>6</v>
      </c>
      <c r="R1619">
        <v>6</v>
      </c>
      <c r="S1619">
        <v>6</v>
      </c>
      <c r="T1619">
        <v>93.427777777777777</v>
      </c>
      <c r="W1619" t="s">
        <v>497</v>
      </c>
    </row>
    <row r="1620" spans="1:23" x14ac:dyDescent="0.25">
      <c r="A1620" t="s">
        <v>2070</v>
      </c>
      <c r="B1620" t="str">
        <f t="shared" si="25"/>
        <v>GA1200000634</v>
      </c>
      <c r="C1620" t="s">
        <v>227</v>
      </c>
      <c r="D1620" t="s">
        <v>77</v>
      </c>
      <c r="E1620" t="s">
        <v>82</v>
      </c>
      <c r="F1620">
        <v>5000</v>
      </c>
      <c r="G1620" s="13">
        <v>43131</v>
      </c>
      <c r="H1620" s="13">
        <v>43315</v>
      </c>
      <c r="I1620">
        <v>2439</v>
      </c>
      <c r="J1620">
        <v>2561</v>
      </c>
      <c r="K1620">
        <v>5000</v>
      </c>
      <c r="N1620">
        <v>0</v>
      </c>
      <c r="O1620">
        <v>5.0599999999999996</v>
      </c>
      <c r="P1620">
        <v>340</v>
      </c>
      <c r="Q1620">
        <v>5.2</v>
      </c>
      <c r="T1620">
        <v>97.441888888888883</v>
      </c>
      <c r="W1620" t="s">
        <v>497</v>
      </c>
    </row>
    <row r="1621" spans="1:23" x14ac:dyDescent="0.25">
      <c r="A1621" t="s">
        <v>2071</v>
      </c>
      <c r="B1621" t="str">
        <f t="shared" si="25"/>
        <v>CG1100000121</v>
      </c>
      <c r="C1621" t="s">
        <v>229</v>
      </c>
      <c r="D1621" t="s">
        <v>77</v>
      </c>
      <c r="E1621" t="s">
        <v>78</v>
      </c>
      <c r="F1621">
        <v>2000</v>
      </c>
      <c r="G1621" s="13">
        <v>43131</v>
      </c>
      <c r="H1621" s="13">
        <v>43224</v>
      </c>
      <c r="I1621">
        <v>0</v>
      </c>
      <c r="J1621">
        <v>2000</v>
      </c>
      <c r="K1621">
        <v>2000</v>
      </c>
      <c r="N1621">
        <v>0</v>
      </c>
      <c r="O1621">
        <v>6.1</v>
      </c>
      <c r="P1621">
        <v>52.5</v>
      </c>
      <c r="Q1621">
        <v>6.2</v>
      </c>
      <c r="T1621">
        <v>98.458055555555561</v>
      </c>
      <c r="W1621" t="s">
        <v>497</v>
      </c>
    </row>
    <row r="1622" spans="1:23" x14ac:dyDescent="0.25">
      <c r="A1622" t="s">
        <v>2072</v>
      </c>
      <c r="B1622" t="str">
        <f t="shared" si="25"/>
        <v>CM1100000569</v>
      </c>
      <c r="C1622" t="s">
        <v>225</v>
      </c>
      <c r="D1622" t="s">
        <v>77</v>
      </c>
      <c r="E1622" t="s">
        <v>78</v>
      </c>
      <c r="F1622">
        <v>5000</v>
      </c>
      <c r="G1622" s="13">
        <v>43138</v>
      </c>
      <c r="H1622" s="13">
        <v>43231</v>
      </c>
      <c r="I1622">
        <v>5000</v>
      </c>
      <c r="J1622">
        <v>0</v>
      </c>
      <c r="K1622">
        <v>5000</v>
      </c>
      <c r="N1622">
        <v>0</v>
      </c>
      <c r="O1622">
        <v>3.0893999999999999</v>
      </c>
      <c r="P1622">
        <v>365.4</v>
      </c>
      <c r="Q1622">
        <v>3.15</v>
      </c>
      <c r="R1622">
        <v>3</v>
      </c>
      <c r="S1622">
        <v>3.75</v>
      </c>
      <c r="T1622">
        <v>99.21906833333334</v>
      </c>
      <c r="W1622" t="s">
        <v>497</v>
      </c>
    </row>
    <row r="1623" spans="1:23" x14ac:dyDescent="0.25">
      <c r="A1623" t="s">
        <v>2073</v>
      </c>
      <c r="B1623" t="str">
        <f t="shared" si="25"/>
        <v>GA1100000494</v>
      </c>
      <c r="C1623" t="s">
        <v>227</v>
      </c>
      <c r="D1623" t="s">
        <v>77</v>
      </c>
      <c r="E1623" t="s">
        <v>78</v>
      </c>
      <c r="F1623">
        <v>8500</v>
      </c>
      <c r="G1623" s="13">
        <v>43138</v>
      </c>
      <c r="H1623" s="13">
        <v>43231</v>
      </c>
      <c r="I1623">
        <v>1500</v>
      </c>
      <c r="J1623">
        <v>7000</v>
      </c>
      <c r="K1623">
        <v>8500</v>
      </c>
      <c r="N1623">
        <v>0</v>
      </c>
      <c r="O1623">
        <v>4.8252899999999999</v>
      </c>
      <c r="P1623">
        <v>256.17599999999999</v>
      </c>
      <c r="Q1623">
        <v>5</v>
      </c>
      <c r="R1623">
        <v>4.5</v>
      </c>
      <c r="S1623">
        <v>5.15</v>
      </c>
      <c r="T1623">
        <v>98.780273916666673</v>
      </c>
      <c r="W1623" t="s">
        <v>497</v>
      </c>
    </row>
    <row r="1624" spans="1:23" x14ac:dyDescent="0.25">
      <c r="A1624" t="s">
        <v>2074</v>
      </c>
      <c r="B1624" t="str">
        <f t="shared" si="25"/>
        <v>TD1300000321</v>
      </c>
      <c r="C1624" t="s">
        <v>237</v>
      </c>
      <c r="D1624" t="s">
        <v>77</v>
      </c>
      <c r="E1624" t="s">
        <v>287</v>
      </c>
      <c r="F1624">
        <v>12000</v>
      </c>
      <c r="G1624" s="13">
        <v>43138</v>
      </c>
      <c r="H1624" s="13">
        <v>43504</v>
      </c>
      <c r="I1624">
        <v>12000</v>
      </c>
      <c r="J1624">
        <v>0</v>
      </c>
      <c r="K1624">
        <v>12000</v>
      </c>
      <c r="N1624">
        <v>0</v>
      </c>
      <c r="O1624">
        <v>6</v>
      </c>
      <c r="P1624">
        <v>100</v>
      </c>
      <c r="Q1624">
        <v>6</v>
      </c>
      <c r="T1624">
        <v>93.933333333333337</v>
      </c>
      <c r="W1624" t="s">
        <v>497</v>
      </c>
    </row>
    <row r="1625" spans="1:23" x14ac:dyDescent="0.25">
      <c r="A1625" t="s">
        <v>2075</v>
      </c>
      <c r="B1625" t="str">
        <f t="shared" si="25"/>
        <v>GA1200000642</v>
      </c>
      <c r="C1625" t="s">
        <v>227</v>
      </c>
      <c r="D1625" t="s">
        <v>77</v>
      </c>
      <c r="E1625" t="s">
        <v>82</v>
      </c>
      <c r="F1625">
        <v>7500</v>
      </c>
      <c r="G1625" s="13">
        <v>43145</v>
      </c>
      <c r="H1625" s="13">
        <v>43329</v>
      </c>
      <c r="I1625">
        <v>3279</v>
      </c>
      <c r="J1625">
        <v>4221</v>
      </c>
      <c r="K1625">
        <v>7500</v>
      </c>
      <c r="N1625">
        <v>0</v>
      </c>
      <c r="O1625">
        <v>4.9400000000000004</v>
      </c>
      <c r="P1625">
        <v>153.42599999999999</v>
      </c>
      <c r="Q1625">
        <v>5</v>
      </c>
      <c r="R1625">
        <v>4.9000000000000004</v>
      </c>
      <c r="S1625">
        <v>5.25</v>
      </c>
      <c r="T1625">
        <v>97.50255555555556</v>
      </c>
      <c r="W1625" t="s">
        <v>497</v>
      </c>
    </row>
    <row r="1626" spans="1:23" x14ac:dyDescent="0.25">
      <c r="A1626" t="s">
        <v>2076</v>
      </c>
      <c r="B1626" t="str">
        <f t="shared" si="25"/>
        <v>CM1100000577</v>
      </c>
      <c r="C1626" t="s">
        <v>225</v>
      </c>
      <c r="D1626" t="s">
        <v>77</v>
      </c>
      <c r="E1626" t="s">
        <v>78</v>
      </c>
      <c r="F1626">
        <v>5000</v>
      </c>
      <c r="G1626" s="13">
        <v>43145</v>
      </c>
      <c r="H1626" s="13">
        <v>43238</v>
      </c>
      <c r="I1626">
        <v>4593</v>
      </c>
      <c r="J1626">
        <v>407</v>
      </c>
      <c r="K1626">
        <v>5000</v>
      </c>
      <c r="N1626">
        <v>0</v>
      </c>
      <c r="O1626">
        <v>3.0399500000000002</v>
      </c>
      <c r="P1626">
        <v>314.10000000000002</v>
      </c>
      <c r="Q1626">
        <v>3.1</v>
      </c>
      <c r="R1626">
        <v>2.95</v>
      </c>
      <c r="S1626">
        <v>3.3</v>
      </c>
      <c r="T1626">
        <v>99.231568194444449</v>
      </c>
      <c r="W1626" t="s">
        <v>497</v>
      </c>
    </row>
    <row r="1627" spans="1:23" x14ac:dyDescent="0.25">
      <c r="A1627" t="s">
        <v>2077</v>
      </c>
      <c r="B1627" t="str">
        <f t="shared" ref="B1627:B1690" si="26">MID(A1627,1,12)</f>
        <v>GQ1300000502</v>
      </c>
      <c r="C1627" t="s">
        <v>528</v>
      </c>
      <c r="D1627" t="s">
        <v>77</v>
      </c>
      <c r="E1627" t="s">
        <v>287</v>
      </c>
      <c r="F1627">
        <v>11000</v>
      </c>
      <c r="G1627" s="13">
        <v>43145</v>
      </c>
      <c r="H1627" s="13">
        <v>43511</v>
      </c>
      <c r="I1627">
        <v>10000</v>
      </c>
      <c r="J1627">
        <v>1000</v>
      </c>
      <c r="K1627">
        <v>11000</v>
      </c>
      <c r="N1627">
        <v>0</v>
      </c>
      <c r="O1627">
        <v>8.77</v>
      </c>
      <c r="P1627">
        <v>73.33</v>
      </c>
      <c r="Q1627">
        <v>9</v>
      </c>
      <c r="R1627">
        <v>6.5</v>
      </c>
      <c r="S1627">
        <v>9</v>
      </c>
      <c r="T1627">
        <v>91.132555555555555</v>
      </c>
      <c r="W1627" t="s">
        <v>497</v>
      </c>
    </row>
    <row r="1628" spans="1:23" x14ac:dyDescent="0.25">
      <c r="A1628" t="s">
        <v>2078</v>
      </c>
      <c r="B1628" t="str">
        <f t="shared" si="26"/>
        <v>GA1100000502</v>
      </c>
      <c r="C1628" t="s">
        <v>227</v>
      </c>
      <c r="D1628" t="s">
        <v>77</v>
      </c>
      <c r="E1628" t="s">
        <v>78</v>
      </c>
      <c r="F1628">
        <v>13000</v>
      </c>
      <c r="G1628" s="13">
        <v>43152</v>
      </c>
      <c r="H1628" s="13">
        <v>43245</v>
      </c>
      <c r="I1628">
        <v>6139</v>
      </c>
      <c r="J1628">
        <v>6861</v>
      </c>
      <c r="K1628">
        <v>13000</v>
      </c>
      <c r="N1628">
        <v>0</v>
      </c>
      <c r="O1628">
        <v>4.7269199999999998</v>
      </c>
      <c r="P1628">
        <v>189.93</v>
      </c>
      <c r="Q1628">
        <v>4.8499999999999996</v>
      </c>
      <c r="R1628">
        <v>4</v>
      </c>
      <c r="S1628">
        <v>5.0999999999999996</v>
      </c>
      <c r="T1628">
        <v>98.805139666666662</v>
      </c>
      <c r="W1628" t="s">
        <v>497</v>
      </c>
    </row>
    <row r="1629" spans="1:23" x14ac:dyDescent="0.25">
      <c r="A1629" t="s">
        <v>2079</v>
      </c>
      <c r="B1629" t="str">
        <f t="shared" si="26"/>
        <v>CM1100000585</v>
      </c>
      <c r="C1629" t="s">
        <v>225</v>
      </c>
      <c r="D1629" t="s">
        <v>77</v>
      </c>
      <c r="E1629" t="s">
        <v>78</v>
      </c>
      <c r="F1629">
        <v>5000</v>
      </c>
      <c r="G1629" s="13">
        <v>43152</v>
      </c>
      <c r="H1629" s="13">
        <v>43245</v>
      </c>
      <c r="I1629">
        <v>4646</v>
      </c>
      <c r="J1629">
        <v>354</v>
      </c>
      <c r="K1629">
        <v>5000</v>
      </c>
      <c r="N1629">
        <v>0</v>
      </c>
      <c r="O1629">
        <v>2.95</v>
      </c>
      <c r="P1629">
        <v>327.02</v>
      </c>
      <c r="Q1629">
        <v>2.95</v>
      </c>
      <c r="R1629">
        <v>2.95</v>
      </c>
      <c r="S1629">
        <v>3.75</v>
      </c>
      <c r="T1629">
        <v>99.254305555555561</v>
      </c>
      <c r="W1629" t="s">
        <v>497</v>
      </c>
    </row>
    <row r="1630" spans="1:23" x14ac:dyDescent="0.25">
      <c r="A1630" t="s">
        <v>2080</v>
      </c>
      <c r="B1630" t="str">
        <f t="shared" si="26"/>
        <v>CM1200000584</v>
      </c>
      <c r="C1630" t="s">
        <v>225</v>
      </c>
      <c r="D1630" t="s">
        <v>77</v>
      </c>
      <c r="E1630" t="s">
        <v>82</v>
      </c>
      <c r="F1630">
        <v>10000</v>
      </c>
      <c r="G1630" s="13">
        <v>43159</v>
      </c>
      <c r="H1630" s="13">
        <v>43343</v>
      </c>
      <c r="I1630">
        <v>10000</v>
      </c>
      <c r="J1630">
        <v>0</v>
      </c>
      <c r="K1630">
        <v>10000</v>
      </c>
      <c r="N1630">
        <v>0</v>
      </c>
      <c r="O1630">
        <v>3.0325000000000002</v>
      </c>
      <c r="P1630">
        <v>229.08</v>
      </c>
      <c r="Q1630">
        <v>3.15</v>
      </c>
      <c r="R1630">
        <v>3</v>
      </c>
      <c r="S1630">
        <v>4</v>
      </c>
      <c r="T1630">
        <v>98.466902777777776</v>
      </c>
      <c r="W1630" t="s">
        <v>497</v>
      </c>
    </row>
    <row r="1631" spans="1:23" x14ac:dyDescent="0.25">
      <c r="A1631" t="s">
        <v>2081</v>
      </c>
      <c r="B1631" t="str">
        <f t="shared" si="26"/>
        <v>CG1100000138</v>
      </c>
      <c r="C1631" t="s">
        <v>229</v>
      </c>
      <c r="D1631" t="s">
        <v>77</v>
      </c>
      <c r="E1631" t="s">
        <v>78</v>
      </c>
      <c r="F1631">
        <v>2000</v>
      </c>
      <c r="G1631" s="13">
        <v>43159</v>
      </c>
      <c r="H1631" s="13">
        <v>43252</v>
      </c>
      <c r="I1631">
        <v>0</v>
      </c>
      <c r="J1631">
        <v>2000</v>
      </c>
      <c r="K1631">
        <v>2000</v>
      </c>
      <c r="N1631">
        <v>0</v>
      </c>
      <c r="O1631">
        <v>6</v>
      </c>
      <c r="P1631">
        <v>200</v>
      </c>
      <c r="Q1631">
        <v>6</v>
      </c>
      <c r="T1631">
        <v>98.483333333333334</v>
      </c>
      <c r="W1631" t="s">
        <v>497</v>
      </c>
    </row>
    <row r="1632" spans="1:23" x14ac:dyDescent="0.25">
      <c r="A1632" t="s">
        <v>2082</v>
      </c>
      <c r="B1632" t="str">
        <f t="shared" si="26"/>
        <v>GA1100000511</v>
      </c>
      <c r="C1632" t="s">
        <v>227</v>
      </c>
      <c r="D1632" t="s">
        <v>77</v>
      </c>
      <c r="E1632" t="s">
        <v>78</v>
      </c>
      <c r="F1632">
        <v>8500</v>
      </c>
      <c r="G1632" s="13">
        <v>43159</v>
      </c>
      <c r="H1632" s="13">
        <v>43252</v>
      </c>
      <c r="I1632">
        <v>3020</v>
      </c>
      <c r="J1632">
        <v>5480</v>
      </c>
      <c r="K1632">
        <v>8500</v>
      </c>
      <c r="N1632">
        <v>0</v>
      </c>
      <c r="O1632">
        <v>4.6147</v>
      </c>
      <c r="P1632">
        <v>213.88200000000001</v>
      </c>
      <c r="Q1632">
        <v>4.9000000000000004</v>
      </c>
      <c r="R1632">
        <v>4.5</v>
      </c>
      <c r="S1632">
        <v>5.0999999999999996</v>
      </c>
      <c r="T1632">
        <v>98.833506388888893</v>
      </c>
      <c r="W1632" t="s">
        <v>497</v>
      </c>
    </row>
    <row r="1633" spans="1:23" x14ac:dyDescent="0.25">
      <c r="A1633" t="s">
        <v>2083</v>
      </c>
      <c r="B1633" t="str">
        <f t="shared" si="26"/>
        <v>CM1200000592</v>
      </c>
      <c r="C1633" t="s">
        <v>225</v>
      </c>
      <c r="D1633" t="s">
        <v>77</v>
      </c>
      <c r="E1633" t="s">
        <v>82</v>
      </c>
      <c r="F1633">
        <v>10000</v>
      </c>
      <c r="G1633" s="13">
        <v>43166</v>
      </c>
      <c r="H1633" s="13">
        <v>43350</v>
      </c>
      <c r="I1633">
        <v>7762</v>
      </c>
      <c r="J1633">
        <v>2238</v>
      </c>
      <c r="K1633">
        <v>10000</v>
      </c>
      <c r="N1633">
        <v>0</v>
      </c>
      <c r="O1633">
        <v>3.0083199999999999</v>
      </c>
      <c r="P1633">
        <v>176.11</v>
      </c>
      <c r="Q1633">
        <v>3.1</v>
      </c>
      <c r="R1633">
        <v>2.9</v>
      </c>
      <c r="S1633">
        <v>3.75</v>
      </c>
      <c r="T1633">
        <v>98.479127111111112</v>
      </c>
      <c r="W1633" t="s">
        <v>497</v>
      </c>
    </row>
    <row r="1634" spans="1:23" x14ac:dyDescent="0.25">
      <c r="A1634" t="s">
        <v>2084</v>
      </c>
      <c r="B1634" t="str">
        <f t="shared" si="26"/>
        <v>GA1100000528</v>
      </c>
      <c r="C1634" t="s">
        <v>227</v>
      </c>
      <c r="D1634" t="s">
        <v>77</v>
      </c>
      <c r="E1634" t="s">
        <v>78</v>
      </c>
      <c r="F1634">
        <v>7000</v>
      </c>
      <c r="G1634" s="13">
        <v>43166</v>
      </c>
      <c r="H1634" s="13">
        <v>43259</v>
      </c>
      <c r="I1634">
        <v>0</v>
      </c>
      <c r="J1634">
        <v>7000</v>
      </c>
      <c r="K1634">
        <v>7000</v>
      </c>
      <c r="N1634">
        <v>0</v>
      </c>
      <c r="O1634">
        <v>4.4285699999999997</v>
      </c>
      <c r="P1634">
        <v>201.02799999999999</v>
      </c>
      <c r="Q1634">
        <v>4.5</v>
      </c>
      <c r="R1634">
        <v>4.25</v>
      </c>
      <c r="S1634">
        <v>4.9000000000000004</v>
      </c>
      <c r="T1634">
        <v>98.880555916666665</v>
      </c>
      <c r="W1634" t="s">
        <v>497</v>
      </c>
    </row>
    <row r="1635" spans="1:23" x14ac:dyDescent="0.25">
      <c r="A1635" t="s">
        <v>2085</v>
      </c>
      <c r="B1635" t="str">
        <f t="shared" si="26"/>
        <v>GA1200000659</v>
      </c>
      <c r="C1635" t="s">
        <v>227</v>
      </c>
      <c r="D1635" t="s">
        <v>77</v>
      </c>
      <c r="E1635" t="s">
        <v>82</v>
      </c>
      <c r="F1635">
        <v>12500</v>
      </c>
      <c r="G1635" s="13">
        <v>43173</v>
      </c>
      <c r="H1635" s="13">
        <v>43357</v>
      </c>
      <c r="I1635">
        <v>2500</v>
      </c>
      <c r="J1635">
        <v>10000</v>
      </c>
      <c r="K1635">
        <v>12500</v>
      </c>
      <c r="N1635">
        <v>0</v>
      </c>
      <c r="O1635">
        <v>4.4591399999999997</v>
      </c>
      <c r="P1635">
        <v>170.744</v>
      </c>
      <c r="Q1635">
        <v>4.75</v>
      </c>
      <c r="R1635">
        <v>4.25</v>
      </c>
      <c r="S1635">
        <v>5.5</v>
      </c>
      <c r="T1635">
        <v>97.745656999999994</v>
      </c>
      <c r="W1635" t="s">
        <v>497</v>
      </c>
    </row>
    <row r="1636" spans="1:23" x14ac:dyDescent="0.25">
      <c r="A1636" t="s">
        <v>2086</v>
      </c>
      <c r="B1636" t="str">
        <f t="shared" si="26"/>
        <v>CM1200000601</v>
      </c>
      <c r="C1636" t="s">
        <v>225</v>
      </c>
      <c r="D1636" t="s">
        <v>77</v>
      </c>
      <c r="E1636" t="s">
        <v>82</v>
      </c>
      <c r="F1636">
        <v>10000</v>
      </c>
      <c r="G1636" s="13">
        <v>43173</v>
      </c>
      <c r="H1636" s="13">
        <v>43357</v>
      </c>
      <c r="I1636">
        <v>9390</v>
      </c>
      <c r="J1636">
        <v>610</v>
      </c>
      <c r="K1636">
        <v>10000</v>
      </c>
      <c r="N1636">
        <v>0</v>
      </c>
      <c r="O1636">
        <v>3.0288599999999999</v>
      </c>
      <c r="P1636">
        <v>180.57</v>
      </c>
      <c r="Q1636">
        <v>3.1</v>
      </c>
      <c r="R1636">
        <v>2.9</v>
      </c>
      <c r="S1636">
        <v>4</v>
      </c>
      <c r="T1636">
        <v>98.468743000000003</v>
      </c>
      <c r="W1636" t="s">
        <v>497</v>
      </c>
    </row>
    <row r="1637" spans="1:23" x14ac:dyDescent="0.25">
      <c r="A1637" t="s">
        <v>2087</v>
      </c>
      <c r="B1637" t="str">
        <f t="shared" si="26"/>
        <v>TD1300000338</v>
      </c>
      <c r="C1637" t="s">
        <v>237</v>
      </c>
      <c r="D1637" t="s">
        <v>77</v>
      </c>
      <c r="E1637" t="s">
        <v>287</v>
      </c>
      <c r="F1637">
        <v>15000</v>
      </c>
      <c r="G1637" s="13">
        <v>43173</v>
      </c>
      <c r="H1637" s="13">
        <v>43539</v>
      </c>
      <c r="I1637">
        <v>7000</v>
      </c>
      <c r="J1637">
        <v>8000</v>
      </c>
      <c r="K1637">
        <v>15000</v>
      </c>
      <c r="N1637">
        <v>0</v>
      </c>
      <c r="O1637">
        <v>6</v>
      </c>
      <c r="P1637">
        <v>100</v>
      </c>
      <c r="Q1637">
        <v>6</v>
      </c>
      <c r="T1637">
        <v>93.933333333333337</v>
      </c>
      <c r="W1637" t="s">
        <v>497</v>
      </c>
    </row>
    <row r="1638" spans="1:23" x14ac:dyDescent="0.25">
      <c r="A1638" t="s">
        <v>2088</v>
      </c>
      <c r="B1638" t="str">
        <f t="shared" si="26"/>
        <v>TD1200000164</v>
      </c>
      <c r="C1638" t="s">
        <v>237</v>
      </c>
      <c r="D1638" t="s">
        <v>77</v>
      </c>
      <c r="E1638" t="s">
        <v>82</v>
      </c>
      <c r="F1638">
        <v>31500</v>
      </c>
      <c r="G1638" s="13">
        <v>43178</v>
      </c>
      <c r="H1638" s="13">
        <v>43360</v>
      </c>
      <c r="I1638">
        <v>15300</v>
      </c>
      <c r="J1638">
        <v>16200</v>
      </c>
      <c r="K1638">
        <v>31500</v>
      </c>
      <c r="N1638">
        <v>0</v>
      </c>
      <c r="O1638">
        <v>6</v>
      </c>
      <c r="P1638">
        <v>100</v>
      </c>
      <c r="Q1638">
        <v>6</v>
      </c>
      <c r="R1638">
        <v>6</v>
      </c>
      <c r="S1638">
        <v>6</v>
      </c>
      <c r="T1638">
        <v>97</v>
      </c>
      <c r="W1638" t="s">
        <v>497</v>
      </c>
    </row>
    <row r="1639" spans="1:23" x14ac:dyDescent="0.25">
      <c r="A1639" t="s">
        <v>2089</v>
      </c>
      <c r="B1639" t="str">
        <f t="shared" si="26"/>
        <v>GA1300000302</v>
      </c>
      <c r="C1639" t="s">
        <v>227</v>
      </c>
      <c r="D1639" t="s">
        <v>77</v>
      </c>
      <c r="E1639" t="s">
        <v>287</v>
      </c>
      <c r="F1639">
        <v>15000</v>
      </c>
      <c r="G1639" s="13">
        <v>43180</v>
      </c>
      <c r="H1639" s="13">
        <v>43546</v>
      </c>
      <c r="I1639">
        <v>9500</v>
      </c>
      <c r="J1639">
        <v>5500</v>
      </c>
      <c r="K1639">
        <v>15000</v>
      </c>
      <c r="N1639">
        <v>0</v>
      </c>
      <c r="O1639">
        <v>4.3483299999999998</v>
      </c>
      <c r="P1639">
        <v>146.93299999999999</v>
      </c>
      <c r="Q1639">
        <v>4.95</v>
      </c>
      <c r="R1639">
        <v>4.25</v>
      </c>
      <c r="S1639">
        <v>6</v>
      </c>
      <c r="T1639">
        <v>95.60335522222222</v>
      </c>
      <c r="W1639" t="s">
        <v>497</v>
      </c>
    </row>
    <row r="1640" spans="1:23" x14ac:dyDescent="0.25">
      <c r="A1640" t="s">
        <v>2090</v>
      </c>
      <c r="B1640" t="str">
        <f t="shared" si="26"/>
        <v>GQ1300000511</v>
      </c>
      <c r="C1640" t="s">
        <v>528</v>
      </c>
      <c r="D1640" t="s">
        <v>77</v>
      </c>
      <c r="E1640" t="s">
        <v>287</v>
      </c>
      <c r="F1640">
        <v>7500</v>
      </c>
      <c r="G1640" s="13">
        <v>43180</v>
      </c>
      <c r="H1640" s="13">
        <v>43546</v>
      </c>
      <c r="I1640">
        <v>6500</v>
      </c>
      <c r="J1640">
        <v>1000</v>
      </c>
      <c r="K1640">
        <v>7500</v>
      </c>
      <c r="N1640">
        <v>0</v>
      </c>
      <c r="O1640">
        <v>9.1999999999999993</v>
      </c>
      <c r="P1640">
        <v>50</v>
      </c>
      <c r="Q1640">
        <v>9.5</v>
      </c>
      <c r="R1640">
        <v>7</v>
      </c>
      <c r="S1640">
        <v>9.5</v>
      </c>
      <c r="T1640">
        <v>90.697777777777773</v>
      </c>
      <c r="W1640" t="s">
        <v>497</v>
      </c>
    </row>
    <row r="1641" spans="1:23" x14ac:dyDescent="0.25">
      <c r="A1641" t="s">
        <v>2091</v>
      </c>
      <c r="B1641" t="str">
        <f t="shared" si="26"/>
        <v>GA1100000536</v>
      </c>
      <c r="C1641" t="s">
        <v>227</v>
      </c>
      <c r="D1641" t="s">
        <v>77</v>
      </c>
      <c r="E1641" t="s">
        <v>78</v>
      </c>
      <c r="F1641">
        <v>12000</v>
      </c>
      <c r="G1641" s="13">
        <v>43187</v>
      </c>
      <c r="H1641" s="13">
        <v>43280</v>
      </c>
      <c r="I1641">
        <v>4333</v>
      </c>
      <c r="J1641">
        <v>7667</v>
      </c>
      <c r="K1641">
        <v>12000</v>
      </c>
      <c r="N1641">
        <v>0</v>
      </c>
      <c r="O1641">
        <v>4.3083</v>
      </c>
      <c r="P1641">
        <v>164.16669999999999</v>
      </c>
      <c r="T1641">
        <v>98.910957499999995</v>
      </c>
      <c r="W1641" t="s">
        <v>497</v>
      </c>
    </row>
    <row r="1642" spans="1:23" x14ac:dyDescent="0.25">
      <c r="A1642" t="s">
        <v>2092</v>
      </c>
      <c r="B1642" t="str">
        <f t="shared" si="26"/>
        <v>CM1100000593</v>
      </c>
      <c r="C1642" t="s">
        <v>225</v>
      </c>
      <c r="D1642" t="s">
        <v>77</v>
      </c>
      <c r="E1642" t="s">
        <v>78</v>
      </c>
      <c r="F1642">
        <v>5000</v>
      </c>
      <c r="G1642" s="13">
        <v>43187</v>
      </c>
      <c r="H1642" s="13">
        <v>43280</v>
      </c>
      <c r="I1642">
        <v>2750</v>
      </c>
      <c r="J1642">
        <v>2250</v>
      </c>
      <c r="K1642">
        <v>5000</v>
      </c>
      <c r="N1642">
        <v>33.333333333333329</v>
      </c>
      <c r="O1642">
        <v>2.8650000000000002</v>
      </c>
      <c r="P1642">
        <v>190</v>
      </c>
      <c r="T1642">
        <v>99.275791666666663</v>
      </c>
      <c r="W1642" t="s">
        <v>497</v>
      </c>
    </row>
    <row r="1643" spans="1:23" x14ac:dyDescent="0.25">
      <c r="A1643" t="s">
        <v>2093</v>
      </c>
      <c r="B1643" t="str">
        <f t="shared" si="26"/>
        <v>CG1200000038</v>
      </c>
      <c r="C1643" t="s">
        <v>229</v>
      </c>
      <c r="D1643" t="s">
        <v>77</v>
      </c>
      <c r="E1643" t="s">
        <v>82</v>
      </c>
      <c r="F1643">
        <v>5000</v>
      </c>
      <c r="G1643" s="13">
        <v>43194</v>
      </c>
      <c r="H1643" s="13">
        <v>43378</v>
      </c>
      <c r="I1643">
        <v>2300</v>
      </c>
      <c r="J1643">
        <v>2700</v>
      </c>
      <c r="K1643">
        <v>5000</v>
      </c>
      <c r="N1643">
        <v>17.391304347826086</v>
      </c>
      <c r="O1643">
        <v>6.15</v>
      </c>
      <c r="P1643">
        <v>106</v>
      </c>
      <c r="Q1643">
        <v>6.3</v>
      </c>
      <c r="R1643">
        <v>6</v>
      </c>
      <c r="S1643">
        <v>6.3</v>
      </c>
      <c r="T1643">
        <v>96.890833333333333</v>
      </c>
      <c r="W1643" t="s">
        <v>497</v>
      </c>
    </row>
    <row r="1644" spans="1:23" x14ac:dyDescent="0.25">
      <c r="A1644" t="s">
        <v>2094</v>
      </c>
      <c r="B1644" t="str">
        <f t="shared" si="26"/>
        <v>GA1200000667</v>
      </c>
      <c r="C1644" t="s">
        <v>227</v>
      </c>
      <c r="D1644" t="s">
        <v>77</v>
      </c>
      <c r="E1644" t="s">
        <v>82</v>
      </c>
      <c r="F1644">
        <v>12000</v>
      </c>
      <c r="G1644" s="13">
        <v>43194</v>
      </c>
      <c r="H1644" s="13">
        <v>43378</v>
      </c>
      <c r="I1644">
        <v>6000</v>
      </c>
      <c r="J1644">
        <v>6000</v>
      </c>
      <c r="K1644">
        <v>12000</v>
      </c>
      <c r="N1644">
        <v>0</v>
      </c>
      <c r="O1644">
        <v>4.4358000000000004</v>
      </c>
      <c r="P1644">
        <v>189.45</v>
      </c>
      <c r="T1644">
        <v>97.75745666666667</v>
      </c>
      <c r="W1644" t="s">
        <v>497</v>
      </c>
    </row>
    <row r="1645" spans="1:23" x14ac:dyDescent="0.25">
      <c r="A1645" t="s">
        <v>2095</v>
      </c>
      <c r="B1645" t="str">
        <f t="shared" si="26"/>
        <v>GA1100000544</v>
      </c>
      <c r="C1645" t="s">
        <v>227</v>
      </c>
      <c r="D1645" t="s">
        <v>77</v>
      </c>
      <c r="E1645" t="s">
        <v>78</v>
      </c>
      <c r="F1645">
        <v>15000</v>
      </c>
      <c r="G1645" s="13">
        <v>43201</v>
      </c>
      <c r="H1645" s="13">
        <v>43294</v>
      </c>
      <c r="I1645">
        <v>3907</v>
      </c>
      <c r="J1645">
        <v>11093</v>
      </c>
      <c r="K1645">
        <v>15000</v>
      </c>
      <c r="N1645">
        <v>0</v>
      </c>
      <c r="O1645">
        <v>4.2298999999999998</v>
      </c>
      <c r="P1645">
        <v>168.22</v>
      </c>
      <c r="T1645">
        <v>98.930775277777784</v>
      </c>
      <c r="W1645" t="s">
        <v>497</v>
      </c>
    </row>
    <row r="1646" spans="1:23" x14ac:dyDescent="0.25">
      <c r="A1646" t="s">
        <v>2096</v>
      </c>
      <c r="B1646" t="str">
        <f t="shared" si="26"/>
        <v>CM1200000618</v>
      </c>
      <c r="C1646" t="s">
        <v>225</v>
      </c>
      <c r="D1646" t="s">
        <v>77</v>
      </c>
      <c r="E1646" t="s">
        <v>82</v>
      </c>
      <c r="F1646">
        <v>5000</v>
      </c>
      <c r="G1646" s="13">
        <v>43201</v>
      </c>
      <c r="H1646" s="13">
        <v>43385</v>
      </c>
      <c r="I1646">
        <v>5000</v>
      </c>
      <c r="J1646">
        <v>0</v>
      </c>
      <c r="K1646">
        <v>5000</v>
      </c>
      <c r="N1646">
        <v>0</v>
      </c>
      <c r="O1646">
        <v>3</v>
      </c>
      <c r="P1646">
        <v>220</v>
      </c>
      <c r="T1646">
        <v>98.483333333333334</v>
      </c>
      <c r="W1646" t="s">
        <v>497</v>
      </c>
    </row>
    <row r="1647" spans="1:23" x14ac:dyDescent="0.25">
      <c r="A1647" t="s">
        <v>2097</v>
      </c>
      <c r="B1647" t="str">
        <f t="shared" si="26"/>
        <v>GQ1300000528</v>
      </c>
      <c r="C1647" t="s">
        <v>528</v>
      </c>
      <c r="D1647" t="s">
        <v>77</v>
      </c>
      <c r="E1647" t="s">
        <v>287</v>
      </c>
      <c r="F1647">
        <v>15000</v>
      </c>
      <c r="G1647" s="13">
        <v>43201</v>
      </c>
      <c r="H1647" s="13">
        <v>43567</v>
      </c>
      <c r="I1647">
        <v>13000</v>
      </c>
      <c r="J1647">
        <v>2000</v>
      </c>
      <c r="K1647">
        <v>15000</v>
      </c>
      <c r="N1647">
        <v>0</v>
      </c>
      <c r="O1647">
        <v>9.3000000000000007</v>
      </c>
      <c r="P1647">
        <v>113.33329999999999</v>
      </c>
      <c r="T1647">
        <v>90.596666666666664</v>
      </c>
      <c r="W1647" t="s">
        <v>497</v>
      </c>
    </row>
    <row r="1648" spans="1:23" x14ac:dyDescent="0.25">
      <c r="A1648" t="s">
        <v>2098</v>
      </c>
      <c r="B1648" t="str">
        <f t="shared" si="26"/>
        <v>CM1300000401</v>
      </c>
      <c r="C1648" t="s">
        <v>225</v>
      </c>
      <c r="D1648" t="s">
        <v>77</v>
      </c>
      <c r="E1648" t="s">
        <v>287</v>
      </c>
      <c r="F1648">
        <v>5000</v>
      </c>
      <c r="G1648" s="13">
        <v>43208</v>
      </c>
      <c r="H1648" s="13">
        <v>43574</v>
      </c>
      <c r="I1648">
        <v>5000</v>
      </c>
      <c r="J1648">
        <v>0</v>
      </c>
      <c r="K1648">
        <v>5000</v>
      </c>
      <c r="N1648">
        <v>9.5238095238095237</v>
      </c>
      <c r="O1648">
        <v>3.4</v>
      </c>
      <c r="P1648">
        <v>85.714299999999994</v>
      </c>
      <c r="T1648">
        <v>96.562222222222218</v>
      </c>
      <c r="W1648" t="s">
        <v>497</v>
      </c>
    </row>
    <row r="1649" spans="1:23" x14ac:dyDescent="0.25">
      <c r="A1649" t="s">
        <v>2099</v>
      </c>
      <c r="B1649" t="str">
        <f t="shared" si="26"/>
        <v>GA1200000675</v>
      </c>
      <c r="C1649" t="s">
        <v>227</v>
      </c>
      <c r="D1649" t="s">
        <v>77</v>
      </c>
      <c r="E1649" t="s">
        <v>82</v>
      </c>
      <c r="F1649">
        <v>12000</v>
      </c>
      <c r="G1649" s="13">
        <v>43208</v>
      </c>
      <c r="H1649" s="13">
        <v>43392</v>
      </c>
      <c r="I1649">
        <v>4300</v>
      </c>
      <c r="J1649">
        <v>7700</v>
      </c>
      <c r="K1649">
        <v>12000</v>
      </c>
      <c r="N1649">
        <v>0</v>
      </c>
      <c r="O1649">
        <v>4.3391999999999999</v>
      </c>
      <c r="P1649">
        <v>130.83330000000001</v>
      </c>
      <c r="T1649">
        <v>97.806293333333329</v>
      </c>
      <c r="W1649" t="s">
        <v>497</v>
      </c>
    </row>
    <row r="1650" spans="1:23" x14ac:dyDescent="0.25">
      <c r="A1650" t="s">
        <v>2100</v>
      </c>
      <c r="B1650" t="str">
        <f t="shared" si="26"/>
        <v>GA1100000551</v>
      </c>
      <c r="C1650" t="s">
        <v>227</v>
      </c>
      <c r="D1650" t="s">
        <v>77</v>
      </c>
      <c r="E1650" t="s">
        <v>78</v>
      </c>
      <c r="F1650">
        <v>16000</v>
      </c>
      <c r="G1650" s="13">
        <v>43215</v>
      </c>
      <c r="H1650" s="13">
        <v>43308</v>
      </c>
      <c r="I1650">
        <v>6733</v>
      </c>
      <c r="J1650">
        <v>9267</v>
      </c>
      <c r="K1650">
        <v>16000</v>
      </c>
      <c r="N1650">
        <v>0</v>
      </c>
      <c r="O1650">
        <v>4.2393999999999998</v>
      </c>
      <c r="P1650">
        <v>124.375</v>
      </c>
      <c r="T1650">
        <v>98.928373888888885</v>
      </c>
      <c r="W1650" t="s">
        <v>497</v>
      </c>
    </row>
    <row r="1651" spans="1:23" x14ac:dyDescent="0.25">
      <c r="A1651" t="s">
        <v>2101</v>
      </c>
      <c r="B1651" t="str">
        <f t="shared" si="26"/>
        <v>CM1100000601</v>
      </c>
      <c r="C1651" t="s">
        <v>225</v>
      </c>
      <c r="D1651" t="s">
        <v>77</v>
      </c>
      <c r="E1651" t="s">
        <v>78</v>
      </c>
      <c r="F1651">
        <v>7000</v>
      </c>
      <c r="G1651" s="13">
        <v>43215</v>
      </c>
      <c r="H1651" s="13">
        <v>43308</v>
      </c>
      <c r="I1651">
        <v>6500</v>
      </c>
      <c r="J1651">
        <v>500</v>
      </c>
      <c r="K1651">
        <v>7000</v>
      </c>
      <c r="N1651">
        <v>19.047619047619047</v>
      </c>
      <c r="O1651">
        <v>2.9036</v>
      </c>
      <c r="P1651">
        <v>150.1429</v>
      </c>
      <c r="T1651">
        <v>99.266034444444443</v>
      </c>
      <c r="W1651" t="s">
        <v>497</v>
      </c>
    </row>
    <row r="1652" spans="1:23" x14ac:dyDescent="0.25">
      <c r="A1652" t="s">
        <v>2102</v>
      </c>
      <c r="B1652" t="str">
        <f t="shared" si="26"/>
        <v>CG1100000146</v>
      </c>
      <c r="C1652" t="s">
        <v>229</v>
      </c>
      <c r="D1652" t="s">
        <v>77</v>
      </c>
      <c r="E1652" t="s">
        <v>78</v>
      </c>
      <c r="F1652">
        <v>4010</v>
      </c>
      <c r="G1652" s="13">
        <v>43215</v>
      </c>
      <c r="H1652" s="13">
        <v>43308</v>
      </c>
      <c r="I1652">
        <v>0</v>
      </c>
      <c r="J1652">
        <v>4010</v>
      </c>
      <c r="K1652">
        <v>4010</v>
      </c>
      <c r="N1652">
        <v>13.043478260869565</v>
      </c>
      <c r="O1652">
        <v>5.9626000000000001</v>
      </c>
      <c r="P1652">
        <v>83.5</v>
      </c>
      <c r="T1652">
        <v>98.492787222222219</v>
      </c>
      <c r="W1652" t="s">
        <v>497</v>
      </c>
    </row>
    <row r="1653" spans="1:23" x14ac:dyDescent="0.25">
      <c r="A1653" t="s">
        <v>2103</v>
      </c>
      <c r="B1653" t="str">
        <f t="shared" si="26"/>
        <v>CF1200000286</v>
      </c>
      <c r="C1653" t="s">
        <v>634</v>
      </c>
      <c r="D1653" t="s">
        <v>77</v>
      </c>
      <c r="E1653" t="s">
        <v>82</v>
      </c>
      <c r="F1653">
        <v>5500</v>
      </c>
      <c r="G1653" s="13">
        <v>43215</v>
      </c>
      <c r="H1653" s="13">
        <v>43399</v>
      </c>
      <c r="I1653">
        <v>5500</v>
      </c>
      <c r="J1653">
        <v>0</v>
      </c>
      <c r="K1653">
        <v>5500</v>
      </c>
      <c r="N1653">
        <v>0</v>
      </c>
      <c r="O1653">
        <v>5.3182</v>
      </c>
      <c r="P1653">
        <v>100</v>
      </c>
      <c r="T1653">
        <v>97.311354444444447</v>
      </c>
      <c r="W1653" t="s">
        <v>497</v>
      </c>
    </row>
    <row r="1654" spans="1:23" x14ac:dyDescent="0.25">
      <c r="A1654" t="s">
        <v>2104</v>
      </c>
      <c r="B1654" t="str">
        <f t="shared" si="26"/>
        <v>CM1200000626</v>
      </c>
      <c r="C1654" t="s">
        <v>225</v>
      </c>
      <c r="D1654" t="s">
        <v>77</v>
      </c>
      <c r="E1654" t="s">
        <v>82</v>
      </c>
      <c r="F1654">
        <v>7000</v>
      </c>
      <c r="G1654" s="13">
        <v>43222</v>
      </c>
      <c r="H1654" s="13">
        <v>43406</v>
      </c>
      <c r="I1654">
        <v>6000</v>
      </c>
      <c r="J1654">
        <v>1000</v>
      </c>
      <c r="K1654">
        <v>7000</v>
      </c>
      <c r="N1654">
        <v>0</v>
      </c>
      <c r="O1654">
        <v>3.0964</v>
      </c>
      <c r="P1654">
        <v>164.28569999999999</v>
      </c>
      <c r="T1654">
        <v>98.434597777777782</v>
      </c>
      <c r="W1654" t="s">
        <v>497</v>
      </c>
    </row>
    <row r="1655" spans="1:23" x14ac:dyDescent="0.25">
      <c r="A1655" t="s">
        <v>2105</v>
      </c>
      <c r="B1655" t="str">
        <f t="shared" si="26"/>
        <v>CM1100000619</v>
      </c>
      <c r="C1655" t="s">
        <v>225</v>
      </c>
      <c r="D1655" t="s">
        <v>77</v>
      </c>
      <c r="E1655" t="s">
        <v>78</v>
      </c>
      <c r="F1655">
        <v>7000</v>
      </c>
      <c r="G1655" s="13">
        <v>43229</v>
      </c>
      <c r="H1655" s="13">
        <v>43322</v>
      </c>
      <c r="I1655">
        <v>5688</v>
      </c>
      <c r="J1655">
        <v>1312</v>
      </c>
      <c r="K1655">
        <v>7000</v>
      </c>
      <c r="N1655">
        <v>19.047619047619047</v>
      </c>
      <c r="O1655">
        <v>2.9964</v>
      </c>
      <c r="P1655">
        <v>235.71430000000001</v>
      </c>
      <c r="T1655">
        <v>99.242576666666665</v>
      </c>
      <c r="W1655" t="s">
        <v>497</v>
      </c>
    </row>
    <row r="1656" spans="1:23" x14ac:dyDescent="0.25">
      <c r="A1656" t="s">
        <v>2106</v>
      </c>
      <c r="B1656" t="str">
        <f t="shared" si="26"/>
        <v>GA1100000569</v>
      </c>
      <c r="C1656" t="s">
        <v>227</v>
      </c>
      <c r="D1656" t="s">
        <v>77</v>
      </c>
      <c r="E1656" t="s">
        <v>78</v>
      </c>
      <c r="F1656">
        <v>15000</v>
      </c>
      <c r="G1656" s="13">
        <v>43229</v>
      </c>
      <c r="H1656" s="13">
        <v>43322</v>
      </c>
      <c r="I1656">
        <v>3000</v>
      </c>
      <c r="J1656">
        <v>12000</v>
      </c>
      <c r="K1656">
        <v>15000</v>
      </c>
      <c r="N1656">
        <v>0</v>
      </c>
      <c r="O1656">
        <v>4.0330000000000004</v>
      </c>
      <c r="P1656">
        <v>246.66669999999999</v>
      </c>
      <c r="T1656">
        <v>98.980547222222228</v>
      </c>
      <c r="W1656" t="s">
        <v>497</v>
      </c>
    </row>
    <row r="1657" spans="1:23" x14ac:dyDescent="0.25">
      <c r="A1657" t="s">
        <v>2107</v>
      </c>
      <c r="B1657" t="str">
        <f t="shared" si="26"/>
        <v>GA1200000683</v>
      </c>
      <c r="C1657" t="s">
        <v>227</v>
      </c>
      <c r="D1657" t="s">
        <v>77</v>
      </c>
      <c r="E1657" t="s">
        <v>82</v>
      </c>
      <c r="F1657">
        <v>15000</v>
      </c>
      <c r="G1657" s="13">
        <v>43236</v>
      </c>
      <c r="H1657" s="13">
        <v>43420</v>
      </c>
      <c r="I1657">
        <v>5000</v>
      </c>
      <c r="J1657">
        <v>10000</v>
      </c>
      <c r="K1657">
        <v>15000</v>
      </c>
      <c r="N1657">
        <v>0</v>
      </c>
      <c r="O1657">
        <v>4.0266999999999999</v>
      </c>
      <c r="P1657">
        <v>247.33330000000001</v>
      </c>
      <c r="T1657">
        <v>97.964279444444443</v>
      </c>
      <c r="W1657" t="s">
        <v>497</v>
      </c>
    </row>
    <row r="1658" spans="1:23" x14ac:dyDescent="0.25">
      <c r="A1658" t="s">
        <v>2108</v>
      </c>
      <c r="B1658" t="str">
        <f t="shared" si="26"/>
        <v>CM1100000627</v>
      </c>
      <c r="C1658" t="s">
        <v>225</v>
      </c>
      <c r="D1658" t="s">
        <v>77</v>
      </c>
      <c r="E1658" t="s">
        <v>78</v>
      </c>
      <c r="F1658">
        <v>7000</v>
      </c>
      <c r="G1658" s="13">
        <v>43236</v>
      </c>
      <c r="H1658" s="13">
        <v>43329</v>
      </c>
      <c r="I1658">
        <v>7000</v>
      </c>
      <c r="J1658">
        <v>0</v>
      </c>
      <c r="K1658">
        <v>7000</v>
      </c>
      <c r="N1658">
        <v>9.5238095238095237</v>
      </c>
      <c r="O1658">
        <v>3.0714000000000001</v>
      </c>
      <c r="P1658">
        <v>142.8571</v>
      </c>
      <c r="T1658">
        <v>99.223618333333334</v>
      </c>
      <c r="W1658" t="s">
        <v>497</v>
      </c>
    </row>
    <row r="1659" spans="1:23" x14ac:dyDescent="0.25">
      <c r="A1659" t="s">
        <v>2109</v>
      </c>
      <c r="B1659" t="str">
        <f t="shared" si="26"/>
        <v>CG1200000046</v>
      </c>
      <c r="C1659" t="s">
        <v>229</v>
      </c>
      <c r="D1659" t="s">
        <v>77</v>
      </c>
      <c r="E1659" t="s">
        <v>82</v>
      </c>
      <c r="F1659">
        <v>2600</v>
      </c>
      <c r="G1659" s="13">
        <v>43236</v>
      </c>
      <c r="H1659" s="13">
        <v>43420</v>
      </c>
      <c r="I1659">
        <v>1500</v>
      </c>
      <c r="J1659">
        <v>1100</v>
      </c>
      <c r="K1659">
        <v>2600</v>
      </c>
      <c r="N1659">
        <v>17.391304347826086</v>
      </c>
      <c r="O1659">
        <v>6.2788000000000004</v>
      </c>
      <c r="P1659">
        <v>52</v>
      </c>
      <c r="T1659">
        <v>96.825717777777783</v>
      </c>
      <c r="W1659" t="s">
        <v>497</v>
      </c>
    </row>
    <row r="1660" spans="1:23" x14ac:dyDescent="0.25">
      <c r="A1660" t="s">
        <v>2110</v>
      </c>
      <c r="B1660" t="str">
        <f t="shared" si="26"/>
        <v>GQ1300000536</v>
      </c>
      <c r="C1660" t="s">
        <v>528</v>
      </c>
      <c r="D1660" t="s">
        <v>77</v>
      </c>
      <c r="E1660" t="s">
        <v>287</v>
      </c>
      <c r="F1660">
        <v>5000</v>
      </c>
      <c r="G1660" s="13">
        <v>43236</v>
      </c>
      <c r="H1660" s="13">
        <v>43602</v>
      </c>
      <c r="I1660">
        <v>3000</v>
      </c>
      <c r="J1660">
        <v>2000</v>
      </c>
      <c r="K1660">
        <v>5000</v>
      </c>
      <c r="N1660">
        <v>0</v>
      </c>
      <c r="O1660">
        <v>5.8</v>
      </c>
      <c r="P1660">
        <v>33.333329999999997</v>
      </c>
      <c r="T1660">
        <v>94.135555555555555</v>
      </c>
      <c r="W1660" t="s">
        <v>497</v>
      </c>
    </row>
    <row r="1661" spans="1:23" x14ac:dyDescent="0.25">
      <c r="A1661" t="s">
        <v>2111</v>
      </c>
      <c r="B1661" t="str">
        <f t="shared" si="26"/>
        <v>TD1200000172</v>
      </c>
      <c r="C1661" t="s">
        <v>237</v>
      </c>
      <c r="D1661" t="s">
        <v>77</v>
      </c>
      <c r="E1661" t="s">
        <v>82</v>
      </c>
      <c r="F1661">
        <v>22500</v>
      </c>
      <c r="G1661" s="13">
        <v>43236</v>
      </c>
      <c r="H1661" s="13">
        <v>43420</v>
      </c>
      <c r="I1661">
        <v>4500</v>
      </c>
      <c r="J1661">
        <v>18000</v>
      </c>
      <c r="K1661">
        <v>22500</v>
      </c>
      <c r="N1661">
        <v>0</v>
      </c>
      <c r="O1661">
        <v>5.6</v>
      </c>
      <c r="P1661">
        <v>100</v>
      </c>
      <c r="T1661">
        <v>97.168888888888887</v>
      </c>
      <c r="W1661" t="s">
        <v>497</v>
      </c>
    </row>
    <row r="1662" spans="1:23" x14ac:dyDescent="0.25">
      <c r="A1662" t="s">
        <v>2112</v>
      </c>
      <c r="B1662" t="str">
        <f t="shared" si="26"/>
        <v>TD1200000180</v>
      </c>
      <c r="C1662" t="s">
        <v>237</v>
      </c>
      <c r="D1662" t="s">
        <v>77</v>
      </c>
      <c r="E1662" t="s">
        <v>82</v>
      </c>
      <c r="F1662">
        <v>9100</v>
      </c>
      <c r="G1662" s="13">
        <v>43243</v>
      </c>
      <c r="H1662" s="13">
        <v>43427</v>
      </c>
      <c r="I1662">
        <v>0</v>
      </c>
      <c r="J1662">
        <v>9100</v>
      </c>
      <c r="K1662">
        <v>9100</v>
      </c>
      <c r="N1662">
        <v>0</v>
      </c>
      <c r="O1662">
        <v>6</v>
      </c>
      <c r="P1662">
        <v>99.128500000000003</v>
      </c>
      <c r="T1662">
        <v>96.966666666666669</v>
      </c>
      <c r="W1662" t="s">
        <v>497</v>
      </c>
    </row>
    <row r="1663" spans="1:23" x14ac:dyDescent="0.25">
      <c r="A1663" t="s">
        <v>2113</v>
      </c>
      <c r="B1663" t="str">
        <f t="shared" si="26"/>
        <v>CM1100000635</v>
      </c>
      <c r="C1663" t="s">
        <v>225</v>
      </c>
      <c r="D1663" t="s">
        <v>77</v>
      </c>
      <c r="E1663" t="s">
        <v>78</v>
      </c>
      <c r="F1663">
        <v>7000</v>
      </c>
      <c r="G1663" s="13">
        <v>43243</v>
      </c>
      <c r="H1663" s="13">
        <v>43336</v>
      </c>
      <c r="I1663">
        <v>4416</v>
      </c>
      <c r="J1663">
        <v>2584</v>
      </c>
      <c r="K1663">
        <v>7000</v>
      </c>
      <c r="N1663">
        <v>33.333333333333329</v>
      </c>
      <c r="O1663">
        <v>2.9821</v>
      </c>
      <c r="P1663">
        <v>215.34289999999999</v>
      </c>
      <c r="T1663">
        <v>99.246191388888889</v>
      </c>
      <c r="W1663" t="s">
        <v>497</v>
      </c>
    </row>
    <row r="1664" spans="1:23" x14ac:dyDescent="0.25">
      <c r="A1664" t="s">
        <v>2114</v>
      </c>
      <c r="B1664" t="str">
        <f t="shared" si="26"/>
        <v>GA1100000577</v>
      </c>
      <c r="C1664" t="s">
        <v>227</v>
      </c>
      <c r="D1664" t="s">
        <v>77</v>
      </c>
      <c r="E1664" t="s">
        <v>78</v>
      </c>
      <c r="F1664">
        <v>12500</v>
      </c>
      <c r="G1664" s="13">
        <v>43243</v>
      </c>
      <c r="H1664" s="13">
        <v>43336</v>
      </c>
      <c r="I1664">
        <v>3429</v>
      </c>
      <c r="J1664">
        <v>9071</v>
      </c>
      <c r="K1664">
        <v>12500</v>
      </c>
      <c r="N1664">
        <v>0</v>
      </c>
      <c r="O1664">
        <v>4.0220000000000002</v>
      </c>
      <c r="P1664">
        <v>197.6</v>
      </c>
      <c r="T1664">
        <v>98.983327777777774</v>
      </c>
      <c r="W1664" t="s">
        <v>497</v>
      </c>
    </row>
    <row r="1665" spans="1:23" x14ac:dyDescent="0.25">
      <c r="A1665" t="s">
        <v>2115</v>
      </c>
      <c r="B1665" t="str">
        <f t="shared" si="26"/>
        <v>GA1100000585</v>
      </c>
      <c r="C1665" t="s">
        <v>227</v>
      </c>
      <c r="D1665" t="s">
        <v>77</v>
      </c>
      <c r="E1665" t="s">
        <v>78</v>
      </c>
      <c r="F1665">
        <v>15000</v>
      </c>
      <c r="G1665" s="13">
        <v>43250</v>
      </c>
      <c r="H1665" s="13">
        <v>43343</v>
      </c>
      <c r="I1665">
        <v>4367</v>
      </c>
      <c r="J1665">
        <v>10633</v>
      </c>
      <c r="K1665">
        <v>15000</v>
      </c>
      <c r="N1665">
        <v>0</v>
      </c>
      <c r="O1665">
        <v>3.9866999999999999</v>
      </c>
      <c r="P1665">
        <v>206.7867</v>
      </c>
      <c r="T1665">
        <v>98.99225083333333</v>
      </c>
      <c r="W1665" t="s">
        <v>497</v>
      </c>
    </row>
    <row r="1666" spans="1:23" x14ac:dyDescent="0.25">
      <c r="A1666" t="s">
        <v>2116</v>
      </c>
      <c r="B1666" t="str">
        <f t="shared" si="26"/>
        <v>CM1100000643</v>
      </c>
      <c r="C1666" t="s">
        <v>225</v>
      </c>
      <c r="D1666" t="s">
        <v>77</v>
      </c>
      <c r="E1666" t="s">
        <v>78</v>
      </c>
      <c r="F1666">
        <v>10000</v>
      </c>
      <c r="G1666" s="13">
        <v>43257</v>
      </c>
      <c r="H1666" s="13">
        <v>43350</v>
      </c>
      <c r="I1666">
        <v>2901</v>
      </c>
      <c r="J1666">
        <v>7099</v>
      </c>
      <c r="K1666">
        <v>10000</v>
      </c>
      <c r="N1666">
        <v>0</v>
      </c>
      <c r="O1666">
        <v>2.91</v>
      </c>
      <c r="P1666">
        <v>370.1</v>
      </c>
      <c r="Q1666">
        <v>2.95</v>
      </c>
      <c r="R1666">
        <v>2.85</v>
      </c>
      <c r="S1666">
        <v>2.95</v>
      </c>
      <c r="T1666">
        <v>99.264416666666662</v>
      </c>
      <c r="W1666" t="s">
        <v>497</v>
      </c>
    </row>
    <row r="1667" spans="1:23" x14ac:dyDescent="0.25">
      <c r="A1667" t="s">
        <v>2117</v>
      </c>
      <c r="B1667" t="str">
        <f t="shared" si="26"/>
        <v>CG1200000053</v>
      </c>
      <c r="C1667" t="s">
        <v>229</v>
      </c>
      <c r="D1667" t="s">
        <v>77</v>
      </c>
      <c r="E1667" t="s">
        <v>78</v>
      </c>
      <c r="F1667">
        <v>4000</v>
      </c>
      <c r="G1667" s="13">
        <v>43257</v>
      </c>
      <c r="H1667" s="13">
        <v>43441</v>
      </c>
      <c r="I1667">
        <v>142</v>
      </c>
      <c r="J1667">
        <v>3858</v>
      </c>
      <c r="K1667">
        <v>4000</v>
      </c>
      <c r="N1667">
        <v>25</v>
      </c>
      <c r="O1667">
        <v>6.4062999999999999</v>
      </c>
      <c r="P1667">
        <v>132.5</v>
      </c>
      <c r="Q1667">
        <v>6.5</v>
      </c>
      <c r="R1667">
        <v>6.25</v>
      </c>
      <c r="S1667">
        <v>6.5</v>
      </c>
      <c r="T1667">
        <v>96.761259444444448</v>
      </c>
      <c r="W1667" t="s">
        <v>497</v>
      </c>
    </row>
    <row r="1668" spans="1:23" x14ac:dyDescent="0.25">
      <c r="A1668" t="s">
        <v>2118</v>
      </c>
      <c r="B1668" t="str">
        <f t="shared" si="26"/>
        <v>GA1100000593</v>
      </c>
      <c r="C1668" t="s">
        <v>227</v>
      </c>
      <c r="D1668" t="s">
        <v>77</v>
      </c>
      <c r="E1668" t="s">
        <v>78</v>
      </c>
      <c r="F1668">
        <v>15000</v>
      </c>
      <c r="G1668" s="13">
        <v>43257</v>
      </c>
      <c r="H1668" s="13">
        <v>43350</v>
      </c>
      <c r="I1668">
        <v>6600</v>
      </c>
      <c r="J1668">
        <v>8400</v>
      </c>
      <c r="K1668">
        <v>15000</v>
      </c>
      <c r="N1668">
        <v>0</v>
      </c>
      <c r="O1668">
        <v>3.95</v>
      </c>
      <c r="P1668">
        <v>277.33</v>
      </c>
      <c r="Q1668">
        <v>4</v>
      </c>
      <c r="R1668">
        <v>3.8</v>
      </c>
      <c r="S1668">
        <v>4</v>
      </c>
      <c r="T1668">
        <v>99.001527777777781</v>
      </c>
      <c r="W1668" t="s">
        <v>497</v>
      </c>
    </row>
    <row r="1669" spans="1:23" x14ac:dyDescent="0.25">
      <c r="A1669" t="s">
        <v>2119</v>
      </c>
      <c r="B1669" t="str">
        <f t="shared" si="26"/>
        <v>GA1200000691</v>
      </c>
      <c r="C1669" t="s">
        <v>227</v>
      </c>
      <c r="D1669" t="s">
        <v>77</v>
      </c>
      <c r="E1669" t="s">
        <v>78</v>
      </c>
      <c r="F1669">
        <v>12000</v>
      </c>
      <c r="G1669" s="13">
        <v>43264</v>
      </c>
      <c r="H1669" s="13">
        <v>43448</v>
      </c>
      <c r="I1669">
        <v>2280</v>
      </c>
      <c r="J1669">
        <v>9720</v>
      </c>
      <c r="K1669">
        <v>12000</v>
      </c>
      <c r="N1669">
        <v>0</v>
      </c>
      <c r="O1669">
        <v>3.98</v>
      </c>
      <c r="P1669">
        <v>338.33</v>
      </c>
      <c r="Q1669">
        <v>4</v>
      </c>
      <c r="R1669">
        <v>3.9</v>
      </c>
      <c r="S1669">
        <v>4</v>
      </c>
      <c r="T1669">
        <v>97.987888888888889</v>
      </c>
      <c r="W1669" t="s">
        <v>497</v>
      </c>
    </row>
    <row r="1670" spans="1:23" x14ac:dyDescent="0.25">
      <c r="A1670" t="s">
        <v>2120</v>
      </c>
      <c r="B1670" t="str">
        <f t="shared" si="26"/>
        <v>GQ1300000544</v>
      </c>
      <c r="C1670" t="s">
        <v>528</v>
      </c>
      <c r="D1670" t="s">
        <v>77</v>
      </c>
      <c r="E1670" t="s">
        <v>287</v>
      </c>
      <c r="F1670">
        <v>3000</v>
      </c>
      <c r="G1670" s="13">
        <v>43264</v>
      </c>
      <c r="H1670" s="13">
        <v>43630</v>
      </c>
      <c r="I1670">
        <v>0</v>
      </c>
      <c r="J1670">
        <v>3000</v>
      </c>
      <c r="K1670">
        <v>3000</v>
      </c>
      <c r="N1670">
        <v>0</v>
      </c>
      <c r="O1670">
        <v>7.95</v>
      </c>
      <c r="P1670">
        <v>20</v>
      </c>
      <c r="Q1670">
        <v>7.95</v>
      </c>
      <c r="R1670">
        <v>7.95</v>
      </c>
      <c r="S1670">
        <v>7.95</v>
      </c>
      <c r="T1670">
        <v>91.961666666666673</v>
      </c>
      <c r="W1670" t="s">
        <v>497</v>
      </c>
    </row>
    <row r="1671" spans="1:23" x14ac:dyDescent="0.25">
      <c r="A1671" t="s">
        <v>2121</v>
      </c>
      <c r="B1671" t="str">
        <f t="shared" si="26"/>
        <v>TD1200000198</v>
      </c>
      <c r="C1671" t="s">
        <v>237</v>
      </c>
      <c r="D1671" t="s">
        <v>77</v>
      </c>
      <c r="E1671" t="s">
        <v>78</v>
      </c>
      <c r="F1671">
        <v>13000</v>
      </c>
      <c r="G1671" s="13">
        <v>43264</v>
      </c>
      <c r="H1671" s="13">
        <v>43448</v>
      </c>
      <c r="I1671">
        <v>10000</v>
      </c>
      <c r="J1671">
        <v>3000</v>
      </c>
      <c r="K1671">
        <v>13000</v>
      </c>
      <c r="N1671">
        <v>0</v>
      </c>
      <c r="O1671">
        <v>6.46</v>
      </c>
      <c r="P1671">
        <v>99.62</v>
      </c>
      <c r="Q1671">
        <v>7</v>
      </c>
      <c r="R1671">
        <v>6</v>
      </c>
      <c r="S1671">
        <v>7</v>
      </c>
      <c r="T1671">
        <v>96.734111111111105</v>
      </c>
      <c r="W1671" t="s">
        <v>497</v>
      </c>
    </row>
    <row r="1672" spans="1:23" x14ac:dyDescent="0.25">
      <c r="A1672" t="s">
        <v>2122</v>
      </c>
      <c r="B1672" t="str">
        <f t="shared" si="26"/>
        <v>GA1200000709</v>
      </c>
      <c r="C1672" t="s">
        <v>227</v>
      </c>
      <c r="D1672" t="s">
        <v>77</v>
      </c>
      <c r="E1672" t="s">
        <v>78</v>
      </c>
      <c r="F1672">
        <v>12000</v>
      </c>
      <c r="G1672" s="13">
        <v>43271</v>
      </c>
      <c r="H1672" s="13">
        <v>43455</v>
      </c>
      <c r="I1672">
        <v>2083</v>
      </c>
      <c r="J1672">
        <v>9917</v>
      </c>
      <c r="K1672">
        <v>12000</v>
      </c>
      <c r="N1672">
        <v>0</v>
      </c>
      <c r="O1672">
        <v>3.61</v>
      </c>
      <c r="P1672">
        <v>242.17</v>
      </c>
      <c r="Q1672">
        <v>3.9</v>
      </c>
      <c r="R1672">
        <v>3.45</v>
      </c>
      <c r="S1672">
        <v>3.9</v>
      </c>
      <c r="T1672">
        <v>98.174944444444449</v>
      </c>
      <c r="W1672" t="s">
        <v>497</v>
      </c>
    </row>
    <row r="1673" spans="1:23" x14ac:dyDescent="0.25">
      <c r="A1673" t="s">
        <v>2123</v>
      </c>
      <c r="B1673" t="str">
        <f t="shared" si="26"/>
        <v>CG1200000061</v>
      </c>
      <c r="C1673" t="s">
        <v>229</v>
      </c>
      <c r="D1673" t="s">
        <v>77</v>
      </c>
      <c r="E1673" t="s">
        <v>78</v>
      </c>
      <c r="F1673">
        <v>2000</v>
      </c>
      <c r="G1673" s="13">
        <v>43271</v>
      </c>
      <c r="H1673" s="13">
        <v>43455</v>
      </c>
      <c r="I1673">
        <v>158</v>
      </c>
      <c r="J1673">
        <v>1842</v>
      </c>
      <c r="K1673">
        <v>2000</v>
      </c>
      <c r="N1673">
        <v>16.666666666666664</v>
      </c>
      <c r="O1673">
        <v>6.4</v>
      </c>
      <c r="P1673">
        <v>43.16</v>
      </c>
      <c r="Q1673">
        <v>6.4</v>
      </c>
      <c r="R1673">
        <v>6.4</v>
      </c>
      <c r="S1673">
        <v>6.4</v>
      </c>
      <c r="T1673">
        <v>96.76444444444445</v>
      </c>
      <c r="W1673" t="s">
        <v>497</v>
      </c>
    </row>
    <row r="1674" spans="1:23" x14ac:dyDescent="0.25">
      <c r="A1674" t="s">
        <v>2124</v>
      </c>
      <c r="B1674" t="str">
        <f t="shared" si="26"/>
        <v>CM1200000634</v>
      </c>
      <c r="C1674" t="s">
        <v>225</v>
      </c>
      <c r="D1674" t="s">
        <v>77</v>
      </c>
      <c r="E1674" t="s">
        <v>78</v>
      </c>
      <c r="F1674">
        <v>7000</v>
      </c>
      <c r="G1674" s="13">
        <v>43271</v>
      </c>
      <c r="H1674" s="13">
        <v>43455</v>
      </c>
      <c r="I1674">
        <v>1272</v>
      </c>
      <c r="J1674">
        <v>5728</v>
      </c>
      <c r="K1674">
        <v>7000</v>
      </c>
      <c r="N1674">
        <v>0</v>
      </c>
      <c r="O1674">
        <v>2.7</v>
      </c>
      <c r="P1674">
        <v>378</v>
      </c>
      <c r="Q1674">
        <v>2.95</v>
      </c>
      <c r="R1674">
        <v>2.5</v>
      </c>
      <c r="S1674">
        <v>2.95</v>
      </c>
      <c r="T1674">
        <v>98.635000000000005</v>
      </c>
      <c r="W1674" t="s">
        <v>497</v>
      </c>
    </row>
    <row r="1675" spans="1:23" x14ac:dyDescent="0.25">
      <c r="A1675" t="s">
        <v>2125</v>
      </c>
      <c r="B1675" t="str">
        <f t="shared" si="26"/>
        <v>CF1200000294</v>
      </c>
      <c r="C1675" t="s">
        <v>634</v>
      </c>
      <c r="D1675" t="s">
        <v>77</v>
      </c>
      <c r="E1675" t="s">
        <v>78</v>
      </c>
      <c r="F1675">
        <v>4000</v>
      </c>
      <c r="G1675" s="13">
        <v>43271</v>
      </c>
      <c r="H1675" s="13">
        <v>43455</v>
      </c>
      <c r="I1675">
        <v>4000</v>
      </c>
      <c r="J1675">
        <v>0</v>
      </c>
      <c r="K1675">
        <v>4000</v>
      </c>
      <c r="N1675">
        <v>25</v>
      </c>
      <c r="O1675">
        <v>5.125</v>
      </c>
      <c r="P1675">
        <v>100</v>
      </c>
      <c r="Q1675">
        <v>5.5</v>
      </c>
      <c r="R1675">
        <v>5</v>
      </c>
      <c r="S1675">
        <v>5.5</v>
      </c>
      <c r="T1675">
        <v>97.40902777777778</v>
      </c>
      <c r="W1675" t="s">
        <v>497</v>
      </c>
    </row>
    <row r="1676" spans="1:23" x14ac:dyDescent="0.25">
      <c r="A1676" t="s">
        <v>2126</v>
      </c>
      <c r="B1676" t="str">
        <f t="shared" si="26"/>
        <v>TD1300000353</v>
      </c>
      <c r="C1676" t="s">
        <v>237</v>
      </c>
      <c r="D1676" t="s">
        <v>77</v>
      </c>
      <c r="E1676" t="s">
        <v>78</v>
      </c>
      <c r="F1676">
        <v>36111</v>
      </c>
      <c r="G1676" s="13">
        <v>43276</v>
      </c>
      <c r="H1676" s="13">
        <v>43640</v>
      </c>
      <c r="I1676">
        <v>31611</v>
      </c>
      <c r="J1676">
        <v>4500</v>
      </c>
      <c r="K1676">
        <v>36111</v>
      </c>
      <c r="N1676">
        <v>0</v>
      </c>
      <c r="O1676">
        <v>6</v>
      </c>
      <c r="P1676">
        <v>99.92</v>
      </c>
      <c r="Q1676">
        <v>6</v>
      </c>
      <c r="R1676">
        <v>6</v>
      </c>
      <c r="S1676">
        <v>6</v>
      </c>
      <c r="T1676">
        <v>93.966666666666669</v>
      </c>
      <c r="W1676" t="s">
        <v>497</v>
      </c>
    </row>
    <row r="1677" spans="1:23" x14ac:dyDescent="0.25">
      <c r="A1677" t="s">
        <v>2127</v>
      </c>
      <c r="B1677" t="str">
        <f t="shared" si="26"/>
        <v>CM1200000642</v>
      </c>
      <c r="C1677" t="s">
        <v>225</v>
      </c>
      <c r="D1677" t="s">
        <v>77</v>
      </c>
      <c r="E1677" t="s">
        <v>78</v>
      </c>
      <c r="F1677">
        <v>7000</v>
      </c>
      <c r="G1677" s="13">
        <v>43278</v>
      </c>
      <c r="H1677" s="13">
        <v>43462</v>
      </c>
      <c r="I1677">
        <v>7000</v>
      </c>
      <c r="J1677">
        <v>0</v>
      </c>
      <c r="K1677">
        <v>7000</v>
      </c>
      <c r="N1677">
        <v>0</v>
      </c>
      <c r="O1677">
        <v>2.81</v>
      </c>
      <c r="P1677">
        <v>232.14</v>
      </c>
      <c r="Q1677">
        <v>2.95</v>
      </c>
      <c r="R1677">
        <v>2.75</v>
      </c>
      <c r="S1677">
        <v>2.95</v>
      </c>
      <c r="T1677">
        <v>98.579388888888886</v>
      </c>
      <c r="W1677" t="s">
        <v>497</v>
      </c>
    </row>
    <row r="1678" spans="1:23" x14ac:dyDescent="0.25">
      <c r="A1678" t="s">
        <v>2128</v>
      </c>
      <c r="B1678" t="str">
        <f t="shared" si="26"/>
        <v>GA1100000601</v>
      </c>
      <c r="C1678" t="s">
        <v>227</v>
      </c>
      <c r="D1678" t="s">
        <v>77</v>
      </c>
      <c r="E1678" t="s">
        <v>78</v>
      </c>
      <c r="F1678">
        <v>12000</v>
      </c>
      <c r="G1678" s="13">
        <v>43278</v>
      </c>
      <c r="H1678" s="13">
        <v>43371</v>
      </c>
      <c r="I1678">
        <v>4167</v>
      </c>
      <c r="J1678">
        <v>7833</v>
      </c>
      <c r="K1678">
        <v>12000</v>
      </c>
      <c r="N1678">
        <v>0</v>
      </c>
      <c r="O1678">
        <v>3.77</v>
      </c>
      <c r="P1678">
        <v>275</v>
      </c>
      <c r="Q1678">
        <v>3.9</v>
      </c>
      <c r="R1678">
        <v>3.6</v>
      </c>
      <c r="S1678">
        <v>3.9</v>
      </c>
      <c r="T1678">
        <v>99.047027777777771</v>
      </c>
      <c r="W1678" t="s">
        <v>497</v>
      </c>
    </row>
    <row r="1679" spans="1:23" x14ac:dyDescent="0.25">
      <c r="A1679" t="s">
        <v>2129</v>
      </c>
      <c r="B1679" t="str">
        <f t="shared" si="26"/>
        <v>CM1200000659</v>
      </c>
      <c r="C1679" t="s">
        <v>225</v>
      </c>
      <c r="D1679" t="s">
        <v>77</v>
      </c>
      <c r="E1679" t="s">
        <v>82</v>
      </c>
      <c r="F1679">
        <v>7000</v>
      </c>
      <c r="G1679" s="13">
        <v>43306</v>
      </c>
      <c r="H1679" s="13">
        <v>43490</v>
      </c>
      <c r="I1679">
        <v>6433</v>
      </c>
      <c r="J1679">
        <v>567</v>
      </c>
      <c r="K1679">
        <v>7000</v>
      </c>
      <c r="N1679">
        <v>23.809523809523807</v>
      </c>
      <c r="O1679">
        <v>2.9</v>
      </c>
      <c r="P1679">
        <v>265.39999999999998</v>
      </c>
      <c r="Q1679">
        <v>2.95</v>
      </c>
      <c r="R1679">
        <v>2.8</v>
      </c>
      <c r="S1679">
        <v>2.95</v>
      </c>
      <c r="T1679">
        <v>98.533888888888896</v>
      </c>
      <c r="W1679" t="s">
        <v>497</v>
      </c>
    </row>
    <row r="1680" spans="1:23" x14ac:dyDescent="0.25">
      <c r="A1680" t="s">
        <v>2130</v>
      </c>
      <c r="B1680" t="str">
        <f t="shared" si="26"/>
        <v>GA1200000717</v>
      </c>
      <c r="C1680" t="s">
        <v>227</v>
      </c>
      <c r="D1680" t="s">
        <v>77</v>
      </c>
      <c r="E1680" t="s">
        <v>82</v>
      </c>
      <c r="F1680">
        <v>8000</v>
      </c>
      <c r="G1680" s="13">
        <v>43285</v>
      </c>
      <c r="H1680" s="13">
        <v>43469</v>
      </c>
      <c r="I1680">
        <v>6050</v>
      </c>
      <c r="J1680">
        <v>1950</v>
      </c>
      <c r="K1680">
        <v>8000</v>
      </c>
      <c r="N1680">
        <v>0</v>
      </c>
      <c r="O1680">
        <v>3.6484000000000001</v>
      </c>
      <c r="P1680">
        <v>338.125</v>
      </c>
      <c r="Q1680">
        <v>3.75</v>
      </c>
      <c r="R1680">
        <v>3.5</v>
      </c>
      <c r="S1680">
        <v>3.75</v>
      </c>
      <c r="T1680">
        <v>98.155531111111117</v>
      </c>
      <c r="W1680" t="s">
        <v>497</v>
      </c>
    </row>
    <row r="1681" spans="1:23" x14ac:dyDescent="0.25">
      <c r="A1681" t="s">
        <v>2131</v>
      </c>
      <c r="B1681" t="str">
        <f t="shared" si="26"/>
        <v>GQ1300000551</v>
      </c>
      <c r="C1681" t="s">
        <v>528</v>
      </c>
      <c r="D1681" t="s">
        <v>77</v>
      </c>
      <c r="E1681" t="s">
        <v>287</v>
      </c>
      <c r="F1681">
        <v>11000</v>
      </c>
      <c r="G1681" s="13">
        <v>43292</v>
      </c>
      <c r="H1681" s="13">
        <v>43658</v>
      </c>
      <c r="I1681">
        <v>11000</v>
      </c>
      <c r="J1681">
        <v>0</v>
      </c>
      <c r="K1681">
        <v>11000</v>
      </c>
      <c r="N1681">
        <v>0</v>
      </c>
      <c r="O1681">
        <v>8.6818000000000008</v>
      </c>
      <c r="P1681">
        <v>73.333299999999994</v>
      </c>
      <c r="Q1681">
        <v>9.5</v>
      </c>
      <c r="R1681">
        <v>8</v>
      </c>
      <c r="S1681">
        <v>9.5</v>
      </c>
      <c r="T1681">
        <v>91.221735555555554</v>
      </c>
      <c r="W1681" t="s">
        <v>497</v>
      </c>
    </row>
    <row r="1682" spans="1:23" x14ac:dyDescent="0.25">
      <c r="A1682" t="s">
        <v>2132</v>
      </c>
      <c r="B1682" t="str">
        <f t="shared" si="26"/>
        <v>CM1100000650</v>
      </c>
      <c r="C1682" t="s">
        <v>225</v>
      </c>
      <c r="D1682" t="s">
        <v>77</v>
      </c>
      <c r="E1682" t="s">
        <v>78</v>
      </c>
      <c r="F1682">
        <v>7000</v>
      </c>
      <c r="G1682" s="13">
        <v>43292</v>
      </c>
      <c r="H1682" s="13">
        <v>43385</v>
      </c>
      <c r="I1682">
        <v>6647</v>
      </c>
      <c r="J1682">
        <v>353</v>
      </c>
      <c r="K1682">
        <v>7000</v>
      </c>
      <c r="N1682">
        <v>47.619047619047613</v>
      </c>
      <c r="O1682">
        <v>2.6071</v>
      </c>
      <c r="P1682">
        <v>459</v>
      </c>
      <c r="Q1682">
        <v>2.75</v>
      </c>
      <c r="R1682">
        <v>2.5</v>
      </c>
      <c r="S1682">
        <v>2.75</v>
      </c>
      <c r="T1682">
        <v>99.340983055555554</v>
      </c>
      <c r="W1682" t="s">
        <v>497</v>
      </c>
    </row>
    <row r="1683" spans="1:23" x14ac:dyDescent="0.25">
      <c r="A1683" t="s">
        <v>2133</v>
      </c>
      <c r="B1683" t="str">
        <f t="shared" si="26"/>
        <v>GA1100000619</v>
      </c>
      <c r="C1683" t="s">
        <v>227</v>
      </c>
      <c r="D1683" t="s">
        <v>77</v>
      </c>
      <c r="E1683" t="s">
        <v>78</v>
      </c>
      <c r="F1683">
        <v>14000</v>
      </c>
      <c r="G1683" s="13">
        <v>43292</v>
      </c>
      <c r="H1683" s="13">
        <v>43385</v>
      </c>
      <c r="I1683">
        <v>1653</v>
      </c>
      <c r="J1683">
        <v>12347</v>
      </c>
      <c r="K1683">
        <v>14000</v>
      </c>
      <c r="N1683">
        <v>0</v>
      </c>
      <c r="O1683">
        <v>3.3542000000000001</v>
      </c>
      <c r="P1683">
        <v>281.05</v>
      </c>
      <c r="Q1683">
        <v>3.65</v>
      </c>
      <c r="R1683">
        <v>3.1</v>
      </c>
      <c r="S1683">
        <v>3.65</v>
      </c>
      <c r="T1683">
        <v>99.15213277777778</v>
      </c>
      <c r="W1683" t="s">
        <v>497</v>
      </c>
    </row>
    <row r="1684" spans="1:23" x14ac:dyDescent="0.25">
      <c r="A1684" t="s">
        <v>2134</v>
      </c>
      <c r="B1684" t="str">
        <f t="shared" si="26"/>
        <v>CG1200000079</v>
      </c>
      <c r="C1684" t="s">
        <v>229</v>
      </c>
      <c r="D1684" t="s">
        <v>77</v>
      </c>
      <c r="E1684" t="s">
        <v>82</v>
      </c>
      <c r="F1684">
        <v>3000</v>
      </c>
      <c r="G1684" s="13">
        <v>43299</v>
      </c>
      <c r="H1684" s="13">
        <v>43483</v>
      </c>
      <c r="I1684">
        <v>0</v>
      </c>
      <c r="J1684">
        <v>3000</v>
      </c>
      <c r="K1684">
        <v>3000</v>
      </c>
      <c r="N1684">
        <v>13.043478260869565</v>
      </c>
      <c r="O1684">
        <v>6.5</v>
      </c>
      <c r="P1684">
        <v>77.5</v>
      </c>
      <c r="Q1684">
        <v>6.5</v>
      </c>
      <c r="R1684">
        <v>6.5</v>
      </c>
      <c r="S1684">
        <v>6.5</v>
      </c>
      <c r="T1684">
        <v>96.713888888888889</v>
      </c>
      <c r="W1684" t="s">
        <v>497</v>
      </c>
    </row>
    <row r="1685" spans="1:23" x14ac:dyDescent="0.25">
      <c r="A1685" t="s">
        <v>2135</v>
      </c>
      <c r="B1685" t="str">
        <f t="shared" si="26"/>
        <v>CM1100000668</v>
      </c>
      <c r="C1685" t="s">
        <v>225</v>
      </c>
      <c r="D1685" t="s">
        <v>77</v>
      </c>
      <c r="E1685" t="s">
        <v>78</v>
      </c>
      <c r="F1685">
        <v>7000</v>
      </c>
      <c r="G1685" s="13">
        <v>43299</v>
      </c>
      <c r="H1685" s="13">
        <v>43392</v>
      </c>
      <c r="I1685">
        <v>5233</v>
      </c>
      <c r="J1685">
        <v>1767</v>
      </c>
      <c r="K1685">
        <v>7000</v>
      </c>
      <c r="N1685">
        <v>28.571428571428569</v>
      </c>
      <c r="O1685">
        <v>2.6657000000000002</v>
      </c>
      <c r="P1685">
        <v>259.21429999999998</v>
      </c>
      <c r="Q1685">
        <v>2.8</v>
      </c>
      <c r="R1685">
        <v>2.4500000000000002</v>
      </c>
      <c r="S1685">
        <v>2.8</v>
      </c>
      <c r="T1685">
        <v>99.326170277777777</v>
      </c>
      <c r="W1685" t="s">
        <v>497</v>
      </c>
    </row>
    <row r="1686" spans="1:23" x14ac:dyDescent="0.25">
      <c r="A1686" t="s">
        <v>2136</v>
      </c>
      <c r="B1686" t="str">
        <f t="shared" si="26"/>
        <v>GA1200000725</v>
      </c>
      <c r="C1686" t="s">
        <v>227</v>
      </c>
      <c r="D1686" t="s">
        <v>77</v>
      </c>
      <c r="E1686" t="s">
        <v>82</v>
      </c>
      <c r="F1686">
        <v>16000</v>
      </c>
      <c r="G1686" s="13">
        <v>43299</v>
      </c>
      <c r="H1686" s="13">
        <v>43483</v>
      </c>
      <c r="I1686">
        <v>2000</v>
      </c>
      <c r="J1686">
        <v>14000</v>
      </c>
      <c r="K1686">
        <v>16000</v>
      </c>
      <c r="N1686">
        <v>0</v>
      </c>
      <c r="O1686">
        <v>3.4830999999999999</v>
      </c>
      <c r="P1686">
        <v>168.75</v>
      </c>
      <c r="Q1686">
        <v>3.6</v>
      </c>
      <c r="R1686">
        <v>3.2</v>
      </c>
      <c r="S1686">
        <v>3.6</v>
      </c>
      <c r="T1686">
        <v>98.239099444444449</v>
      </c>
      <c r="W1686" t="s">
        <v>497</v>
      </c>
    </row>
    <row r="1687" spans="1:23" x14ac:dyDescent="0.25">
      <c r="A1687" t="s">
        <v>2137</v>
      </c>
      <c r="B1687" t="str">
        <f t="shared" si="26"/>
        <v>TD1200000206</v>
      </c>
      <c r="C1687" t="s">
        <v>237</v>
      </c>
      <c r="D1687" t="s">
        <v>77</v>
      </c>
      <c r="E1687" t="s">
        <v>82</v>
      </c>
      <c r="F1687">
        <v>18450</v>
      </c>
      <c r="G1687" s="13">
        <v>43299</v>
      </c>
      <c r="H1687" s="13">
        <v>43483</v>
      </c>
      <c r="I1687">
        <v>12690</v>
      </c>
      <c r="J1687">
        <v>5760</v>
      </c>
      <c r="K1687">
        <v>18450</v>
      </c>
      <c r="N1687">
        <v>0</v>
      </c>
      <c r="O1687">
        <v>6.0366600000000004</v>
      </c>
      <c r="P1687">
        <v>100.813</v>
      </c>
      <c r="Q1687">
        <v>6.5</v>
      </c>
      <c r="R1687">
        <v>6</v>
      </c>
      <c r="S1687">
        <v>6.5</v>
      </c>
      <c r="T1687">
        <v>96.948132999999999</v>
      </c>
      <c r="W1687" t="s">
        <v>497</v>
      </c>
    </row>
    <row r="1688" spans="1:23" x14ac:dyDescent="0.25">
      <c r="A1688" t="s">
        <v>2138</v>
      </c>
      <c r="B1688" t="str">
        <f t="shared" si="26"/>
        <v>GA1100000627</v>
      </c>
      <c r="C1688" t="s">
        <v>227</v>
      </c>
      <c r="D1688" t="s">
        <v>77</v>
      </c>
      <c r="E1688" t="s">
        <v>78</v>
      </c>
      <c r="F1688">
        <v>15000</v>
      </c>
      <c r="G1688" s="13">
        <v>43306</v>
      </c>
      <c r="H1688" s="13">
        <v>43399</v>
      </c>
      <c r="I1688">
        <v>6468</v>
      </c>
      <c r="J1688">
        <v>8532</v>
      </c>
      <c r="K1688">
        <v>15000</v>
      </c>
      <c r="N1688">
        <v>0</v>
      </c>
      <c r="O1688">
        <v>3.4089999999999998</v>
      </c>
      <c r="P1688">
        <v>213.33330000000001</v>
      </c>
      <c r="Q1688">
        <v>3.5</v>
      </c>
      <c r="R1688">
        <v>3.1</v>
      </c>
      <c r="S1688">
        <v>3.5</v>
      </c>
      <c r="T1688">
        <v>99.138280555555554</v>
      </c>
      <c r="W1688" t="s">
        <v>497</v>
      </c>
    </row>
    <row r="1689" spans="1:23" x14ac:dyDescent="0.25">
      <c r="A1689" t="s">
        <v>2139</v>
      </c>
      <c r="B1689" t="str">
        <f t="shared" si="26"/>
        <v>CM1100000676</v>
      </c>
      <c r="C1689" t="s">
        <v>225</v>
      </c>
      <c r="D1689" t="s">
        <v>77</v>
      </c>
      <c r="E1689" t="s">
        <v>78</v>
      </c>
      <c r="F1689">
        <v>7000</v>
      </c>
      <c r="G1689" s="13">
        <v>43313</v>
      </c>
      <c r="H1689" s="13">
        <v>43406</v>
      </c>
      <c r="I1689">
        <v>6218</v>
      </c>
      <c r="J1689">
        <v>782</v>
      </c>
      <c r="K1689">
        <v>7000</v>
      </c>
      <c r="N1689">
        <v>9.5238095238095237</v>
      </c>
      <c r="O1689">
        <v>2.67</v>
      </c>
      <c r="P1689">
        <v>114.44</v>
      </c>
      <c r="Q1689">
        <v>2.8</v>
      </c>
      <c r="R1689">
        <v>2.5</v>
      </c>
      <c r="S1689">
        <v>2.8</v>
      </c>
      <c r="T1689">
        <v>99.325083333333339</v>
      </c>
      <c r="W1689" t="s">
        <v>497</v>
      </c>
    </row>
    <row r="1690" spans="1:23" x14ac:dyDescent="0.25">
      <c r="A1690" t="s">
        <v>2140</v>
      </c>
      <c r="B1690" t="str">
        <f t="shared" si="26"/>
        <v>GA1100000635</v>
      </c>
      <c r="C1690" t="s">
        <v>227</v>
      </c>
      <c r="D1690" t="s">
        <v>77</v>
      </c>
      <c r="E1690" t="s">
        <v>78</v>
      </c>
      <c r="F1690">
        <v>10000</v>
      </c>
      <c r="G1690" s="13">
        <v>43313</v>
      </c>
      <c r="H1690" s="13">
        <v>43406</v>
      </c>
      <c r="I1690">
        <v>4130</v>
      </c>
      <c r="J1690">
        <v>5870</v>
      </c>
      <c r="K1690">
        <v>10000</v>
      </c>
      <c r="N1690">
        <v>0</v>
      </c>
      <c r="O1690">
        <v>3.26</v>
      </c>
      <c r="P1690">
        <v>240</v>
      </c>
      <c r="Q1690">
        <v>3.45</v>
      </c>
      <c r="R1690">
        <v>3</v>
      </c>
      <c r="S1690">
        <v>3.45</v>
      </c>
      <c r="T1690">
        <v>99.17594444444444</v>
      </c>
      <c r="W1690" t="s">
        <v>497</v>
      </c>
    </row>
    <row r="1691" spans="1:23" x14ac:dyDescent="0.25">
      <c r="A1691" t="s">
        <v>2141</v>
      </c>
      <c r="B1691" t="str">
        <f t="shared" ref="B1691:B1754" si="27">MID(A1691,1,12)</f>
        <v>TD1200000214</v>
      </c>
      <c r="C1691" t="s">
        <v>237</v>
      </c>
      <c r="D1691" t="s">
        <v>77</v>
      </c>
      <c r="E1691" t="s">
        <v>82</v>
      </c>
      <c r="F1691">
        <v>11700</v>
      </c>
      <c r="G1691" s="13">
        <v>43313</v>
      </c>
      <c r="H1691" s="13">
        <v>43497</v>
      </c>
      <c r="I1691">
        <v>11700</v>
      </c>
      <c r="J1691">
        <v>0</v>
      </c>
      <c r="K1691">
        <v>11700</v>
      </c>
      <c r="N1691">
        <v>0</v>
      </c>
      <c r="O1691">
        <v>6.5</v>
      </c>
      <c r="P1691">
        <v>100</v>
      </c>
      <c r="Q1691">
        <v>6.5</v>
      </c>
      <c r="R1691">
        <v>6.5</v>
      </c>
      <c r="S1691">
        <v>6.5</v>
      </c>
      <c r="T1691">
        <v>96.713888888888889</v>
      </c>
      <c r="W1691" t="s">
        <v>497</v>
      </c>
    </row>
    <row r="1692" spans="1:23" x14ac:dyDescent="0.25">
      <c r="A1692" t="s">
        <v>2142</v>
      </c>
      <c r="B1692" t="str">
        <f t="shared" si="27"/>
        <v>GA1100000643</v>
      </c>
      <c r="C1692" t="s">
        <v>227</v>
      </c>
      <c r="D1692" t="s">
        <v>77</v>
      </c>
      <c r="E1692" t="s">
        <v>78</v>
      </c>
      <c r="F1692">
        <v>10000</v>
      </c>
      <c r="G1692" s="13">
        <v>43320</v>
      </c>
      <c r="H1692" s="13">
        <v>43413</v>
      </c>
      <c r="I1692">
        <v>1000</v>
      </c>
      <c r="J1692">
        <v>9000</v>
      </c>
      <c r="K1692">
        <v>10000</v>
      </c>
      <c r="N1692">
        <v>0</v>
      </c>
      <c r="O1692">
        <v>3.3</v>
      </c>
      <c r="P1692">
        <v>225</v>
      </c>
      <c r="Q1692">
        <v>3.35</v>
      </c>
      <c r="R1692">
        <v>3.25</v>
      </c>
      <c r="S1692">
        <v>3.35</v>
      </c>
      <c r="T1692">
        <v>99.165833333333339</v>
      </c>
      <c r="W1692" t="s">
        <v>497</v>
      </c>
    </row>
    <row r="1693" spans="1:23" x14ac:dyDescent="0.25">
      <c r="A1693" t="s">
        <v>2143</v>
      </c>
      <c r="B1693" t="str">
        <f t="shared" si="27"/>
        <v>CM1100000684</v>
      </c>
      <c r="C1693" t="s">
        <v>225</v>
      </c>
      <c r="D1693" t="s">
        <v>77</v>
      </c>
      <c r="E1693" t="s">
        <v>78</v>
      </c>
      <c r="F1693">
        <v>10000</v>
      </c>
      <c r="G1693" s="13">
        <v>43320</v>
      </c>
      <c r="H1693" s="13">
        <v>43413</v>
      </c>
      <c r="I1693">
        <v>10000</v>
      </c>
      <c r="J1693">
        <v>0</v>
      </c>
      <c r="K1693">
        <v>10000</v>
      </c>
      <c r="N1693">
        <v>33.333333333333329</v>
      </c>
      <c r="O1693">
        <v>2.72</v>
      </c>
      <c r="P1693">
        <v>219.29</v>
      </c>
      <c r="Q1693">
        <v>2.75</v>
      </c>
      <c r="R1693">
        <v>2.65</v>
      </c>
      <c r="S1693">
        <v>2.75</v>
      </c>
      <c r="T1693">
        <v>99.312444444444438</v>
      </c>
      <c r="W1693" t="s">
        <v>497</v>
      </c>
    </row>
    <row r="1694" spans="1:23" x14ac:dyDescent="0.25">
      <c r="A1694" t="s">
        <v>2144</v>
      </c>
      <c r="B1694" t="str">
        <f t="shared" si="27"/>
        <v>GQ1300000569</v>
      </c>
      <c r="C1694" t="s">
        <v>528</v>
      </c>
      <c r="D1694" t="s">
        <v>77</v>
      </c>
      <c r="E1694" t="s">
        <v>287</v>
      </c>
      <c r="F1694">
        <v>10000</v>
      </c>
      <c r="G1694" s="13">
        <v>43320</v>
      </c>
      <c r="H1694" s="13">
        <v>43686</v>
      </c>
      <c r="I1694">
        <v>10000</v>
      </c>
      <c r="J1694">
        <v>0</v>
      </c>
      <c r="K1694">
        <v>10000</v>
      </c>
      <c r="N1694">
        <v>0</v>
      </c>
      <c r="O1694">
        <v>9.5</v>
      </c>
      <c r="P1694">
        <v>66.67</v>
      </c>
      <c r="Q1694">
        <v>9.5</v>
      </c>
      <c r="R1694">
        <v>9.5</v>
      </c>
      <c r="S1694">
        <v>9.5</v>
      </c>
      <c r="T1694">
        <v>90.394444444444446</v>
      </c>
      <c r="W1694" t="s">
        <v>497</v>
      </c>
    </row>
    <row r="1695" spans="1:23" x14ac:dyDescent="0.25">
      <c r="A1695" t="s">
        <v>2145</v>
      </c>
      <c r="B1695" t="str">
        <f t="shared" si="27"/>
        <v>CG1200000087</v>
      </c>
      <c r="C1695" t="s">
        <v>229</v>
      </c>
      <c r="D1695" t="s">
        <v>77</v>
      </c>
      <c r="E1695" t="s">
        <v>82</v>
      </c>
      <c r="F1695">
        <v>6000</v>
      </c>
      <c r="G1695" s="13">
        <v>43320</v>
      </c>
      <c r="H1695" s="13">
        <v>43504</v>
      </c>
      <c r="I1695">
        <v>100</v>
      </c>
      <c r="J1695">
        <v>5900</v>
      </c>
      <c r="K1695">
        <v>6000</v>
      </c>
      <c r="N1695">
        <v>17.391304347826086</v>
      </c>
      <c r="O1695">
        <v>6.1</v>
      </c>
      <c r="P1695">
        <v>110</v>
      </c>
      <c r="Q1695">
        <v>6.5</v>
      </c>
      <c r="R1695">
        <v>3.8</v>
      </c>
      <c r="S1695">
        <v>6.5</v>
      </c>
      <c r="T1695">
        <v>96.916111111111107</v>
      </c>
      <c r="W1695" t="s">
        <v>497</v>
      </c>
    </row>
    <row r="1696" spans="1:23" x14ac:dyDescent="0.25">
      <c r="A1696" t="s">
        <v>2146</v>
      </c>
      <c r="B1696" t="str">
        <f t="shared" si="27"/>
        <v>CM1100000692</v>
      </c>
      <c r="C1696" t="s">
        <v>225</v>
      </c>
      <c r="D1696" t="s">
        <v>77</v>
      </c>
      <c r="E1696" t="s">
        <v>78</v>
      </c>
      <c r="F1696">
        <v>10000</v>
      </c>
      <c r="G1696" s="13">
        <v>43327</v>
      </c>
      <c r="H1696" s="13">
        <v>43420</v>
      </c>
      <c r="I1696">
        <v>9789</v>
      </c>
      <c r="J1696">
        <v>211</v>
      </c>
      <c r="K1696">
        <v>10000</v>
      </c>
      <c r="N1696">
        <v>28.571428571428569</v>
      </c>
      <c r="O1696">
        <v>2.69</v>
      </c>
      <c r="P1696">
        <v>232.29</v>
      </c>
      <c r="Q1696">
        <v>2.7</v>
      </c>
      <c r="R1696">
        <v>2.65</v>
      </c>
      <c r="S1696">
        <v>2.7</v>
      </c>
      <c r="T1696">
        <v>99.320027777777781</v>
      </c>
      <c r="W1696" t="s">
        <v>497</v>
      </c>
    </row>
    <row r="1697" spans="1:23" x14ac:dyDescent="0.25">
      <c r="A1697" t="s">
        <v>2147</v>
      </c>
      <c r="B1697" t="str">
        <f t="shared" si="27"/>
        <v>GA1200000733</v>
      </c>
      <c r="C1697" t="s">
        <v>227</v>
      </c>
      <c r="D1697" t="s">
        <v>77</v>
      </c>
      <c r="E1697" t="s">
        <v>82</v>
      </c>
      <c r="F1697">
        <v>7500</v>
      </c>
      <c r="G1697" s="13">
        <v>43327</v>
      </c>
      <c r="H1697" s="13">
        <v>43511</v>
      </c>
      <c r="I1697">
        <v>0</v>
      </c>
      <c r="J1697">
        <v>7500</v>
      </c>
      <c r="K1697">
        <v>7500</v>
      </c>
      <c r="N1697">
        <v>0</v>
      </c>
      <c r="O1697">
        <v>3.28</v>
      </c>
      <c r="P1697">
        <v>266.67</v>
      </c>
      <c r="Q1697">
        <v>3.3</v>
      </c>
      <c r="R1697">
        <v>3.25</v>
      </c>
      <c r="S1697">
        <v>3.3</v>
      </c>
      <c r="T1697">
        <v>98.341777777777779</v>
      </c>
      <c r="W1697" t="s">
        <v>497</v>
      </c>
    </row>
    <row r="1698" spans="1:23" x14ac:dyDescent="0.25">
      <c r="A1698" t="s">
        <v>2148</v>
      </c>
      <c r="B1698" t="str">
        <f t="shared" si="27"/>
        <v>CM1100000700</v>
      </c>
      <c r="C1698" t="s">
        <v>225</v>
      </c>
      <c r="D1698" t="s">
        <v>77</v>
      </c>
      <c r="E1698" t="s">
        <v>78</v>
      </c>
      <c r="F1698">
        <v>10000</v>
      </c>
      <c r="G1698" s="13">
        <v>43334</v>
      </c>
      <c r="H1698" s="13">
        <v>43427</v>
      </c>
      <c r="I1698">
        <v>7083</v>
      </c>
      <c r="J1698">
        <v>2917</v>
      </c>
      <c r="K1698">
        <v>10000</v>
      </c>
      <c r="N1698">
        <v>28.571428571428569</v>
      </c>
      <c r="O1698">
        <v>2.56</v>
      </c>
      <c r="P1698">
        <v>170</v>
      </c>
      <c r="Q1698">
        <v>2.65</v>
      </c>
      <c r="R1698">
        <v>2.5</v>
      </c>
      <c r="S1698">
        <v>2.65</v>
      </c>
      <c r="T1698">
        <v>99.352888888888884</v>
      </c>
      <c r="W1698" t="s">
        <v>497</v>
      </c>
    </row>
    <row r="1699" spans="1:23" x14ac:dyDescent="0.25">
      <c r="A1699" t="s">
        <v>2149</v>
      </c>
      <c r="B1699" t="str">
        <f t="shared" si="27"/>
        <v>GA1100000650</v>
      </c>
      <c r="C1699" t="s">
        <v>227</v>
      </c>
      <c r="D1699" t="s">
        <v>77</v>
      </c>
      <c r="E1699" t="s">
        <v>78</v>
      </c>
      <c r="F1699">
        <v>12000</v>
      </c>
      <c r="G1699" s="13">
        <v>43334</v>
      </c>
      <c r="H1699" s="13">
        <v>43427</v>
      </c>
      <c r="I1699">
        <v>11000</v>
      </c>
      <c r="J1699">
        <v>1000</v>
      </c>
      <c r="K1699">
        <v>12000</v>
      </c>
      <c r="N1699">
        <v>0</v>
      </c>
      <c r="O1699">
        <v>3.34</v>
      </c>
      <c r="P1699">
        <v>134.74</v>
      </c>
      <c r="Q1699">
        <v>3.5</v>
      </c>
      <c r="R1699">
        <v>3.2</v>
      </c>
      <c r="S1699">
        <v>3.5</v>
      </c>
      <c r="T1699">
        <v>99.155722222222224</v>
      </c>
      <c r="W1699" t="s">
        <v>497</v>
      </c>
    </row>
    <row r="1700" spans="1:23" x14ac:dyDescent="0.25">
      <c r="A1700" t="s">
        <v>2150</v>
      </c>
      <c r="B1700" t="str">
        <f t="shared" si="27"/>
        <v>TD1200000222</v>
      </c>
      <c r="C1700" t="s">
        <v>237</v>
      </c>
      <c r="D1700" t="s">
        <v>77</v>
      </c>
      <c r="E1700" t="s">
        <v>82</v>
      </c>
      <c r="F1700">
        <v>13500</v>
      </c>
      <c r="G1700" s="13">
        <v>43334</v>
      </c>
      <c r="H1700" s="13">
        <v>43518</v>
      </c>
      <c r="I1700">
        <v>13500</v>
      </c>
      <c r="J1700">
        <v>0</v>
      </c>
      <c r="K1700">
        <v>13500</v>
      </c>
      <c r="N1700">
        <v>0</v>
      </c>
      <c r="O1700">
        <v>6.08</v>
      </c>
      <c r="P1700">
        <v>104.44</v>
      </c>
      <c r="Q1700">
        <v>6.5</v>
      </c>
      <c r="R1700">
        <v>6</v>
      </c>
      <c r="S1700">
        <v>6.5</v>
      </c>
      <c r="T1700">
        <v>96.926222222222222</v>
      </c>
      <c r="W1700" t="s">
        <v>497</v>
      </c>
    </row>
    <row r="1701" spans="1:23" x14ac:dyDescent="0.25">
      <c r="A1701" t="s">
        <v>2151</v>
      </c>
      <c r="B1701" t="str">
        <f t="shared" si="27"/>
        <v>TD1200000230</v>
      </c>
      <c r="C1701" t="s">
        <v>237</v>
      </c>
      <c r="D1701" t="s">
        <v>77</v>
      </c>
      <c r="E1701" t="s">
        <v>82</v>
      </c>
      <c r="F1701">
        <v>23850</v>
      </c>
      <c r="G1701" s="13">
        <v>43341</v>
      </c>
      <c r="H1701" s="13">
        <v>43525</v>
      </c>
      <c r="I1701">
        <v>0</v>
      </c>
      <c r="J1701">
        <v>23850</v>
      </c>
      <c r="K1701">
        <v>23850</v>
      </c>
      <c r="N1701">
        <v>0</v>
      </c>
      <c r="O1701">
        <v>6.3</v>
      </c>
      <c r="P1701">
        <v>119.08</v>
      </c>
      <c r="Q1701">
        <v>6.5</v>
      </c>
      <c r="R1701">
        <v>6.3</v>
      </c>
      <c r="S1701">
        <v>6.5</v>
      </c>
      <c r="T1701">
        <v>96.814999999999998</v>
      </c>
      <c r="W1701" t="s">
        <v>497</v>
      </c>
    </row>
    <row r="1702" spans="1:23" x14ac:dyDescent="0.25">
      <c r="A1702" t="s">
        <v>2152</v>
      </c>
      <c r="B1702" t="str">
        <f t="shared" si="27"/>
        <v>GA1100000668</v>
      </c>
      <c r="C1702" t="s">
        <v>227</v>
      </c>
      <c r="D1702" t="s">
        <v>77</v>
      </c>
      <c r="E1702" t="s">
        <v>78</v>
      </c>
      <c r="F1702">
        <v>14000</v>
      </c>
      <c r="G1702" s="13">
        <v>43341</v>
      </c>
      <c r="H1702" s="13">
        <v>43434</v>
      </c>
      <c r="I1702">
        <v>1000</v>
      </c>
      <c r="J1702">
        <v>13000</v>
      </c>
      <c r="K1702">
        <v>14000</v>
      </c>
      <c r="N1702">
        <v>0</v>
      </c>
      <c r="O1702">
        <v>3.2</v>
      </c>
      <c r="P1702">
        <v>164.29</v>
      </c>
      <c r="Q1702">
        <v>3.3</v>
      </c>
      <c r="R1702">
        <v>3</v>
      </c>
      <c r="S1702">
        <v>3.3</v>
      </c>
      <c r="T1702">
        <v>99.191111111111113</v>
      </c>
      <c r="W1702" t="s">
        <v>497</v>
      </c>
    </row>
    <row r="1703" spans="1:23" x14ac:dyDescent="0.25">
      <c r="A1703" t="s">
        <v>2153</v>
      </c>
      <c r="B1703" t="str">
        <f t="shared" si="27"/>
        <v>CG1200000095</v>
      </c>
      <c r="C1703" t="s">
        <v>229</v>
      </c>
      <c r="D1703" t="s">
        <v>77</v>
      </c>
      <c r="E1703" t="s">
        <v>82</v>
      </c>
      <c r="F1703">
        <v>5000</v>
      </c>
      <c r="G1703" s="13">
        <v>43341</v>
      </c>
      <c r="H1703" s="13">
        <v>43525</v>
      </c>
      <c r="I1703">
        <v>0</v>
      </c>
      <c r="J1703">
        <v>5000</v>
      </c>
      <c r="K1703">
        <v>5000</v>
      </c>
      <c r="N1703">
        <v>8.695652173913043</v>
      </c>
      <c r="O1703">
        <v>6</v>
      </c>
      <c r="P1703">
        <v>102</v>
      </c>
      <c r="Q1703">
        <v>6</v>
      </c>
      <c r="R1703">
        <v>5</v>
      </c>
      <c r="S1703">
        <v>6</v>
      </c>
      <c r="T1703">
        <v>96.966666666666669</v>
      </c>
      <c r="W1703" t="s">
        <v>497</v>
      </c>
    </row>
    <row r="1704" spans="1:23" x14ac:dyDescent="0.25">
      <c r="A1704" t="s">
        <v>2154</v>
      </c>
      <c r="B1704" t="str">
        <f t="shared" si="27"/>
        <v>CM1200000667</v>
      </c>
      <c r="C1704" t="s">
        <v>225</v>
      </c>
      <c r="D1704" t="s">
        <v>77</v>
      </c>
      <c r="E1704" t="s">
        <v>82</v>
      </c>
      <c r="F1704">
        <v>10000</v>
      </c>
      <c r="G1704" s="13">
        <v>43348</v>
      </c>
      <c r="H1704" s="13">
        <v>43532</v>
      </c>
      <c r="I1704">
        <v>6744</v>
      </c>
      <c r="J1704">
        <v>3256</v>
      </c>
      <c r="K1704">
        <v>10000</v>
      </c>
      <c r="N1704">
        <v>42.857142857142854</v>
      </c>
      <c r="O1704">
        <v>2.706</v>
      </c>
      <c r="P1704">
        <v>276.86</v>
      </c>
      <c r="T1704">
        <v>98.631966666666671</v>
      </c>
      <c r="W1704" t="s">
        <v>497</v>
      </c>
    </row>
    <row r="1705" spans="1:23" x14ac:dyDescent="0.25">
      <c r="A1705" t="s">
        <v>2155</v>
      </c>
      <c r="B1705" t="str">
        <f t="shared" si="27"/>
        <v>GA1100000676</v>
      </c>
      <c r="C1705" t="s">
        <v>227</v>
      </c>
      <c r="D1705" t="s">
        <v>77</v>
      </c>
      <c r="E1705" t="s">
        <v>78</v>
      </c>
      <c r="F1705">
        <v>15000</v>
      </c>
      <c r="G1705" s="13">
        <v>43348</v>
      </c>
      <c r="H1705" s="13">
        <v>43441</v>
      </c>
      <c r="I1705">
        <v>5459</v>
      </c>
      <c r="J1705">
        <v>9541</v>
      </c>
      <c r="K1705">
        <v>15000</v>
      </c>
      <c r="N1705">
        <v>0</v>
      </c>
      <c r="O1705">
        <v>3.3186</v>
      </c>
      <c r="P1705">
        <v>155.42500000000001</v>
      </c>
      <c r="T1705">
        <v>99.161131666666662</v>
      </c>
      <c r="W1705" t="s">
        <v>497</v>
      </c>
    </row>
    <row r="1706" spans="1:23" x14ac:dyDescent="0.25">
      <c r="A1706" t="s">
        <v>2156</v>
      </c>
      <c r="B1706" t="str">
        <f t="shared" si="27"/>
        <v>TD1200000248</v>
      </c>
      <c r="C1706" t="s">
        <v>237</v>
      </c>
      <c r="D1706" t="s">
        <v>77</v>
      </c>
      <c r="E1706" t="s">
        <v>82</v>
      </c>
      <c r="F1706">
        <v>13500</v>
      </c>
      <c r="G1706" s="13">
        <v>43348</v>
      </c>
      <c r="H1706" s="13">
        <v>43532</v>
      </c>
      <c r="I1706">
        <v>0</v>
      </c>
      <c r="J1706">
        <v>13500</v>
      </c>
      <c r="K1706">
        <v>13500</v>
      </c>
      <c r="N1706">
        <v>0</v>
      </c>
      <c r="O1706">
        <v>6.25</v>
      </c>
      <c r="P1706">
        <v>100</v>
      </c>
      <c r="T1706">
        <v>96.840277777777771</v>
      </c>
      <c r="W1706" t="s">
        <v>497</v>
      </c>
    </row>
    <row r="1707" spans="1:23" x14ac:dyDescent="0.25">
      <c r="A1707" t="s">
        <v>2157</v>
      </c>
      <c r="B1707" t="str">
        <f t="shared" si="27"/>
        <v>TD1200000255</v>
      </c>
      <c r="C1707" t="s">
        <v>237</v>
      </c>
      <c r="D1707" t="s">
        <v>77</v>
      </c>
      <c r="E1707" t="s">
        <v>82</v>
      </c>
      <c r="F1707">
        <v>28350</v>
      </c>
      <c r="G1707" s="13">
        <v>43355</v>
      </c>
      <c r="H1707" s="13">
        <v>43539</v>
      </c>
      <c r="I1707">
        <v>13770</v>
      </c>
      <c r="J1707">
        <v>14580</v>
      </c>
      <c r="K1707">
        <v>28350</v>
      </c>
      <c r="N1707">
        <v>0</v>
      </c>
      <c r="O1707">
        <v>6.1285999999999996</v>
      </c>
      <c r="P1707">
        <v>100.07</v>
      </c>
      <c r="T1707">
        <v>96.901652222222225</v>
      </c>
      <c r="W1707" t="s">
        <v>497</v>
      </c>
    </row>
    <row r="1708" spans="1:23" x14ac:dyDescent="0.25">
      <c r="A1708" t="s">
        <v>2158</v>
      </c>
      <c r="B1708" t="str">
        <f t="shared" si="27"/>
        <v>GA1200000741</v>
      </c>
      <c r="C1708" t="s">
        <v>227</v>
      </c>
      <c r="D1708" t="s">
        <v>77</v>
      </c>
      <c r="E1708" t="s">
        <v>82</v>
      </c>
      <c r="F1708">
        <v>14591</v>
      </c>
      <c r="G1708" s="13">
        <v>43355</v>
      </c>
      <c r="H1708" s="13">
        <v>43539</v>
      </c>
      <c r="I1708">
        <v>8000</v>
      </c>
      <c r="J1708">
        <v>6591</v>
      </c>
      <c r="K1708">
        <v>14591</v>
      </c>
      <c r="N1708">
        <v>0</v>
      </c>
      <c r="O1708">
        <v>3.6261999999999999</v>
      </c>
      <c r="P1708">
        <v>97.273300000000006</v>
      </c>
      <c r="T1708">
        <v>98.16675444444445</v>
      </c>
      <c r="W1708" t="s">
        <v>497</v>
      </c>
    </row>
    <row r="1709" spans="1:23" x14ac:dyDescent="0.25">
      <c r="A1709" t="s">
        <v>2159</v>
      </c>
      <c r="B1709" t="str">
        <f t="shared" si="27"/>
        <v>CM1200000675</v>
      </c>
      <c r="C1709" t="s">
        <v>225</v>
      </c>
      <c r="D1709" t="s">
        <v>77</v>
      </c>
      <c r="E1709" t="s">
        <v>82</v>
      </c>
      <c r="F1709">
        <v>10000</v>
      </c>
      <c r="G1709" s="13">
        <v>43355</v>
      </c>
      <c r="H1709" s="13">
        <v>43539</v>
      </c>
      <c r="I1709">
        <v>8867</v>
      </c>
      <c r="J1709">
        <v>1133</v>
      </c>
      <c r="K1709">
        <v>10000</v>
      </c>
      <c r="N1709">
        <v>28.571428571428569</v>
      </c>
      <c r="O1709">
        <v>2.7088999999999999</v>
      </c>
      <c r="P1709">
        <v>227.55</v>
      </c>
      <c r="T1709">
        <v>98.630500555555557</v>
      </c>
      <c r="W1709" t="s">
        <v>497</v>
      </c>
    </row>
    <row r="1710" spans="1:23" x14ac:dyDescent="0.25">
      <c r="A1710" t="s">
        <v>2160</v>
      </c>
      <c r="B1710" t="str">
        <f t="shared" si="27"/>
        <v>CG1200000103</v>
      </c>
      <c r="C1710" t="s">
        <v>229</v>
      </c>
      <c r="D1710" t="s">
        <v>77</v>
      </c>
      <c r="E1710" t="s">
        <v>82</v>
      </c>
      <c r="F1710">
        <v>5000</v>
      </c>
      <c r="G1710" s="13">
        <v>43355</v>
      </c>
      <c r="H1710" s="13">
        <v>43539</v>
      </c>
      <c r="I1710">
        <v>0</v>
      </c>
      <c r="J1710">
        <v>5000</v>
      </c>
      <c r="K1710">
        <v>5000</v>
      </c>
      <c r="N1710">
        <v>8.695652173913043</v>
      </c>
      <c r="O1710">
        <v>6</v>
      </c>
      <c r="P1710">
        <v>170</v>
      </c>
      <c r="T1710">
        <v>96.966666666666669</v>
      </c>
      <c r="W1710" t="s">
        <v>497</v>
      </c>
    </row>
    <row r="1711" spans="1:23" x14ac:dyDescent="0.25">
      <c r="A1711" t="s">
        <v>2161</v>
      </c>
      <c r="B1711" t="str">
        <f t="shared" si="27"/>
        <v>CG1200000111</v>
      </c>
      <c r="C1711" t="s">
        <v>229</v>
      </c>
      <c r="D1711" t="s">
        <v>77</v>
      </c>
      <c r="E1711" t="s">
        <v>82</v>
      </c>
      <c r="F1711">
        <v>6000</v>
      </c>
      <c r="G1711" s="13">
        <v>43362</v>
      </c>
      <c r="H1711" s="13">
        <v>43546</v>
      </c>
      <c r="I1711">
        <v>500</v>
      </c>
      <c r="J1711">
        <v>5500</v>
      </c>
      <c r="K1711">
        <v>6000</v>
      </c>
      <c r="N1711">
        <v>17.391304347826086</v>
      </c>
      <c r="O1711">
        <v>6.0332999999999997</v>
      </c>
      <c r="P1711">
        <v>77.5</v>
      </c>
      <c r="T1711">
        <v>96.949831666666668</v>
      </c>
      <c r="W1711" t="s">
        <v>497</v>
      </c>
    </row>
    <row r="1712" spans="1:23" x14ac:dyDescent="0.25">
      <c r="A1712" t="s">
        <v>2162</v>
      </c>
      <c r="B1712" t="str">
        <f t="shared" si="27"/>
        <v>GA1100000684</v>
      </c>
      <c r="C1712" t="s">
        <v>227</v>
      </c>
      <c r="D1712" t="s">
        <v>77</v>
      </c>
      <c r="E1712" t="s">
        <v>78</v>
      </c>
      <c r="F1712">
        <v>5000</v>
      </c>
      <c r="G1712" s="13">
        <v>43362</v>
      </c>
      <c r="H1712" s="13">
        <v>43455</v>
      </c>
      <c r="I1712">
        <v>4000</v>
      </c>
      <c r="J1712">
        <v>1000</v>
      </c>
      <c r="K1712">
        <v>5000</v>
      </c>
      <c r="N1712">
        <v>0</v>
      </c>
      <c r="O1712">
        <v>3.4849999999999999</v>
      </c>
      <c r="P1712">
        <v>120</v>
      </c>
      <c r="T1712">
        <v>99.119069444444449</v>
      </c>
      <c r="W1712" t="s">
        <v>497</v>
      </c>
    </row>
    <row r="1713" spans="1:23" x14ac:dyDescent="0.25">
      <c r="A1713" t="s">
        <v>2163</v>
      </c>
      <c r="B1713" t="str">
        <f t="shared" si="27"/>
        <v>GA1100000692</v>
      </c>
      <c r="C1713" t="s">
        <v>227</v>
      </c>
      <c r="D1713" t="s">
        <v>77</v>
      </c>
      <c r="E1713" t="s">
        <v>78</v>
      </c>
      <c r="F1713">
        <v>12000</v>
      </c>
      <c r="G1713" s="13">
        <v>43369</v>
      </c>
      <c r="H1713" s="13">
        <v>43462</v>
      </c>
      <c r="I1713">
        <v>4200</v>
      </c>
      <c r="J1713">
        <v>7800</v>
      </c>
      <c r="K1713">
        <v>12000</v>
      </c>
      <c r="N1713">
        <v>0</v>
      </c>
      <c r="O1713">
        <v>3.3565</v>
      </c>
      <c r="P1713">
        <v>168.08330000000001</v>
      </c>
      <c r="T1713">
        <v>99.15155138888889</v>
      </c>
      <c r="W1713" t="s">
        <v>497</v>
      </c>
    </row>
    <row r="1714" spans="1:23" x14ac:dyDescent="0.25">
      <c r="A1714" t="s">
        <v>2164</v>
      </c>
      <c r="B1714" t="str">
        <f t="shared" si="27"/>
        <v>CM1100000718</v>
      </c>
      <c r="C1714" t="s">
        <v>225</v>
      </c>
      <c r="D1714" t="s">
        <v>77</v>
      </c>
      <c r="E1714" t="s">
        <v>78</v>
      </c>
      <c r="F1714">
        <v>10000</v>
      </c>
      <c r="G1714" s="13">
        <v>43369</v>
      </c>
      <c r="H1714" s="13">
        <v>43462</v>
      </c>
      <c r="I1714">
        <v>7667</v>
      </c>
      <c r="J1714">
        <v>2333</v>
      </c>
      <c r="K1714">
        <v>10000</v>
      </c>
      <c r="N1714">
        <v>23.809523809523807</v>
      </c>
      <c r="O1714">
        <v>2.5375000000000001</v>
      </c>
      <c r="P1714">
        <v>245</v>
      </c>
      <c r="T1714">
        <v>99.358576388888892</v>
      </c>
      <c r="W1714" t="s">
        <v>497</v>
      </c>
    </row>
    <row r="1715" spans="1:23" x14ac:dyDescent="0.25">
      <c r="A1715" t="s">
        <v>2165</v>
      </c>
      <c r="B1715" t="str">
        <f t="shared" si="27"/>
        <v>TD1200000263</v>
      </c>
      <c r="C1715" t="s">
        <v>237</v>
      </c>
      <c r="D1715" t="s">
        <v>77</v>
      </c>
      <c r="E1715" t="s">
        <v>82</v>
      </c>
      <c r="F1715">
        <v>4500</v>
      </c>
      <c r="G1715" s="13">
        <v>43369</v>
      </c>
      <c r="H1715" s="13">
        <v>43553</v>
      </c>
      <c r="I1715">
        <v>0</v>
      </c>
      <c r="J1715">
        <v>4500</v>
      </c>
      <c r="K1715">
        <v>4500</v>
      </c>
      <c r="N1715">
        <v>0</v>
      </c>
      <c r="O1715">
        <v>6.5</v>
      </c>
      <c r="P1715">
        <v>100</v>
      </c>
      <c r="T1715">
        <v>96.713888888888889</v>
      </c>
      <c r="W1715" t="s">
        <v>497</v>
      </c>
    </row>
    <row r="1716" spans="1:23" x14ac:dyDescent="0.25">
      <c r="A1716" t="s">
        <v>2166</v>
      </c>
      <c r="B1716" t="str">
        <f t="shared" si="27"/>
        <v>CM1100000726</v>
      </c>
      <c r="C1716" t="s">
        <v>225</v>
      </c>
      <c r="D1716" t="s">
        <v>77</v>
      </c>
      <c r="E1716" t="s">
        <v>78</v>
      </c>
      <c r="F1716">
        <v>10000</v>
      </c>
      <c r="G1716" s="13">
        <v>43376</v>
      </c>
      <c r="H1716" s="13">
        <v>43469</v>
      </c>
      <c r="I1716">
        <v>10000</v>
      </c>
      <c r="J1716">
        <v>0</v>
      </c>
      <c r="K1716">
        <v>10000</v>
      </c>
      <c r="N1716">
        <v>23.809523809523807</v>
      </c>
      <c r="O1716">
        <v>2.6019999999999999</v>
      </c>
      <c r="P1716">
        <v>155</v>
      </c>
      <c r="T1716">
        <v>99.342272222222221</v>
      </c>
      <c r="W1716" t="s">
        <v>497</v>
      </c>
    </row>
    <row r="1717" spans="1:23" x14ac:dyDescent="0.25">
      <c r="A1717" t="s">
        <v>2167</v>
      </c>
      <c r="B1717" t="str">
        <f t="shared" si="27"/>
        <v>GA1200000758</v>
      </c>
      <c r="C1717" t="s">
        <v>227</v>
      </c>
      <c r="D1717" t="s">
        <v>77</v>
      </c>
      <c r="E1717" t="s">
        <v>82</v>
      </c>
      <c r="F1717">
        <v>9400</v>
      </c>
      <c r="G1717" s="13">
        <v>43376</v>
      </c>
      <c r="H1717" s="13">
        <v>43560</v>
      </c>
      <c r="I1717">
        <v>3000</v>
      </c>
      <c r="J1717">
        <v>6400</v>
      </c>
      <c r="K1717">
        <v>9400</v>
      </c>
      <c r="N1717">
        <v>0</v>
      </c>
      <c r="O1717">
        <v>3.758</v>
      </c>
      <c r="P1717">
        <v>55.293999999999997</v>
      </c>
      <c r="T1717">
        <v>98.100122222222225</v>
      </c>
      <c r="W1717" t="s">
        <v>497</v>
      </c>
    </row>
    <row r="1718" spans="1:23" x14ac:dyDescent="0.25">
      <c r="A1718" t="s">
        <v>2168</v>
      </c>
      <c r="B1718" t="str">
        <f t="shared" si="27"/>
        <v>GA1100000700</v>
      </c>
      <c r="C1718" t="s">
        <v>227</v>
      </c>
      <c r="D1718" t="s">
        <v>77</v>
      </c>
      <c r="E1718" t="s">
        <v>78</v>
      </c>
      <c r="F1718">
        <v>15000</v>
      </c>
      <c r="G1718" s="13">
        <v>43383</v>
      </c>
      <c r="H1718" s="13">
        <v>43476</v>
      </c>
      <c r="I1718">
        <v>4935</v>
      </c>
      <c r="J1718">
        <v>10065</v>
      </c>
      <c r="K1718">
        <v>15000</v>
      </c>
      <c r="N1718">
        <v>0</v>
      </c>
      <c r="O1718">
        <v>3.4617</v>
      </c>
      <c r="P1718">
        <v>174.66669999999999</v>
      </c>
      <c r="T1718">
        <v>99.12495916666667</v>
      </c>
      <c r="W1718" t="s">
        <v>497</v>
      </c>
    </row>
    <row r="1719" spans="1:23" x14ac:dyDescent="0.25">
      <c r="A1719" t="s">
        <v>2169</v>
      </c>
      <c r="B1719" t="str">
        <f t="shared" si="27"/>
        <v>CM1100000734</v>
      </c>
      <c r="C1719" t="s">
        <v>225</v>
      </c>
      <c r="D1719" t="s">
        <v>77</v>
      </c>
      <c r="E1719" t="s">
        <v>78</v>
      </c>
      <c r="F1719">
        <v>10000</v>
      </c>
      <c r="G1719" s="13">
        <v>43383</v>
      </c>
      <c r="H1719" s="13">
        <v>43476</v>
      </c>
      <c r="I1719">
        <v>5228</v>
      </c>
      <c r="J1719">
        <v>4772</v>
      </c>
      <c r="K1719">
        <v>10000</v>
      </c>
      <c r="N1719">
        <v>23.809523809523807</v>
      </c>
      <c r="O1719">
        <v>2.5550000000000002</v>
      </c>
      <c r="P1719">
        <v>230</v>
      </c>
      <c r="T1719">
        <v>99.354152777777784</v>
      </c>
      <c r="W1719" t="s">
        <v>497</v>
      </c>
    </row>
    <row r="1720" spans="1:23" x14ac:dyDescent="0.25">
      <c r="A1720" t="s">
        <v>2170</v>
      </c>
      <c r="B1720" t="str">
        <f t="shared" si="27"/>
        <v>CG1200000129</v>
      </c>
      <c r="C1720" t="s">
        <v>229</v>
      </c>
      <c r="D1720" t="s">
        <v>77</v>
      </c>
      <c r="E1720" t="s">
        <v>82</v>
      </c>
      <c r="F1720">
        <v>6500</v>
      </c>
      <c r="G1720" s="13">
        <v>43390</v>
      </c>
      <c r="H1720" s="13">
        <v>43574</v>
      </c>
      <c r="I1720">
        <v>0</v>
      </c>
      <c r="J1720">
        <v>6500</v>
      </c>
      <c r="K1720">
        <v>6500</v>
      </c>
      <c r="N1720">
        <v>8.695652173913043</v>
      </c>
      <c r="O1720">
        <v>6.4</v>
      </c>
      <c r="P1720">
        <v>73.333299999999994</v>
      </c>
      <c r="T1720">
        <v>96.76444444444445</v>
      </c>
      <c r="W1720" t="s">
        <v>497</v>
      </c>
    </row>
    <row r="1721" spans="1:23" x14ac:dyDescent="0.25">
      <c r="A1721" t="s">
        <v>2171</v>
      </c>
      <c r="B1721" t="str">
        <f t="shared" si="27"/>
        <v>GA1200000766</v>
      </c>
      <c r="C1721" t="s">
        <v>227</v>
      </c>
      <c r="D1721" t="s">
        <v>77</v>
      </c>
      <c r="E1721" t="s">
        <v>82</v>
      </c>
      <c r="F1721">
        <v>15000</v>
      </c>
      <c r="G1721" s="13">
        <v>43390</v>
      </c>
      <c r="H1721" s="13">
        <v>43574</v>
      </c>
      <c r="I1721">
        <v>4400</v>
      </c>
      <c r="J1721">
        <v>10600</v>
      </c>
      <c r="K1721">
        <v>15000</v>
      </c>
      <c r="N1721">
        <v>0</v>
      </c>
      <c r="O1721">
        <v>3.6143000000000001</v>
      </c>
      <c r="P1721">
        <v>176</v>
      </c>
      <c r="T1721">
        <v>98.172770555555559</v>
      </c>
      <c r="W1721" t="s">
        <v>497</v>
      </c>
    </row>
    <row r="1722" spans="1:23" x14ac:dyDescent="0.25">
      <c r="A1722" t="s">
        <v>2172</v>
      </c>
      <c r="B1722" t="str">
        <f t="shared" si="27"/>
        <v>CF1200000302</v>
      </c>
      <c r="C1722" t="s">
        <v>634</v>
      </c>
      <c r="D1722" t="s">
        <v>77</v>
      </c>
      <c r="E1722" t="s">
        <v>82</v>
      </c>
      <c r="F1722">
        <v>5500</v>
      </c>
      <c r="G1722" s="13">
        <v>43390</v>
      </c>
      <c r="H1722" s="13">
        <v>43574</v>
      </c>
      <c r="I1722">
        <v>5500</v>
      </c>
      <c r="J1722">
        <v>0</v>
      </c>
      <c r="K1722">
        <v>5500</v>
      </c>
      <c r="N1722">
        <v>0</v>
      </c>
      <c r="O1722">
        <v>5.3182</v>
      </c>
      <c r="P1722">
        <v>100</v>
      </c>
      <c r="T1722">
        <v>97.311354444444447</v>
      </c>
      <c r="W1722" t="s">
        <v>497</v>
      </c>
    </row>
    <row r="1723" spans="1:23" x14ac:dyDescent="0.25">
      <c r="A1723" t="s">
        <v>2173</v>
      </c>
      <c r="B1723" t="str">
        <f t="shared" si="27"/>
        <v>TD1200000289</v>
      </c>
      <c r="C1723" t="s">
        <v>237</v>
      </c>
      <c r="D1723" t="s">
        <v>77</v>
      </c>
      <c r="E1723" t="s">
        <v>82</v>
      </c>
      <c r="F1723">
        <v>8100</v>
      </c>
      <c r="G1723" s="13">
        <v>43390</v>
      </c>
      <c r="H1723" s="13">
        <v>43574</v>
      </c>
      <c r="I1723">
        <v>8100</v>
      </c>
      <c r="J1723">
        <v>0</v>
      </c>
      <c r="K1723">
        <v>8100</v>
      </c>
      <c r="N1723">
        <v>0</v>
      </c>
      <c r="O1723">
        <v>6</v>
      </c>
      <c r="P1723">
        <v>103.0864</v>
      </c>
      <c r="T1723">
        <v>96.966666666666669</v>
      </c>
      <c r="W1723" t="s">
        <v>497</v>
      </c>
    </row>
    <row r="1724" spans="1:23" x14ac:dyDescent="0.25">
      <c r="A1724" t="s">
        <v>2174</v>
      </c>
      <c r="B1724" t="str">
        <f t="shared" si="27"/>
        <v>TD1200000271</v>
      </c>
      <c r="C1724" t="s">
        <v>237</v>
      </c>
      <c r="D1724" t="s">
        <v>77</v>
      </c>
      <c r="E1724" t="s">
        <v>82</v>
      </c>
      <c r="F1724">
        <v>6435</v>
      </c>
      <c r="G1724" s="13">
        <v>43390</v>
      </c>
      <c r="H1724" s="13">
        <v>43574</v>
      </c>
      <c r="I1724">
        <v>6435</v>
      </c>
      <c r="J1724">
        <v>0</v>
      </c>
      <c r="K1724">
        <v>6435</v>
      </c>
      <c r="N1724">
        <v>0</v>
      </c>
      <c r="O1724">
        <v>6.5</v>
      </c>
      <c r="P1724">
        <v>95.333299999999994</v>
      </c>
      <c r="T1724">
        <v>96.713888888888889</v>
      </c>
      <c r="W1724" t="s">
        <v>497</v>
      </c>
    </row>
    <row r="1725" spans="1:23" x14ac:dyDescent="0.25">
      <c r="A1725" t="s">
        <v>2175</v>
      </c>
      <c r="B1725" t="str">
        <f t="shared" si="27"/>
        <v>GA1100000718</v>
      </c>
      <c r="C1725" t="s">
        <v>227</v>
      </c>
      <c r="D1725" t="s">
        <v>77</v>
      </c>
      <c r="E1725" t="s">
        <v>78</v>
      </c>
      <c r="F1725">
        <v>15000</v>
      </c>
      <c r="G1725" s="13">
        <v>43397</v>
      </c>
      <c r="H1725" s="13">
        <v>43490</v>
      </c>
      <c r="I1725">
        <v>5913</v>
      </c>
      <c r="J1725">
        <v>9087</v>
      </c>
      <c r="K1725">
        <v>15000</v>
      </c>
      <c r="N1725">
        <v>0</v>
      </c>
      <c r="O1725">
        <v>3.2679999999999998</v>
      </c>
      <c r="P1725">
        <v>144.06</v>
      </c>
      <c r="T1725">
        <v>99.173922222222217</v>
      </c>
      <c r="W1725" t="s">
        <v>497</v>
      </c>
    </row>
    <row r="1726" spans="1:23" x14ac:dyDescent="0.25">
      <c r="A1726" t="s">
        <v>2176</v>
      </c>
      <c r="B1726" t="str">
        <f t="shared" si="27"/>
        <v>CM1200000683</v>
      </c>
      <c r="C1726" t="s">
        <v>225</v>
      </c>
      <c r="D1726" t="s">
        <v>77</v>
      </c>
      <c r="E1726" t="s">
        <v>82</v>
      </c>
      <c r="F1726">
        <v>10000</v>
      </c>
      <c r="G1726" s="13">
        <v>43397</v>
      </c>
      <c r="H1726" s="13">
        <v>43581</v>
      </c>
      <c r="I1726">
        <v>7828</v>
      </c>
      <c r="J1726">
        <v>2172</v>
      </c>
      <c r="K1726">
        <v>10000</v>
      </c>
      <c r="N1726">
        <v>28.571428571428569</v>
      </c>
      <c r="O1726">
        <v>2.62</v>
      </c>
      <c r="P1726">
        <v>234</v>
      </c>
      <c r="T1726">
        <v>98.675444444444437</v>
      </c>
      <c r="W1726" t="s">
        <v>497</v>
      </c>
    </row>
    <row r="1727" spans="1:23" x14ac:dyDescent="0.25">
      <c r="A1727" t="s">
        <v>2177</v>
      </c>
      <c r="B1727" t="str">
        <f t="shared" si="27"/>
        <v>GQ1300000577</v>
      </c>
      <c r="C1727" t="s">
        <v>528</v>
      </c>
      <c r="D1727" t="s">
        <v>77</v>
      </c>
      <c r="E1727" t="s">
        <v>287</v>
      </c>
      <c r="F1727">
        <v>15000</v>
      </c>
      <c r="G1727" s="13">
        <v>43397</v>
      </c>
      <c r="H1727" s="13">
        <v>43763</v>
      </c>
      <c r="I1727">
        <v>13000</v>
      </c>
      <c r="J1727">
        <v>2000</v>
      </c>
      <c r="K1727">
        <v>15000</v>
      </c>
      <c r="N1727">
        <v>0</v>
      </c>
      <c r="O1727">
        <v>8.0167000000000002</v>
      </c>
      <c r="P1727">
        <v>133.33330000000001</v>
      </c>
      <c r="T1727">
        <v>91.89422555555555</v>
      </c>
      <c r="W1727" t="s">
        <v>497</v>
      </c>
    </row>
    <row r="1728" spans="1:23" x14ac:dyDescent="0.25">
      <c r="A1728" t="s">
        <v>2178</v>
      </c>
      <c r="B1728" t="str">
        <f t="shared" si="27"/>
        <v>GA1200000774</v>
      </c>
      <c r="C1728" t="s">
        <v>227</v>
      </c>
      <c r="D1728" t="s">
        <v>77</v>
      </c>
      <c r="E1728" t="s">
        <v>82</v>
      </c>
      <c r="F1728">
        <v>15000</v>
      </c>
      <c r="G1728" s="13">
        <v>43404</v>
      </c>
      <c r="H1728" s="13">
        <v>43588</v>
      </c>
      <c r="I1728">
        <v>7187</v>
      </c>
      <c r="J1728">
        <v>7813</v>
      </c>
      <c r="K1728">
        <v>15000</v>
      </c>
      <c r="N1728">
        <v>0</v>
      </c>
      <c r="O1728">
        <v>3.395</v>
      </c>
      <c r="P1728">
        <v>166</v>
      </c>
      <c r="Q1728">
        <v>3.5</v>
      </c>
      <c r="R1728">
        <v>3.25</v>
      </c>
      <c r="S1728">
        <v>3.5</v>
      </c>
      <c r="T1728">
        <v>98.283638888888888</v>
      </c>
      <c r="W1728" t="s">
        <v>497</v>
      </c>
    </row>
    <row r="1729" spans="1:23" x14ac:dyDescent="0.25">
      <c r="A1729" t="s">
        <v>2179</v>
      </c>
      <c r="B1729" t="str">
        <f t="shared" si="27"/>
        <v>GQ1300000585</v>
      </c>
      <c r="C1729" t="s">
        <v>528</v>
      </c>
      <c r="D1729" t="s">
        <v>77</v>
      </c>
      <c r="E1729" t="s">
        <v>287</v>
      </c>
      <c r="F1729">
        <v>12000</v>
      </c>
      <c r="G1729" s="13">
        <v>43411</v>
      </c>
      <c r="H1729" s="13">
        <v>43777</v>
      </c>
      <c r="I1729">
        <v>10000</v>
      </c>
      <c r="J1729">
        <v>2000</v>
      </c>
      <c r="K1729">
        <v>12000</v>
      </c>
      <c r="N1729">
        <v>0</v>
      </c>
      <c r="O1729">
        <v>9.25</v>
      </c>
      <c r="P1729">
        <v>80</v>
      </c>
      <c r="Q1729">
        <v>9.5</v>
      </c>
      <c r="R1729">
        <v>8</v>
      </c>
      <c r="S1729">
        <v>9.5</v>
      </c>
      <c r="T1729">
        <v>90.647222222222226</v>
      </c>
      <c r="W1729" t="s">
        <v>497</v>
      </c>
    </row>
    <row r="1730" spans="1:23" x14ac:dyDescent="0.25">
      <c r="A1730" t="s">
        <v>2180</v>
      </c>
      <c r="B1730" t="str">
        <f t="shared" si="27"/>
        <v>CM1200000691</v>
      </c>
      <c r="C1730" t="s">
        <v>225</v>
      </c>
      <c r="D1730" t="s">
        <v>77</v>
      </c>
      <c r="E1730" t="s">
        <v>82</v>
      </c>
      <c r="F1730">
        <v>10000</v>
      </c>
      <c r="G1730" s="13">
        <v>43411</v>
      </c>
      <c r="H1730" s="13">
        <v>43595</v>
      </c>
      <c r="I1730">
        <v>3184</v>
      </c>
      <c r="J1730">
        <v>6816</v>
      </c>
      <c r="K1730">
        <v>10000</v>
      </c>
      <c r="N1730">
        <v>23.809523809523807</v>
      </c>
      <c r="O1730">
        <v>2.5375000000000001</v>
      </c>
      <c r="P1730">
        <v>210</v>
      </c>
      <c r="Q1730">
        <v>2.6</v>
      </c>
      <c r="R1730">
        <v>2.5</v>
      </c>
      <c r="S1730">
        <v>2.6</v>
      </c>
      <c r="T1730">
        <v>98.717152777777784</v>
      </c>
      <c r="W1730" t="s">
        <v>497</v>
      </c>
    </row>
    <row r="1731" spans="1:23" x14ac:dyDescent="0.25">
      <c r="A1731" t="s">
        <v>2181</v>
      </c>
      <c r="B1731" t="str">
        <f t="shared" si="27"/>
        <v>CG1200000137</v>
      </c>
      <c r="C1731" t="s">
        <v>229</v>
      </c>
      <c r="D1731" t="s">
        <v>77</v>
      </c>
      <c r="E1731" t="s">
        <v>82</v>
      </c>
      <c r="F1731">
        <v>3000</v>
      </c>
      <c r="G1731" s="13">
        <v>43411</v>
      </c>
      <c r="H1731" s="13">
        <v>43595</v>
      </c>
      <c r="I1731">
        <v>2000</v>
      </c>
      <c r="J1731">
        <v>1000</v>
      </c>
      <c r="K1731">
        <v>3000</v>
      </c>
      <c r="N1731">
        <v>13.043478260869565</v>
      </c>
      <c r="O1731">
        <v>6.3</v>
      </c>
      <c r="P1731">
        <v>42.857100000000003</v>
      </c>
      <c r="Q1731">
        <v>6.5</v>
      </c>
      <c r="R1731">
        <v>6.2</v>
      </c>
      <c r="S1731">
        <v>6.5</v>
      </c>
      <c r="T1731">
        <v>96.814999999999998</v>
      </c>
      <c r="W1731" t="s">
        <v>497</v>
      </c>
    </row>
    <row r="1732" spans="1:23" x14ac:dyDescent="0.25">
      <c r="A1732" t="s">
        <v>2182</v>
      </c>
      <c r="B1732" t="str">
        <f t="shared" si="27"/>
        <v>GA1100000726</v>
      </c>
      <c r="C1732" t="s">
        <v>227</v>
      </c>
      <c r="D1732" t="s">
        <v>77</v>
      </c>
      <c r="E1732" t="s">
        <v>78</v>
      </c>
      <c r="F1732">
        <v>15000</v>
      </c>
      <c r="G1732" s="13">
        <v>43411</v>
      </c>
      <c r="H1732" s="13">
        <v>43504</v>
      </c>
      <c r="I1732">
        <v>1000</v>
      </c>
      <c r="J1732">
        <v>14000</v>
      </c>
      <c r="K1732">
        <v>15000</v>
      </c>
      <c r="N1732">
        <v>0</v>
      </c>
      <c r="O1732">
        <v>3.3782999999999999</v>
      </c>
      <c r="P1732">
        <v>108.8</v>
      </c>
      <c r="Q1732">
        <v>3.5</v>
      </c>
      <c r="R1732">
        <v>3.2</v>
      </c>
      <c r="S1732">
        <v>3.5</v>
      </c>
      <c r="T1732">
        <v>99.146040833333331</v>
      </c>
      <c r="W1732" t="s">
        <v>497</v>
      </c>
    </row>
    <row r="1733" spans="1:23" x14ac:dyDescent="0.25">
      <c r="A1733" t="s">
        <v>2183</v>
      </c>
      <c r="B1733" t="str">
        <f t="shared" si="27"/>
        <v>CM1100000742</v>
      </c>
      <c r="C1733" t="s">
        <v>225</v>
      </c>
      <c r="D1733" t="s">
        <v>77</v>
      </c>
      <c r="E1733" t="s">
        <v>78</v>
      </c>
      <c r="F1733">
        <v>10000</v>
      </c>
      <c r="G1733" s="13">
        <v>43418</v>
      </c>
      <c r="H1733" s="13">
        <v>43511</v>
      </c>
      <c r="I1733">
        <v>9300</v>
      </c>
      <c r="J1733">
        <v>700</v>
      </c>
      <c r="K1733">
        <v>10000</v>
      </c>
      <c r="N1733">
        <v>23.809523809523807</v>
      </c>
      <c r="O1733">
        <v>2.6265000000000001</v>
      </c>
      <c r="P1733">
        <v>172</v>
      </c>
      <c r="Q1733">
        <v>2.75</v>
      </c>
      <c r="R1733">
        <v>2.4500000000000002</v>
      </c>
      <c r="S1733">
        <v>2.75</v>
      </c>
      <c r="T1733">
        <v>99.336079166666664</v>
      </c>
      <c r="W1733" t="s">
        <v>497</v>
      </c>
    </row>
    <row r="1734" spans="1:23" x14ac:dyDescent="0.25">
      <c r="A1734" t="s">
        <v>2184</v>
      </c>
      <c r="B1734" t="str">
        <f t="shared" si="27"/>
        <v>GA1200000782</v>
      </c>
      <c r="C1734" t="s">
        <v>227</v>
      </c>
      <c r="D1734" t="s">
        <v>77</v>
      </c>
      <c r="E1734" t="s">
        <v>82</v>
      </c>
      <c r="F1734">
        <v>15000</v>
      </c>
      <c r="G1734" s="13">
        <v>43418</v>
      </c>
      <c r="H1734" s="13">
        <v>43602</v>
      </c>
      <c r="I1734">
        <v>5000</v>
      </c>
      <c r="J1734">
        <v>10000</v>
      </c>
      <c r="K1734">
        <v>15000</v>
      </c>
      <c r="N1734">
        <v>0</v>
      </c>
      <c r="O1734">
        <v>3.47</v>
      </c>
      <c r="P1734">
        <v>130</v>
      </c>
      <c r="Q1734">
        <v>3.6</v>
      </c>
      <c r="R1734">
        <v>3.35</v>
      </c>
      <c r="S1734">
        <v>3.6</v>
      </c>
      <c r="T1734">
        <v>98.245722222222227</v>
      </c>
      <c r="W1734" t="s">
        <v>497</v>
      </c>
    </row>
    <row r="1735" spans="1:23" x14ac:dyDescent="0.25">
      <c r="A1735" t="s">
        <v>2185</v>
      </c>
      <c r="B1735" t="str">
        <f t="shared" si="27"/>
        <v>TD1200000305</v>
      </c>
      <c r="C1735" t="s">
        <v>237</v>
      </c>
      <c r="D1735" t="s">
        <v>77</v>
      </c>
      <c r="E1735" t="s">
        <v>82</v>
      </c>
      <c r="F1735">
        <v>20250</v>
      </c>
      <c r="G1735" s="13">
        <v>43418</v>
      </c>
      <c r="H1735" s="13">
        <v>43602</v>
      </c>
      <c r="I1735">
        <v>4050</v>
      </c>
      <c r="J1735">
        <v>16200</v>
      </c>
      <c r="K1735">
        <v>20250</v>
      </c>
      <c r="N1735">
        <v>0</v>
      </c>
      <c r="O1735">
        <v>6.5190000000000001</v>
      </c>
      <c r="P1735">
        <v>101.4815</v>
      </c>
      <c r="Q1735">
        <v>6.5</v>
      </c>
      <c r="R1735">
        <v>6</v>
      </c>
      <c r="S1735">
        <v>6.5</v>
      </c>
      <c r="T1735">
        <v>96.704283333333336</v>
      </c>
      <c r="W1735" t="s">
        <v>497</v>
      </c>
    </row>
    <row r="1736" spans="1:23" x14ac:dyDescent="0.25">
      <c r="A1736" t="s">
        <v>2186</v>
      </c>
      <c r="B1736" t="str">
        <f t="shared" si="27"/>
        <v>TD1200000313</v>
      </c>
      <c r="C1736" t="s">
        <v>237</v>
      </c>
      <c r="D1736" t="s">
        <v>77</v>
      </c>
      <c r="E1736" t="s">
        <v>82</v>
      </c>
      <c r="F1736">
        <v>15390</v>
      </c>
      <c r="G1736" s="13">
        <v>43425</v>
      </c>
      <c r="H1736" s="13">
        <v>43609</v>
      </c>
      <c r="I1736">
        <v>10798</v>
      </c>
      <c r="J1736">
        <v>4592</v>
      </c>
      <c r="K1736">
        <v>15390</v>
      </c>
      <c r="N1736">
        <v>0</v>
      </c>
      <c r="O1736">
        <v>6.3928000000000003</v>
      </c>
      <c r="P1736">
        <v>105.2632</v>
      </c>
      <c r="Q1736">
        <v>6.5</v>
      </c>
      <c r="R1736">
        <v>6</v>
      </c>
      <c r="S1736">
        <v>6.5</v>
      </c>
      <c r="T1736">
        <v>96.76808444444444</v>
      </c>
      <c r="W1736" t="s">
        <v>497</v>
      </c>
    </row>
    <row r="1737" spans="1:23" x14ac:dyDescent="0.25">
      <c r="A1737" t="s">
        <v>2187</v>
      </c>
      <c r="B1737" t="str">
        <f t="shared" si="27"/>
        <v>CG1200000145</v>
      </c>
      <c r="C1737" t="s">
        <v>229</v>
      </c>
      <c r="D1737" t="s">
        <v>77</v>
      </c>
      <c r="E1737" t="s">
        <v>82</v>
      </c>
      <c r="F1737">
        <v>4000</v>
      </c>
      <c r="G1737" s="13">
        <v>43425</v>
      </c>
      <c r="H1737" s="13">
        <v>43609</v>
      </c>
      <c r="I1737">
        <v>0</v>
      </c>
      <c r="J1737">
        <v>4000</v>
      </c>
      <c r="K1737">
        <v>4000</v>
      </c>
      <c r="N1737">
        <v>13.043478260869565</v>
      </c>
      <c r="O1737">
        <v>6.47</v>
      </c>
      <c r="P1737">
        <v>66.666700000000006</v>
      </c>
      <c r="Q1737">
        <v>6.5</v>
      </c>
      <c r="R1737">
        <v>6.3</v>
      </c>
      <c r="S1737">
        <v>6.5</v>
      </c>
      <c r="T1737">
        <v>96.729055555555561</v>
      </c>
      <c r="W1737" t="s">
        <v>497</v>
      </c>
    </row>
    <row r="1738" spans="1:23" x14ac:dyDescent="0.25">
      <c r="A1738" t="s">
        <v>2188</v>
      </c>
      <c r="B1738" t="str">
        <f t="shared" si="27"/>
        <v>GA1100000734</v>
      </c>
      <c r="C1738" t="s">
        <v>227</v>
      </c>
      <c r="D1738" t="s">
        <v>77</v>
      </c>
      <c r="E1738" t="s">
        <v>78</v>
      </c>
      <c r="F1738">
        <v>17000</v>
      </c>
      <c r="G1738" s="13">
        <v>43425</v>
      </c>
      <c r="H1738" s="13">
        <v>43518</v>
      </c>
      <c r="I1738">
        <v>7333</v>
      </c>
      <c r="J1738">
        <v>9667</v>
      </c>
      <c r="K1738">
        <v>17000</v>
      </c>
      <c r="N1738">
        <v>0</v>
      </c>
      <c r="O1738">
        <v>3.5162</v>
      </c>
      <c r="P1738">
        <v>108.8235</v>
      </c>
      <c r="Q1738">
        <v>3.5162</v>
      </c>
      <c r="R1738">
        <v>3.3</v>
      </c>
      <c r="S1738">
        <v>3.75</v>
      </c>
      <c r="T1738">
        <v>99.111182777777785</v>
      </c>
      <c r="W1738" t="s">
        <v>497</v>
      </c>
    </row>
    <row r="1739" spans="1:23" x14ac:dyDescent="0.25">
      <c r="A1739" t="s">
        <v>2189</v>
      </c>
      <c r="B1739" t="str">
        <f t="shared" si="27"/>
        <v>GA1100000742</v>
      </c>
      <c r="C1739" t="s">
        <v>227</v>
      </c>
      <c r="D1739" t="s">
        <v>77</v>
      </c>
      <c r="E1739" t="s">
        <v>78</v>
      </c>
      <c r="F1739">
        <v>14000</v>
      </c>
      <c r="G1739" s="13">
        <v>43432</v>
      </c>
      <c r="H1739" s="13">
        <v>43525</v>
      </c>
      <c r="I1739">
        <v>4000</v>
      </c>
      <c r="J1739">
        <v>10000</v>
      </c>
      <c r="K1739">
        <v>14000</v>
      </c>
      <c r="N1739">
        <v>0</v>
      </c>
      <c r="O1739">
        <v>3.7982</v>
      </c>
      <c r="P1739">
        <v>200</v>
      </c>
      <c r="Q1739">
        <v>4</v>
      </c>
      <c r="R1739">
        <v>3.35</v>
      </c>
      <c r="S1739">
        <v>4</v>
      </c>
      <c r="T1739">
        <v>99.039899444444444</v>
      </c>
      <c r="W1739" t="s">
        <v>497</v>
      </c>
    </row>
    <row r="1740" spans="1:23" x14ac:dyDescent="0.25">
      <c r="A1740" t="s">
        <v>2190</v>
      </c>
      <c r="B1740" t="str">
        <f t="shared" si="27"/>
        <v>GQ1300000593</v>
      </c>
      <c r="C1740" t="s">
        <v>528</v>
      </c>
      <c r="D1740" t="s">
        <v>77</v>
      </c>
      <c r="E1740" t="s">
        <v>287</v>
      </c>
      <c r="F1740">
        <v>8000</v>
      </c>
      <c r="G1740" s="13">
        <v>43439</v>
      </c>
      <c r="H1740" s="13">
        <v>43805</v>
      </c>
      <c r="I1740">
        <v>5000</v>
      </c>
      <c r="J1740">
        <v>3000</v>
      </c>
      <c r="K1740">
        <v>8000</v>
      </c>
      <c r="N1740">
        <v>0</v>
      </c>
      <c r="O1740">
        <v>8.1875</v>
      </c>
      <c r="P1740">
        <v>53.52</v>
      </c>
      <c r="Q1740">
        <v>8.5</v>
      </c>
      <c r="R1740">
        <v>8</v>
      </c>
      <c r="S1740">
        <v>8.5</v>
      </c>
      <c r="T1740">
        <v>91.72152777777778</v>
      </c>
      <c r="W1740" t="s">
        <v>497</v>
      </c>
    </row>
    <row r="1741" spans="1:23" x14ac:dyDescent="0.25">
      <c r="A1741" t="s">
        <v>2191</v>
      </c>
      <c r="B1741" t="str">
        <f t="shared" si="27"/>
        <v>GA1100000759</v>
      </c>
      <c r="C1741" t="s">
        <v>227</v>
      </c>
      <c r="D1741" t="s">
        <v>77</v>
      </c>
      <c r="E1741" t="s">
        <v>78</v>
      </c>
      <c r="F1741">
        <v>15000</v>
      </c>
      <c r="G1741" s="13">
        <v>43439</v>
      </c>
      <c r="H1741" s="13">
        <v>43532</v>
      </c>
      <c r="I1741">
        <v>4000</v>
      </c>
      <c r="J1741">
        <v>11000</v>
      </c>
      <c r="K1741">
        <v>15000</v>
      </c>
      <c r="N1741">
        <v>0</v>
      </c>
      <c r="O1741">
        <v>3.85</v>
      </c>
      <c r="P1741">
        <v>131.33330000000001</v>
      </c>
      <c r="Q1741">
        <v>4.25</v>
      </c>
      <c r="R1741">
        <v>3.35</v>
      </c>
      <c r="S1741">
        <v>4.25</v>
      </c>
      <c r="T1741">
        <v>99.026805555555555</v>
      </c>
      <c r="W1741" t="s">
        <v>497</v>
      </c>
    </row>
    <row r="1742" spans="1:23" x14ac:dyDescent="0.25">
      <c r="A1742" t="s">
        <v>2192</v>
      </c>
      <c r="B1742" t="str">
        <f t="shared" si="27"/>
        <v>CG1200000152</v>
      </c>
      <c r="C1742" t="s">
        <v>229</v>
      </c>
      <c r="D1742" t="s">
        <v>77</v>
      </c>
      <c r="E1742" t="s">
        <v>82</v>
      </c>
      <c r="F1742">
        <v>5110</v>
      </c>
      <c r="G1742" s="13">
        <v>43446</v>
      </c>
      <c r="H1742" s="13">
        <v>43630</v>
      </c>
      <c r="I1742">
        <v>1110</v>
      </c>
      <c r="J1742">
        <v>4000</v>
      </c>
      <c r="K1742">
        <v>5110</v>
      </c>
      <c r="N1742">
        <v>26.086956521739129</v>
      </c>
      <c r="O1742">
        <v>6.4684999999999997</v>
      </c>
      <c r="P1742">
        <v>84.555599999999998</v>
      </c>
      <c r="Q1742">
        <v>6.5</v>
      </c>
      <c r="R1742">
        <v>6</v>
      </c>
      <c r="S1742">
        <v>6.5</v>
      </c>
      <c r="T1742">
        <v>96.729813888888884</v>
      </c>
      <c r="W1742" t="s">
        <v>497</v>
      </c>
    </row>
    <row r="1743" spans="1:23" x14ac:dyDescent="0.25">
      <c r="A1743" t="s">
        <v>2193</v>
      </c>
      <c r="B1743" t="str">
        <f t="shared" si="27"/>
        <v>GA1200000790</v>
      </c>
      <c r="C1743" t="s">
        <v>227</v>
      </c>
      <c r="D1743" t="s">
        <v>77</v>
      </c>
      <c r="E1743" t="s">
        <v>82</v>
      </c>
      <c r="F1743">
        <v>9500</v>
      </c>
      <c r="G1743" s="13">
        <v>43446</v>
      </c>
      <c r="H1743" s="13">
        <v>43630</v>
      </c>
      <c r="I1743">
        <v>2000</v>
      </c>
      <c r="J1743">
        <v>7500</v>
      </c>
      <c r="K1743">
        <v>9500</v>
      </c>
      <c r="N1743">
        <v>0</v>
      </c>
      <c r="O1743">
        <v>3.8763000000000001</v>
      </c>
      <c r="P1743">
        <v>146.66669999999999</v>
      </c>
      <c r="Q1743">
        <v>4.0999999999999996</v>
      </c>
      <c r="R1743">
        <v>3.35</v>
      </c>
      <c r="S1743">
        <v>4.0999999999999996</v>
      </c>
      <c r="T1743">
        <v>98.040315000000007</v>
      </c>
      <c r="W1743" t="s">
        <v>497</v>
      </c>
    </row>
    <row r="1744" spans="1:23" x14ac:dyDescent="0.25">
      <c r="A1744" t="s">
        <v>2194</v>
      </c>
      <c r="B1744" t="str">
        <f t="shared" si="27"/>
        <v>CF1200000310</v>
      </c>
      <c r="C1744" t="s">
        <v>634</v>
      </c>
      <c r="D1744" t="s">
        <v>77</v>
      </c>
      <c r="E1744" t="s">
        <v>82</v>
      </c>
      <c r="F1744">
        <v>4000</v>
      </c>
      <c r="G1744" s="13">
        <v>43446</v>
      </c>
      <c r="H1744" s="13">
        <v>43630</v>
      </c>
      <c r="I1744">
        <v>4000</v>
      </c>
      <c r="J1744">
        <v>0</v>
      </c>
      <c r="K1744">
        <v>4000</v>
      </c>
      <c r="N1744">
        <v>0</v>
      </c>
      <c r="O1744">
        <v>5.125</v>
      </c>
      <c r="P1744">
        <v>100</v>
      </c>
      <c r="Q1744">
        <v>5.5</v>
      </c>
      <c r="R1744">
        <v>5</v>
      </c>
      <c r="S1744">
        <v>5.5</v>
      </c>
      <c r="T1744">
        <v>97.40902777777778</v>
      </c>
      <c r="W1744" t="s">
        <v>497</v>
      </c>
    </row>
    <row r="1745" spans="1:23" x14ac:dyDescent="0.25">
      <c r="A1745" t="s">
        <v>2195</v>
      </c>
      <c r="B1745" t="str">
        <f t="shared" si="27"/>
        <v>TD1200000321</v>
      </c>
      <c r="C1745" t="s">
        <v>237</v>
      </c>
      <c r="D1745" t="s">
        <v>77</v>
      </c>
      <c r="E1745" t="s">
        <v>82</v>
      </c>
      <c r="F1745">
        <v>11700</v>
      </c>
      <c r="G1745" s="13">
        <v>43446</v>
      </c>
      <c r="H1745" s="13">
        <v>43630</v>
      </c>
      <c r="I1745">
        <v>9000</v>
      </c>
      <c r="J1745">
        <v>2700</v>
      </c>
      <c r="K1745">
        <v>11700</v>
      </c>
      <c r="N1745">
        <v>0</v>
      </c>
      <c r="O1745">
        <v>6.2019000000000002</v>
      </c>
      <c r="P1745">
        <v>102.5641</v>
      </c>
      <c r="Q1745">
        <v>6.5</v>
      </c>
      <c r="R1745">
        <v>6</v>
      </c>
      <c r="S1745">
        <v>6.5</v>
      </c>
      <c r="T1745">
        <v>96.864594999999994</v>
      </c>
      <c r="W1745" t="s">
        <v>497</v>
      </c>
    </row>
    <row r="1746" spans="1:23" x14ac:dyDescent="0.25">
      <c r="A1746" t="s">
        <v>2196</v>
      </c>
      <c r="B1746" t="str">
        <f t="shared" si="27"/>
        <v>CG1200000160</v>
      </c>
      <c r="C1746" t="s">
        <v>229</v>
      </c>
      <c r="D1746" t="s">
        <v>77</v>
      </c>
      <c r="E1746" t="s">
        <v>82</v>
      </c>
      <c r="F1746">
        <v>3000</v>
      </c>
      <c r="G1746" s="13">
        <v>43453</v>
      </c>
      <c r="H1746" s="13">
        <v>43637</v>
      </c>
      <c r="I1746">
        <v>0</v>
      </c>
      <c r="J1746">
        <v>3000</v>
      </c>
      <c r="K1746">
        <v>3000</v>
      </c>
      <c r="N1746">
        <v>13.043478260869565</v>
      </c>
      <c r="O1746">
        <v>6.3666999999999998</v>
      </c>
      <c r="P1746">
        <v>51.666699999999999</v>
      </c>
      <c r="Q1746">
        <v>6.7</v>
      </c>
      <c r="R1746">
        <v>5</v>
      </c>
      <c r="S1746">
        <v>6.7</v>
      </c>
      <c r="T1746">
        <v>96.781279444444451</v>
      </c>
      <c r="W1746" t="s">
        <v>497</v>
      </c>
    </row>
    <row r="1747" spans="1:23" x14ac:dyDescent="0.25">
      <c r="A1747" t="s">
        <v>2197</v>
      </c>
      <c r="B1747" t="str">
        <f t="shared" si="27"/>
        <v>CM1100000759</v>
      </c>
      <c r="C1747" t="s">
        <v>225</v>
      </c>
      <c r="D1747" t="s">
        <v>77</v>
      </c>
      <c r="E1747" t="s">
        <v>78</v>
      </c>
      <c r="F1747">
        <v>10000</v>
      </c>
      <c r="G1747" s="13">
        <v>43453</v>
      </c>
      <c r="H1747" s="13">
        <v>43546</v>
      </c>
      <c r="I1747">
        <v>10000</v>
      </c>
      <c r="J1747">
        <v>0</v>
      </c>
      <c r="K1747">
        <v>10000</v>
      </c>
      <c r="N1747">
        <v>19.047619047619047</v>
      </c>
      <c r="O1747">
        <v>2.585</v>
      </c>
      <c r="P1747">
        <v>210</v>
      </c>
      <c r="Q1747">
        <v>2.6</v>
      </c>
      <c r="R1747">
        <v>2.5</v>
      </c>
      <c r="S1747">
        <v>2.6</v>
      </c>
      <c r="T1747">
        <v>99.346569444444441</v>
      </c>
      <c r="W1747" t="s">
        <v>497</v>
      </c>
    </row>
    <row r="1748" spans="1:23" x14ac:dyDescent="0.25">
      <c r="A1748" t="s">
        <v>2198</v>
      </c>
      <c r="B1748" t="str">
        <f t="shared" si="27"/>
        <v>GA1200000808</v>
      </c>
      <c r="C1748" t="s">
        <v>227</v>
      </c>
      <c r="D1748" t="s">
        <v>77</v>
      </c>
      <c r="E1748" t="s">
        <v>82</v>
      </c>
      <c r="F1748">
        <v>17000</v>
      </c>
      <c r="G1748" s="13">
        <v>43453</v>
      </c>
      <c r="H1748" s="13">
        <v>43637</v>
      </c>
      <c r="I1748">
        <v>4000</v>
      </c>
      <c r="J1748">
        <v>13000</v>
      </c>
      <c r="K1748">
        <v>17000</v>
      </c>
      <c r="N1748">
        <v>0</v>
      </c>
      <c r="O1748">
        <v>4.0293999999999999</v>
      </c>
      <c r="P1748">
        <v>111.7647</v>
      </c>
      <c r="Q1748">
        <v>4.5</v>
      </c>
      <c r="R1748">
        <v>3.45</v>
      </c>
      <c r="S1748">
        <v>4.5</v>
      </c>
      <c r="T1748">
        <v>97.962914444444451</v>
      </c>
      <c r="W1748" t="s">
        <v>497</v>
      </c>
    </row>
    <row r="1749" spans="1:23" x14ac:dyDescent="0.25">
      <c r="A1749" t="s">
        <v>2199</v>
      </c>
      <c r="B1749" t="str">
        <f t="shared" si="27"/>
        <v>TD1200000339</v>
      </c>
      <c r="C1749" t="s">
        <v>237</v>
      </c>
      <c r="D1749" t="s">
        <v>77</v>
      </c>
      <c r="E1749" t="s">
        <v>82</v>
      </c>
      <c r="F1749">
        <v>12150</v>
      </c>
      <c r="G1749" s="13">
        <v>43453</v>
      </c>
      <c r="H1749" s="13">
        <v>43637</v>
      </c>
      <c r="I1749">
        <v>9813</v>
      </c>
      <c r="J1749">
        <v>2337</v>
      </c>
      <c r="K1749">
        <v>12150</v>
      </c>
      <c r="N1749">
        <v>0</v>
      </c>
      <c r="O1749">
        <v>6.5</v>
      </c>
      <c r="P1749">
        <v>106.995</v>
      </c>
      <c r="Q1749">
        <v>6.5</v>
      </c>
      <c r="R1749">
        <v>6.5</v>
      </c>
      <c r="S1749">
        <v>6.5</v>
      </c>
      <c r="T1749">
        <v>96.713888888888889</v>
      </c>
      <c r="W1749" t="s">
        <v>497</v>
      </c>
    </row>
    <row r="1750" spans="1:23" x14ac:dyDescent="0.25">
      <c r="A1750" t="s">
        <v>2200</v>
      </c>
      <c r="B1750" t="str">
        <f t="shared" si="27"/>
        <v>CM1100000767</v>
      </c>
      <c r="C1750" t="s">
        <v>225</v>
      </c>
      <c r="D1750" t="s">
        <v>77</v>
      </c>
      <c r="E1750" t="s">
        <v>78</v>
      </c>
      <c r="F1750">
        <v>10000</v>
      </c>
      <c r="G1750" s="13">
        <v>43460</v>
      </c>
      <c r="H1750" s="13">
        <v>43553</v>
      </c>
      <c r="I1750">
        <v>10000</v>
      </c>
      <c r="J1750">
        <v>0</v>
      </c>
      <c r="K1750">
        <v>10000</v>
      </c>
      <c r="N1750">
        <v>9.5238095238095237</v>
      </c>
      <c r="O1750">
        <v>2.6</v>
      </c>
      <c r="P1750">
        <v>110</v>
      </c>
      <c r="Q1750">
        <v>2.6</v>
      </c>
      <c r="R1750">
        <v>2.6</v>
      </c>
      <c r="S1750">
        <v>2.6</v>
      </c>
      <c r="T1750">
        <v>99.342777777777783</v>
      </c>
      <c r="W1750" t="s">
        <v>497</v>
      </c>
    </row>
    <row r="1751" spans="1:23" x14ac:dyDescent="0.25">
      <c r="A1751" t="s">
        <v>2201</v>
      </c>
      <c r="B1751" t="str">
        <f t="shared" si="27"/>
        <v>GA1100000767</v>
      </c>
      <c r="C1751" t="s">
        <v>227</v>
      </c>
      <c r="D1751" t="s">
        <v>77</v>
      </c>
      <c r="E1751" t="s">
        <v>78</v>
      </c>
      <c r="F1751">
        <v>12000</v>
      </c>
      <c r="G1751" s="13">
        <v>43460</v>
      </c>
      <c r="H1751" s="13">
        <v>43553</v>
      </c>
      <c r="I1751">
        <v>4200</v>
      </c>
      <c r="J1751">
        <v>7800</v>
      </c>
      <c r="K1751">
        <v>12000</v>
      </c>
      <c r="N1751">
        <v>0</v>
      </c>
      <c r="O1751">
        <v>3.9340000000000002</v>
      </c>
      <c r="P1751">
        <v>124.7667</v>
      </c>
      <c r="Q1751">
        <v>4.5</v>
      </c>
      <c r="R1751">
        <v>3.45</v>
      </c>
      <c r="S1751">
        <v>4.5</v>
      </c>
      <c r="T1751">
        <v>99.005572222222227</v>
      </c>
      <c r="W1751" t="s">
        <v>497</v>
      </c>
    </row>
    <row r="1752" spans="1:23" x14ac:dyDescent="0.25">
      <c r="A1752" t="s">
        <v>2202</v>
      </c>
      <c r="B1752" t="str">
        <f t="shared" si="27"/>
        <v>TD1200000354</v>
      </c>
      <c r="C1752" t="s">
        <v>237</v>
      </c>
      <c r="D1752" t="s">
        <v>77</v>
      </c>
      <c r="E1752" t="s">
        <v>82</v>
      </c>
      <c r="F1752">
        <v>27000</v>
      </c>
      <c r="G1752" s="13">
        <v>43460</v>
      </c>
      <c r="H1752" s="13">
        <v>43644</v>
      </c>
      <c r="I1752">
        <v>27000</v>
      </c>
      <c r="J1752">
        <v>0</v>
      </c>
      <c r="K1752">
        <v>27000</v>
      </c>
      <c r="N1752">
        <v>0</v>
      </c>
      <c r="O1752">
        <v>6.25</v>
      </c>
      <c r="P1752">
        <v>100</v>
      </c>
      <c r="Q1752">
        <v>6.25</v>
      </c>
      <c r="R1752">
        <v>6.25</v>
      </c>
      <c r="S1752">
        <v>6.25</v>
      </c>
      <c r="T1752">
        <v>96.840277777777771</v>
      </c>
      <c r="W1752" t="s">
        <v>497</v>
      </c>
    </row>
    <row r="1753" spans="1:23" x14ac:dyDescent="0.25">
      <c r="A1753" t="s">
        <v>2203</v>
      </c>
      <c r="B1753" t="str">
        <f t="shared" si="27"/>
        <v>TD1200000347</v>
      </c>
      <c r="C1753" t="s">
        <v>237</v>
      </c>
      <c r="D1753" t="s">
        <v>77</v>
      </c>
      <c r="E1753" t="s">
        <v>82</v>
      </c>
      <c r="F1753">
        <v>13500</v>
      </c>
      <c r="G1753" s="13">
        <v>43460</v>
      </c>
      <c r="H1753" s="13">
        <v>43644</v>
      </c>
      <c r="I1753">
        <v>13500</v>
      </c>
      <c r="J1753">
        <v>0</v>
      </c>
      <c r="K1753">
        <v>13500</v>
      </c>
      <c r="N1753">
        <v>0</v>
      </c>
      <c r="O1753">
        <v>6.25</v>
      </c>
      <c r="P1753">
        <v>100</v>
      </c>
      <c r="Q1753">
        <v>6.25</v>
      </c>
      <c r="R1753">
        <v>6.25</v>
      </c>
      <c r="S1753">
        <v>6.25</v>
      </c>
      <c r="T1753">
        <v>96.840277777777771</v>
      </c>
      <c r="W1753" t="s">
        <v>497</v>
      </c>
    </row>
    <row r="1754" spans="1:23" x14ac:dyDescent="0.25">
      <c r="A1754" t="s">
        <v>2204</v>
      </c>
      <c r="B1754" t="str">
        <f t="shared" si="27"/>
        <v>GA1200000816</v>
      </c>
      <c r="C1754" t="s">
        <v>227</v>
      </c>
      <c r="D1754" t="s">
        <v>77</v>
      </c>
      <c r="E1754" t="s">
        <v>82</v>
      </c>
      <c r="F1754">
        <v>8000</v>
      </c>
      <c r="G1754" s="13">
        <v>43467</v>
      </c>
      <c r="H1754" s="13">
        <v>43651</v>
      </c>
      <c r="I1754">
        <v>1950</v>
      </c>
      <c r="J1754">
        <v>6050</v>
      </c>
      <c r="K1754">
        <v>8000</v>
      </c>
      <c r="N1754">
        <v>0</v>
      </c>
      <c r="O1754">
        <v>4.1938000000000004</v>
      </c>
      <c r="P1754">
        <v>161.875</v>
      </c>
      <c r="T1754">
        <v>97.879801111111107</v>
      </c>
      <c r="W1754" t="s">
        <v>497</v>
      </c>
    </row>
    <row r="1755" spans="1:23" x14ac:dyDescent="0.25">
      <c r="A1755" t="s">
        <v>2205</v>
      </c>
      <c r="B1755" t="str">
        <f t="shared" ref="B1755:B1818" si="28">MID(A1755,1,12)</f>
        <v>CM1100000775</v>
      </c>
      <c r="C1755" t="s">
        <v>225</v>
      </c>
      <c r="D1755" t="s">
        <v>77</v>
      </c>
      <c r="E1755" t="s">
        <v>78</v>
      </c>
      <c r="F1755">
        <v>5000</v>
      </c>
      <c r="G1755" s="13">
        <v>43474</v>
      </c>
      <c r="H1755" s="13">
        <v>43567</v>
      </c>
      <c r="I1755">
        <v>4417</v>
      </c>
      <c r="J1755">
        <v>583</v>
      </c>
      <c r="K1755">
        <v>5000</v>
      </c>
      <c r="N1755">
        <v>33.333333333333329</v>
      </c>
      <c r="O1755">
        <v>2.5049999999999999</v>
      </c>
      <c r="P1755">
        <v>430</v>
      </c>
      <c r="T1755">
        <v>99.366791666666671</v>
      </c>
      <c r="W1755" t="s">
        <v>497</v>
      </c>
    </row>
    <row r="1756" spans="1:23" x14ac:dyDescent="0.25">
      <c r="A1756" t="s">
        <v>2206</v>
      </c>
      <c r="B1756" t="str">
        <f t="shared" si="28"/>
        <v>CG1200000178</v>
      </c>
      <c r="C1756" t="s">
        <v>229</v>
      </c>
      <c r="D1756" t="s">
        <v>77</v>
      </c>
      <c r="E1756" t="s">
        <v>82</v>
      </c>
      <c r="F1756">
        <v>3000</v>
      </c>
      <c r="G1756" s="13">
        <v>43474</v>
      </c>
      <c r="H1756" s="13">
        <v>43658</v>
      </c>
      <c r="I1756">
        <v>2000</v>
      </c>
      <c r="J1756">
        <v>1000</v>
      </c>
      <c r="K1756">
        <v>3000</v>
      </c>
      <c r="N1756">
        <v>8.695652173913043</v>
      </c>
      <c r="O1756">
        <v>6.4166999999999996</v>
      </c>
      <c r="P1756">
        <v>37.5</v>
      </c>
      <c r="T1756">
        <v>96.756001666666663</v>
      </c>
      <c r="W1756" t="s">
        <v>497</v>
      </c>
    </row>
    <row r="1757" spans="1:23" x14ac:dyDescent="0.25">
      <c r="A1757" t="s">
        <v>2207</v>
      </c>
      <c r="B1757" t="str">
        <f t="shared" si="28"/>
        <v>GA1100000775</v>
      </c>
      <c r="C1757" t="s">
        <v>227</v>
      </c>
      <c r="D1757" t="s">
        <v>77</v>
      </c>
      <c r="E1757" t="s">
        <v>78</v>
      </c>
      <c r="F1757">
        <v>14481</v>
      </c>
      <c r="G1757" s="13">
        <v>43474</v>
      </c>
      <c r="H1757" s="13">
        <v>43567</v>
      </c>
      <c r="I1757">
        <v>3481</v>
      </c>
      <c r="J1757">
        <v>11000</v>
      </c>
      <c r="K1757">
        <v>14481</v>
      </c>
      <c r="N1757">
        <v>0</v>
      </c>
      <c r="O1757">
        <v>4.1974999999999998</v>
      </c>
      <c r="P1757">
        <v>96.54</v>
      </c>
      <c r="T1757">
        <v>98.938965277777783</v>
      </c>
      <c r="W1757" t="s">
        <v>497</v>
      </c>
    </row>
    <row r="1758" spans="1:23" x14ac:dyDescent="0.25">
      <c r="A1758" t="s">
        <v>2208</v>
      </c>
      <c r="B1758" t="str">
        <f t="shared" si="28"/>
        <v>TD1200000362</v>
      </c>
      <c r="C1758" t="s">
        <v>237</v>
      </c>
      <c r="D1758" t="s">
        <v>77</v>
      </c>
      <c r="E1758" t="s">
        <v>82</v>
      </c>
      <c r="F1758">
        <v>20250</v>
      </c>
      <c r="G1758" s="13">
        <v>43474</v>
      </c>
      <c r="H1758" s="13">
        <v>43658</v>
      </c>
      <c r="I1758">
        <v>20250</v>
      </c>
      <c r="J1758">
        <v>0</v>
      </c>
      <c r="K1758">
        <v>20250</v>
      </c>
      <c r="N1758">
        <v>0</v>
      </c>
      <c r="O1758">
        <v>6.25</v>
      </c>
      <c r="P1758">
        <v>100</v>
      </c>
      <c r="T1758">
        <v>96.840277777777771</v>
      </c>
      <c r="W1758" t="s">
        <v>497</v>
      </c>
    </row>
    <row r="1759" spans="1:23" x14ac:dyDescent="0.25">
      <c r="A1759" t="s">
        <v>2209</v>
      </c>
      <c r="B1759" t="str">
        <f t="shared" si="28"/>
        <v>GQ1300000601</v>
      </c>
      <c r="C1759" t="s">
        <v>528</v>
      </c>
      <c r="D1759" t="s">
        <v>77</v>
      </c>
      <c r="E1759" t="s">
        <v>287</v>
      </c>
      <c r="F1759">
        <v>15000</v>
      </c>
      <c r="G1759" s="13">
        <v>43474</v>
      </c>
      <c r="H1759" s="13">
        <v>43840</v>
      </c>
      <c r="I1759">
        <v>11500</v>
      </c>
      <c r="J1759">
        <v>3500</v>
      </c>
      <c r="K1759">
        <v>15000</v>
      </c>
      <c r="N1759">
        <v>0</v>
      </c>
      <c r="O1759">
        <v>8.17</v>
      </c>
      <c r="P1759">
        <v>143.33330000000001</v>
      </c>
      <c r="T1759">
        <v>91.739222222222224</v>
      </c>
      <c r="W1759" t="s">
        <v>497</v>
      </c>
    </row>
    <row r="1760" spans="1:23" x14ac:dyDescent="0.25">
      <c r="A1760" t="s">
        <v>2210</v>
      </c>
      <c r="B1760" t="str">
        <f t="shared" si="28"/>
        <v>TD1200000370</v>
      </c>
      <c r="C1760" t="s">
        <v>237</v>
      </c>
      <c r="D1760" t="s">
        <v>77</v>
      </c>
      <c r="E1760" t="s">
        <v>82</v>
      </c>
      <c r="F1760">
        <v>15745</v>
      </c>
      <c r="G1760" s="13">
        <v>43481</v>
      </c>
      <c r="H1760" s="13">
        <v>43665</v>
      </c>
      <c r="I1760">
        <v>15421</v>
      </c>
      <c r="J1760">
        <v>324</v>
      </c>
      <c r="K1760">
        <v>15745</v>
      </c>
      <c r="N1760">
        <v>0</v>
      </c>
      <c r="O1760">
        <v>6.2449000000000003</v>
      </c>
      <c r="P1760">
        <v>102.9819</v>
      </c>
      <c r="T1760">
        <v>96.842856111111104</v>
      </c>
      <c r="W1760" t="s">
        <v>497</v>
      </c>
    </row>
    <row r="1761" spans="1:23" x14ac:dyDescent="0.25">
      <c r="A1761" t="s">
        <v>2211</v>
      </c>
      <c r="B1761" t="str">
        <f t="shared" si="28"/>
        <v>GA1200000824</v>
      </c>
      <c r="C1761" t="s">
        <v>227</v>
      </c>
      <c r="D1761" t="s">
        <v>77</v>
      </c>
      <c r="E1761" t="s">
        <v>82</v>
      </c>
      <c r="F1761">
        <v>15000</v>
      </c>
      <c r="G1761" s="13">
        <v>43481</v>
      </c>
      <c r="H1761" s="13">
        <v>43665</v>
      </c>
      <c r="I1761">
        <v>2490</v>
      </c>
      <c r="J1761">
        <v>12510</v>
      </c>
      <c r="K1761">
        <v>15000</v>
      </c>
      <c r="N1761">
        <v>0</v>
      </c>
      <c r="O1761">
        <v>4.4739000000000004</v>
      </c>
      <c r="P1761">
        <v>158.6</v>
      </c>
      <c r="T1761">
        <v>97.738195000000005</v>
      </c>
      <c r="W1761" t="s">
        <v>497</v>
      </c>
    </row>
    <row r="1762" spans="1:23" x14ac:dyDescent="0.25">
      <c r="A1762" t="s">
        <v>2212</v>
      </c>
      <c r="B1762" t="str">
        <f t="shared" si="28"/>
        <v>CM1200000709</v>
      </c>
      <c r="C1762" t="s">
        <v>225</v>
      </c>
      <c r="D1762" t="s">
        <v>77</v>
      </c>
      <c r="E1762" t="s">
        <v>82</v>
      </c>
      <c r="F1762">
        <v>10000</v>
      </c>
      <c r="G1762" s="13">
        <v>43481</v>
      </c>
      <c r="H1762" s="13">
        <v>43665</v>
      </c>
      <c r="I1762">
        <v>4000</v>
      </c>
      <c r="J1762">
        <v>6000</v>
      </c>
      <c r="K1762">
        <v>10000</v>
      </c>
      <c r="N1762">
        <v>33.333333333333329</v>
      </c>
      <c r="O1762">
        <v>2.492</v>
      </c>
      <c r="P1762">
        <v>317</v>
      </c>
      <c r="T1762">
        <v>98.74015555555556</v>
      </c>
      <c r="W1762" t="s">
        <v>497</v>
      </c>
    </row>
    <row r="1763" spans="1:23" x14ac:dyDescent="0.25">
      <c r="A1763" t="s">
        <v>2213</v>
      </c>
      <c r="B1763" t="str">
        <f t="shared" si="28"/>
        <v>CM1200000717</v>
      </c>
      <c r="C1763" t="s">
        <v>225</v>
      </c>
      <c r="D1763" t="s">
        <v>77</v>
      </c>
      <c r="E1763" t="s">
        <v>82</v>
      </c>
      <c r="F1763">
        <v>7000</v>
      </c>
      <c r="G1763" s="13">
        <v>43488</v>
      </c>
      <c r="H1763" s="13">
        <v>43672</v>
      </c>
      <c r="I1763">
        <v>2720</v>
      </c>
      <c r="J1763">
        <v>4280</v>
      </c>
      <c r="K1763">
        <v>7000</v>
      </c>
      <c r="N1763">
        <v>33.333333333333329</v>
      </c>
      <c r="O1763">
        <v>2.4557000000000002</v>
      </c>
      <c r="P1763">
        <v>434.28570000000002</v>
      </c>
      <c r="T1763">
        <v>98.758507222222221</v>
      </c>
      <c r="W1763" t="s">
        <v>497</v>
      </c>
    </row>
    <row r="1764" spans="1:23" x14ac:dyDescent="0.25">
      <c r="A1764" t="s">
        <v>2214</v>
      </c>
      <c r="B1764" t="str">
        <f t="shared" si="28"/>
        <v>GA1100000783</v>
      </c>
      <c r="C1764" t="s">
        <v>227</v>
      </c>
      <c r="D1764" t="s">
        <v>77</v>
      </c>
      <c r="E1764" t="s">
        <v>78</v>
      </c>
      <c r="F1764">
        <v>15000</v>
      </c>
      <c r="G1764" s="13">
        <v>43488</v>
      </c>
      <c r="H1764" s="13">
        <v>43581</v>
      </c>
      <c r="I1764">
        <v>3913</v>
      </c>
      <c r="J1764">
        <v>11087</v>
      </c>
      <c r="K1764">
        <v>15000</v>
      </c>
      <c r="N1764">
        <v>0</v>
      </c>
      <c r="O1764">
        <v>3.9952000000000001</v>
      </c>
      <c r="P1764">
        <v>140.48670000000001</v>
      </c>
      <c r="T1764">
        <v>98.99010222222222</v>
      </c>
      <c r="W1764" t="s">
        <v>497</v>
      </c>
    </row>
    <row r="1765" spans="1:23" x14ac:dyDescent="0.25">
      <c r="A1765" t="s">
        <v>2215</v>
      </c>
      <c r="B1765" t="str">
        <f t="shared" si="28"/>
        <v>TD1200000388</v>
      </c>
      <c r="C1765" t="s">
        <v>237</v>
      </c>
      <c r="D1765" t="s">
        <v>77</v>
      </c>
      <c r="E1765" t="s">
        <v>82</v>
      </c>
      <c r="F1765">
        <v>5400</v>
      </c>
      <c r="G1765" s="13">
        <v>43488</v>
      </c>
      <c r="H1765" s="13">
        <v>43672</v>
      </c>
      <c r="I1765">
        <v>5400</v>
      </c>
      <c r="J1765">
        <v>0</v>
      </c>
      <c r="K1765">
        <v>5400</v>
      </c>
      <c r="N1765">
        <v>0</v>
      </c>
      <c r="O1765">
        <v>6.5</v>
      </c>
      <c r="P1765">
        <v>100</v>
      </c>
      <c r="T1765">
        <v>96.713888888888889</v>
      </c>
      <c r="W1765" t="s">
        <v>497</v>
      </c>
    </row>
    <row r="1766" spans="1:23" x14ac:dyDescent="0.25">
      <c r="A1766" t="s">
        <v>2216</v>
      </c>
      <c r="B1766" t="str">
        <f t="shared" si="28"/>
        <v>GQ1300000619</v>
      </c>
      <c r="C1766" t="s">
        <v>528</v>
      </c>
      <c r="D1766" t="s">
        <v>77</v>
      </c>
      <c r="E1766" t="s">
        <v>287</v>
      </c>
      <c r="F1766">
        <v>15000</v>
      </c>
      <c r="G1766" s="13">
        <v>43488</v>
      </c>
      <c r="H1766" s="13">
        <v>43854</v>
      </c>
      <c r="I1766">
        <v>12000</v>
      </c>
      <c r="J1766">
        <v>3000</v>
      </c>
      <c r="K1766">
        <v>15000</v>
      </c>
      <c r="N1766">
        <v>0</v>
      </c>
      <c r="O1766">
        <v>9.3000000000000007</v>
      </c>
      <c r="P1766">
        <v>120</v>
      </c>
      <c r="Q1766">
        <v>9.5</v>
      </c>
      <c r="R1766">
        <v>8.5</v>
      </c>
      <c r="S1766">
        <v>9.5</v>
      </c>
      <c r="T1766">
        <v>90.596666666666664</v>
      </c>
      <c r="W1766" t="s">
        <v>497</v>
      </c>
    </row>
    <row r="1767" spans="1:23" x14ac:dyDescent="0.25">
      <c r="A1767" t="s">
        <v>2217</v>
      </c>
      <c r="B1767" t="str">
        <f t="shared" si="28"/>
        <v>CG1200000186</v>
      </c>
      <c r="C1767" t="s">
        <v>229</v>
      </c>
      <c r="D1767" t="s">
        <v>77</v>
      </c>
      <c r="E1767" t="s">
        <v>82</v>
      </c>
      <c r="F1767">
        <v>8000</v>
      </c>
      <c r="G1767" s="13">
        <v>43495</v>
      </c>
      <c r="H1767" s="13">
        <v>43679</v>
      </c>
      <c r="I1767">
        <v>80</v>
      </c>
      <c r="J1767">
        <v>7920</v>
      </c>
      <c r="K1767">
        <v>8000</v>
      </c>
      <c r="N1767">
        <v>17.391304347826086</v>
      </c>
      <c r="O1767">
        <v>6.5637999999999996</v>
      </c>
      <c r="P1767">
        <v>101</v>
      </c>
      <c r="T1767">
        <v>96.681634444444441</v>
      </c>
      <c r="W1767" t="s">
        <v>497</v>
      </c>
    </row>
    <row r="1768" spans="1:23" x14ac:dyDescent="0.25">
      <c r="A1768" t="s">
        <v>2218</v>
      </c>
      <c r="B1768" t="str">
        <f t="shared" si="28"/>
        <v>CM1300000427</v>
      </c>
      <c r="C1768" t="s">
        <v>225</v>
      </c>
      <c r="D1768" t="s">
        <v>77</v>
      </c>
      <c r="E1768" t="s">
        <v>287</v>
      </c>
      <c r="F1768">
        <v>10000</v>
      </c>
      <c r="G1768" s="13">
        <v>43495</v>
      </c>
      <c r="H1768" s="13">
        <v>43861</v>
      </c>
      <c r="I1768">
        <v>8500</v>
      </c>
      <c r="J1768">
        <v>1500</v>
      </c>
      <c r="K1768">
        <v>10000</v>
      </c>
      <c r="N1768">
        <v>38.095238095238095</v>
      </c>
      <c r="O1768">
        <v>2.7235</v>
      </c>
      <c r="P1768">
        <v>235</v>
      </c>
      <c r="T1768">
        <v>97.246238888888882</v>
      </c>
      <c r="W1768" t="s">
        <v>497</v>
      </c>
    </row>
    <row r="1769" spans="1:23" x14ac:dyDescent="0.25">
      <c r="A1769" t="s">
        <v>2219</v>
      </c>
      <c r="B1769" t="str">
        <f t="shared" si="28"/>
        <v>GA1300000310</v>
      </c>
      <c r="C1769" t="s">
        <v>227</v>
      </c>
      <c r="D1769" t="s">
        <v>77</v>
      </c>
      <c r="E1769" t="s">
        <v>287</v>
      </c>
      <c r="F1769">
        <v>5000</v>
      </c>
      <c r="G1769" s="13">
        <v>43495</v>
      </c>
      <c r="H1769" s="13">
        <v>43861</v>
      </c>
      <c r="I1769">
        <v>1200</v>
      </c>
      <c r="J1769">
        <v>3800</v>
      </c>
      <c r="K1769">
        <v>5000</v>
      </c>
      <c r="N1769">
        <v>0</v>
      </c>
      <c r="O1769">
        <v>4.6500000000000004</v>
      </c>
      <c r="P1769">
        <v>200</v>
      </c>
      <c r="T1769">
        <v>95.298333333333332</v>
      </c>
      <c r="W1769" t="s">
        <v>497</v>
      </c>
    </row>
    <row r="1770" spans="1:23" x14ac:dyDescent="0.25">
      <c r="A1770" t="s">
        <v>2220</v>
      </c>
      <c r="B1770" t="str">
        <f t="shared" si="28"/>
        <v>TD1200000396</v>
      </c>
      <c r="C1770" t="s">
        <v>237</v>
      </c>
      <c r="D1770" t="s">
        <v>77</v>
      </c>
      <c r="E1770" t="s">
        <v>82</v>
      </c>
      <c r="F1770">
        <v>10530</v>
      </c>
      <c r="G1770" s="13">
        <v>43495</v>
      </c>
      <c r="H1770" s="13">
        <v>43679</v>
      </c>
      <c r="I1770">
        <v>9333</v>
      </c>
      <c r="J1770">
        <v>1197</v>
      </c>
      <c r="K1770">
        <v>10530</v>
      </c>
      <c r="N1770">
        <v>0</v>
      </c>
      <c r="O1770">
        <v>6.5</v>
      </c>
      <c r="P1770">
        <v>112.8205</v>
      </c>
      <c r="T1770">
        <v>96.713888888888889</v>
      </c>
      <c r="W1770" t="s">
        <v>497</v>
      </c>
    </row>
    <row r="1771" spans="1:23" x14ac:dyDescent="0.25">
      <c r="A1771" t="s">
        <v>2221</v>
      </c>
      <c r="B1771" t="str">
        <f t="shared" si="28"/>
        <v>TD1300000361</v>
      </c>
      <c r="C1771" t="s">
        <v>237</v>
      </c>
      <c r="D1771" t="s">
        <v>77</v>
      </c>
      <c r="E1771" t="s">
        <v>287</v>
      </c>
      <c r="F1771">
        <v>3000</v>
      </c>
      <c r="G1771" s="13">
        <v>43509</v>
      </c>
      <c r="H1771" s="13">
        <v>43875</v>
      </c>
      <c r="I1771">
        <v>3000</v>
      </c>
      <c r="J1771">
        <v>0</v>
      </c>
      <c r="K1771">
        <v>3000</v>
      </c>
      <c r="N1771">
        <v>0</v>
      </c>
      <c r="O1771">
        <v>5</v>
      </c>
      <c r="P1771">
        <v>100</v>
      </c>
      <c r="Q1771">
        <v>5</v>
      </c>
      <c r="R1771">
        <v>5</v>
      </c>
      <c r="S1771">
        <v>5</v>
      </c>
      <c r="T1771">
        <v>94.944444444444443</v>
      </c>
      <c r="W1771" t="s">
        <v>497</v>
      </c>
    </row>
    <row r="1772" spans="1:23" x14ac:dyDescent="0.25">
      <c r="A1772" t="s">
        <v>2222</v>
      </c>
      <c r="B1772" t="str">
        <f t="shared" si="28"/>
        <v>CG1200000194</v>
      </c>
      <c r="C1772" t="s">
        <v>229</v>
      </c>
      <c r="D1772" t="s">
        <v>77</v>
      </c>
      <c r="E1772" t="s">
        <v>82</v>
      </c>
      <c r="F1772">
        <v>11000</v>
      </c>
      <c r="G1772" s="13">
        <v>43509</v>
      </c>
      <c r="H1772" s="13">
        <v>43693</v>
      </c>
      <c r="I1772">
        <v>3000</v>
      </c>
      <c r="J1772">
        <v>8000</v>
      </c>
      <c r="K1772">
        <v>11000</v>
      </c>
      <c r="N1772">
        <v>21.739130434782609</v>
      </c>
      <c r="O1772">
        <v>6.6863999999999999</v>
      </c>
      <c r="P1772">
        <v>109.0909</v>
      </c>
      <c r="Q1772">
        <v>7</v>
      </c>
      <c r="R1772">
        <v>6</v>
      </c>
      <c r="S1772">
        <v>7</v>
      </c>
      <c r="T1772">
        <v>96.619653333333332</v>
      </c>
      <c r="W1772" t="s">
        <v>497</v>
      </c>
    </row>
    <row r="1773" spans="1:23" x14ac:dyDescent="0.25">
      <c r="A1773" t="s">
        <v>2223</v>
      </c>
      <c r="B1773" t="str">
        <f t="shared" si="28"/>
        <v>GA1100000791</v>
      </c>
      <c r="C1773" t="s">
        <v>227</v>
      </c>
      <c r="D1773" t="s">
        <v>77</v>
      </c>
      <c r="E1773" t="s">
        <v>78</v>
      </c>
      <c r="F1773">
        <v>10000</v>
      </c>
      <c r="G1773" s="13">
        <v>43502</v>
      </c>
      <c r="H1773" s="13">
        <v>43595</v>
      </c>
      <c r="I1773">
        <v>245</v>
      </c>
      <c r="J1773">
        <v>9755</v>
      </c>
      <c r="K1773">
        <v>10000</v>
      </c>
      <c r="N1773">
        <v>0</v>
      </c>
      <c r="O1773">
        <v>3.8294999999999999</v>
      </c>
      <c r="P1773">
        <v>298.20999999999998</v>
      </c>
      <c r="Q1773">
        <v>4</v>
      </c>
      <c r="R1773">
        <v>3.75</v>
      </c>
      <c r="S1773">
        <v>4</v>
      </c>
      <c r="T1773">
        <v>99.0319875</v>
      </c>
      <c r="W1773" t="s">
        <v>497</v>
      </c>
    </row>
    <row r="1774" spans="1:23" x14ac:dyDescent="0.25">
      <c r="A1774" t="s">
        <v>2224</v>
      </c>
      <c r="B1774" t="str">
        <f t="shared" si="28"/>
        <v>GA1100000809</v>
      </c>
      <c r="C1774" t="s">
        <v>227</v>
      </c>
      <c r="D1774" t="s">
        <v>77</v>
      </c>
      <c r="E1774" t="s">
        <v>78</v>
      </c>
      <c r="F1774">
        <v>14500</v>
      </c>
      <c r="G1774" s="13">
        <v>43516</v>
      </c>
      <c r="H1774" s="13">
        <v>43609</v>
      </c>
      <c r="I1774">
        <v>5000</v>
      </c>
      <c r="J1774">
        <v>9500</v>
      </c>
      <c r="K1774">
        <v>14500</v>
      </c>
      <c r="N1774">
        <v>0</v>
      </c>
      <c r="O1774">
        <v>3.8448000000000002</v>
      </c>
      <c r="P1774">
        <v>184.1379</v>
      </c>
      <c r="Q1774">
        <v>4.25</v>
      </c>
      <c r="R1774">
        <v>3.45</v>
      </c>
      <c r="S1774">
        <v>4.25</v>
      </c>
      <c r="T1774">
        <v>99.028120000000001</v>
      </c>
      <c r="W1774" t="s">
        <v>497</v>
      </c>
    </row>
    <row r="1775" spans="1:23" x14ac:dyDescent="0.25">
      <c r="A1775" t="s">
        <v>2225</v>
      </c>
      <c r="B1775" t="str">
        <f t="shared" si="28"/>
        <v>CM1200000725</v>
      </c>
      <c r="C1775" t="s">
        <v>225</v>
      </c>
      <c r="D1775" t="s">
        <v>77</v>
      </c>
      <c r="E1775" t="s">
        <v>82</v>
      </c>
      <c r="F1775">
        <v>10000</v>
      </c>
      <c r="G1775" s="13">
        <v>43509</v>
      </c>
      <c r="H1775" s="13">
        <v>43693</v>
      </c>
      <c r="I1775">
        <v>9946</v>
      </c>
      <c r="J1775">
        <v>54</v>
      </c>
      <c r="K1775">
        <v>10000</v>
      </c>
      <c r="N1775">
        <v>47.619047619047613</v>
      </c>
      <c r="O1775">
        <v>2.415</v>
      </c>
      <c r="P1775">
        <v>504.93</v>
      </c>
      <c r="Q1775">
        <v>2.5</v>
      </c>
      <c r="R1775">
        <v>2.2999999999999998</v>
      </c>
      <c r="S1775">
        <v>2.5</v>
      </c>
      <c r="T1775">
        <v>98.779083333333332</v>
      </c>
      <c r="W1775" t="s">
        <v>497</v>
      </c>
    </row>
    <row r="1776" spans="1:23" x14ac:dyDescent="0.25">
      <c r="A1776" t="s">
        <v>2226</v>
      </c>
      <c r="B1776" t="str">
        <f t="shared" si="28"/>
        <v>CM1300000435</v>
      </c>
      <c r="C1776" t="s">
        <v>225</v>
      </c>
      <c r="D1776" t="s">
        <v>77</v>
      </c>
      <c r="E1776" t="s">
        <v>287</v>
      </c>
      <c r="F1776">
        <v>10000</v>
      </c>
      <c r="G1776" s="13">
        <v>43502</v>
      </c>
      <c r="H1776" s="13">
        <v>43868</v>
      </c>
      <c r="I1776">
        <v>9000</v>
      </c>
      <c r="J1776">
        <v>1000</v>
      </c>
      <c r="K1776">
        <v>10000</v>
      </c>
      <c r="N1776">
        <v>33.333333333333329</v>
      </c>
      <c r="O1776">
        <v>2.69</v>
      </c>
      <c r="P1776">
        <v>235</v>
      </c>
      <c r="Q1776">
        <v>3</v>
      </c>
      <c r="R1776">
        <v>2.5</v>
      </c>
      <c r="S1776">
        <v>3</v>
      </c>
      <c r="T1776">
        <v>97.280111111111111</v>
      </c>
      <c r="W1776" t="s">
        <v>497</v>
      </c>
    </row>
    <row r="1777" spans="1:23" x14ac:dyDescent="0.25">
      <c r="A1777" t="s">
        <v>2227</v>
      </c>
      <c r="B1777" t="str">
        <f t="shared" si="28"/>
        <v>GQ1300000627</v>
      </c>
      <c r="C1777" t="s">
        <v>528</v>
      </c>
      <c r="D1777" t="s">
        <v>77</v>
      </c>
      <c r="E1777" t="s">
        <v>287</v>
      </c>
      <c r="F1777">
        <v>13000</v>
      </c>
      <c r="G1777" s="13">
        <v>43502</v>
      </c>
      <c r="H1777" s="13">
        <v>43868</v>
      </c>
      <c r="I1777">
        <v>11000</v>
      </c>
      <c r="J1777">
        <v>2000</v>
      </c>
      <c r="K1777">
        <v>13000</v>
      </c>
      <c r="N1777">
        <v>0</v>
      </c>
      <c r="O1777">
        <v>9.1845999999999997</v>
      </c>
      <c r="P1777">
        <v>86.666700000000006</v>
      </c>
      <c r="Q1777">
        <v>9.5</v>
      </c>
      <c r="R1777">
        <v>6.5</v>
      </c>
      <c r="S1777">
        <v>9.5</v>
      </c>
      <c r="T1777">
        <v>90.713348888888888</v>
      </c>
      <c r="W1777" t="s">
        <v>497</v>
      </c>
    </row>
    <row r="1778" spans="1:23" x14ac:dyDescent="0.25">
      <c r="A1778" t="s">
        <v>2228</v>
      </c>
      <c r="B1778" t="str">
        <f t="shared" si="28"/>
        <v>GA1200000832</v>
      </c>
      <c r="C1778" t="s">
        <v>227</v>
      </c>
      <c r="D1778" t="s">
        <v>77</v>
      </c>
      <c r="E1778" t="s">
        <v>82</v>
      </c>
      <c r="F1778">
        <v>10000</v>
      </c>
      <c r="G1778" s="13">
        <v>43509</v>
      </c>
      <c r="H1778" s="13">
        <v>43693</v>
      </c>
      <c r="I1778">
        <v>0</v>
      </c>
      <c r="J1778">
        <v>10000</v>
      </c>
      <c r="K1778">
        <v>10000</v>
      </c>
      <c r="N1778">
        <v>0</v>
      </c>
      <c r="O1778">
        <v>3.9125000000000001</v>
      </c>
      <c r="P1778">
        <v>205.75</v>
      </c>
      <c r="Q1778">
        <v>4.25</v>
      </c>
      <c r="R1778">
        <v>3.6</v>
      </c>
      <c r="S1778">
        <v>4.25</v>
      </c>
      <c r="T1778">
        <v>98.022013888888893</v>
      </c>
      <c r="W1778" t="s">
        <v>497</v>
      </c>
    </row>
    <row r="1779" spans="1:23" x14ac:dyDescent="0.25">
      <c r="A1779" t="s">
        <v>2229</v>
      </c>
      <c r="B1779" t="str">
        <f t="shared" si="28"/>
        <v>TD1200000404</v>
      </c>
      <c r="C1779" t="s">
        <v>237</v>
      </c>
      <c r="D1779" t="s">
        <v>77</v>
      </c>
      <c r="E1779" t="s">
        <v>82</v>
      </c>
      <c r="F1779">
        <v>10800</v>
      </c>
      <c r="G1779" s="13">
        <v>43502</v>
      </c>
      <c r="H1779" s="13">
        <v>43686</v>
      </c>
      <c r="I1779">
        <v>10800</v>
      </c>
      <c r="J1779">
        <v>0</v>
      </c>
      <c r="K1779">
        <v>10800</v>
      </c>
      <c r="N1779">
        <v>0</v>
      </c>
      <c r="O1779">
        <v>6.3125</v>
      </c>
      <c r="P1779">
        <v>103.7037</v>
      </c>
      <c r="Q1779">
        <v>6.5</v>
      </c>
      <c r="R1779">
        <v>6</v>
      </c>
      <c r="S1779">
        <v>6.5</v>
      </c>
      <c r="T1779">
        <v>96.808680555555554</v>
      </c>
      <c r="W1779" t="s">
        <v>497</v>
      </c>
    </row>
    <row r="1780" spans="1:23" x14ac:dyDescent="0.25">
      <c r="A1780" t="s">
        <v>2230</v>
      </c>
      <c r="B1780" t="str">
        <f t="shared" si="28"/>
        <v>TD1200000412</v>
      </c>
      <c r="C1780" t="s">
        <v>237</v>
      </c>
      <c r="D1780" t="s">
        <v>77</v>
      </c>
      <c r="E1780" t="s">
        <v>82</v>
      </c>
      <c r="F1780">
        <v>11575</v>
      </c>
      <c r="G1780" s="13">
        <v>43516</v>
      </c>
      <c r="H1780" s="13">
        <v>43700</v>
      </c>
      <c r="I1780">
        <v>11575</v>
      </c>
      <c r="J1780">
        <v>0</v>
      </c>
      <c r="K1780">
        <v>11575</v>
      </c>
      <c r="N1780">
        <v>0</v>
      </c>
      <c r="O1780">
        <v>6.0728999999999997</v>
      </c>
      <c r="P1780">
        <v>95.267499999999998</v>
      </c>
      <c r="Q1780">
        <v>6.25</v>
      </c>
      <c r="R1780">
        <v>6</v>
      </c>
      <c r="S1780">
        <v>6.25</v>
      </c>
      <c r="T1780">
        <v>96.929811666666666</v>
      </c>
      <c r="W1780" t="s">
        <v>497</v>
      </c>
    </row>
    <row r="1781" spans="1:23" x14ac:dyDescent="0.25">
      <c r="A1781" t="s">
        <v>2231</v>
      </c>
      <c r="B1781" t="str">
        <f t="shared" si="28"/>
        <v>CM1200000733</v>
      </c>
      <c r="C1781" t="s">
        <v>225</v>
      </c>
      <c r="D1781" t="s">
        <v>77</v>
      </c>
      <c r="E1781" t="s">
        <v>82</v>
      </c>
      <c r="F1781">
        <v>50000</v>
      </c>
      <c r="G1781" s="13">
        <v>43523</v>
      </c>
      <c r="H1781" s="13">
        <v>43707</v>
      </c>
      <c r="I1781">
        <v>44000</v>
      </c>
      <c r="J1781">
        <v>6000</v>
      </c>
      <c r="K1781">
        <v>50000</v>
      </c>
      <c r="N1781">
        <v>38.095238095238095</v>
      </c>
      <c r="O1781">
        <v>2.5394000000000001</v>
      </c>
      <c r="P1781">
        <v>185.68600000000001</v>
      </c>
      <c r="Q1781">
        <v>2.8</v>
      </c>
      <c r="R1781">
        <v>2.2000000000000002</v>
      </c>
      <c r="S1781">
        <v>2.8</v>
      </c>
      <c r="T1781">
        <v>98.716192222222219</v>
      </c>
      <c r="W1781" t="s">
        <v>497</v>
      </c>
    </row>
    <row r="1782" spans="1:23" x14ac:dyDescent="0.25">
      <c r="A1782" t="s">
        <v>2232</v>
      </c>
      <c r="B1782" t="str">
        <f t="shared" si="28"/>
        <v>GA1100000817</v>
      </c>
      <c r="C1782" t="s">
        <v>227</v>
      </c>
      <c r="D1782" t="s">
        <v>77</v>
      </c>
      <c r="E1782" t="s">
        <v>78</v>
      </c>
      <c r="F1782">
        <v>14000</v>
      </c>
      <c r="G1782" s="13">
        <v>43523</v>
      </c>
      <c r="H1782" s="13">
        <v>43616</v>
      </c>
      <c r="I1782">
        <v>4000</v>
      </c>
      <c r="J1782">
        <v>10000</v>
      </c>
      <c r="K1782">
        <v>14000</v>
      </c>
      <c r="N1782">
        <v>0</v>
      </c>
      <c r="O1782">
        <v>4.0972</v>
      </c>
      <c r="P1782">
        <v>111.8357</v>
      </c>
      <c r="Q1782">
        <v>4.5</v>
      </c>
      <c r="R1782">
        <v>3.45</v>
      </c>
      <c r="S1782">
        <v>4.5</v>
      </c>
      <c r="T1782">
        <v>98.964318888888883</v>
      </c>
      <c r="W1782" t="s">
        <v>497</v>
      </c>
    </row>
    <row r="1783" spans="1:23" x14ac:dyDescent="0.25">
      <c r="A1783" t="s">
        <v>2233</v>
      </c>
      <c r="B1783" t="str">
        <f t="shared" si="28"/>
        <v>TD1200000420</v>
      </c>
      <c r="C1783" t="s">
        <v>237</v>
      </c>
      <c r="D1783" t="s">
        <v>77</v>
      </c>
      <c r="E1783" t="s">
        <v>82</v>
      </c>
      <c r="F1783">
        <v>21060</v>
      </c>
      <c r="G1783" s="13">
        <v>43523</v>
      </c>
      <c r="H1783" s="13">
        <v>43707</v>
      </c>
      <c r="I1783">
        <v>0</v>
      </c>
      <c r="J1783">
        <v>21060</v>
      </c>
      <c r="K1783">
        <v>21060</v>
      </c>
      <c r="N1783">
        <v>0</v>
      </c>
      <c r="O1783">
        <v>6.3</v>
      </c>
      <c r="P1783">
        <v>98.113200000000006</v>
      </c>
      <c r="Q1783">
        <v>6.3</v>
      </c>
      <c r="R1783">
        <v>6.3</v>
      </c>
      <c r="S1783">
        <v>6.3</v>
      </c>
      <c r="T1783">
        <v>96.814999999999998</v>
      </c>
      <c r="W1783" t="s">
        <v>497</v>
      </c>
    </row>
    <row r="1784" spans="1:23" x14ac:dyDescent="0.25">
      <c r="A1784" t="s">
        <v>2234</v>
      </c>
      <c r="B1784" t="str">
        <f t="shared" si="28"/>
        <v>CG1200000202</v>
      </c>
      <c r="C1784" t="s">
        <v>229</v>
      </c>
      <c r="D1784" t="s">
        <v>77</v>
      </c>
      <c r="E1784" t="s">
        <v>82</v>
      </c>
      <c r="F1784">
        <v>5500</v>
      </c>
      <c r="G1784" s="13">
        <v>43530</v>
      </c>
      <c r="H1784" s="13">
        <v>43714</v>
      </c>
      <c r="I1784">
        <v>5000</v>
      </c>
      <c r="J1784">
        <v>500</v>
      </c>
      <c r="K1784">
        <v>5500</v>
      </c>
      <c r="N1784">
        <v>8.695652173913043</v>
      </c>
      <c r="O1784">
        <v>6.9363999999999999</v>
      </c>
      <c r="P1784">
        <v>91.666700000000006</v>
      </c>
      <c r="Q1784">
        <v>7</v>
      </c>
      <c r="R1784">
        <v>6</v>
      </c>
      <c r="S1784">
        <v>7</v>
      </c>
      <c r="T1784">
        <v>96.493264444444449</v>
      </c>
      <c r="W1784" t="s">
        <v>497</v>
      </c>
    </row>
    <row r="1785" spans="1:23" x14ac:dyDescent="0.25">
      <c r="A1785" t="s">
        <v>2235</v>
      </c>
      <c r="B1785" t="str">
        <f t="shared" si="28"/>
        <v>GA1100000825</v>
      </c>
      <c r="C1785" t="s">
        <v>227</v>
      </c>
      <c r="D1785" t="s">
        <v>77</v>
      </c>
      <c r="E1785" t="s">
        <v>78</v>
      </c>
      <c r="F1785">
        <v>14000</v>
      </c>
      <c r="G1785" s="13">
        <v>43530</v>
      </c>
      <c r="H1785" s="13">
        <v>43623</v>
      </c>
      <c r="I1785">
        <v>4667</v>
      </c>
      <c r="J1785">
        <v>9333</v>
      </c>
      <c r="K1785">
        <v>14000</v>
      </c>
      <c r="N1785">
        <v>0</v>
      </c>
      <c r="O1785">
        <v>4.2286000000000001</v>
      </c>
      <c r="P1785">
        <v>196.8</v>
      </c>
      <c r="Q1785">
        <v>4.45</v>
      </c>
      <c r="R1785">
        <v>4.25</v>
      </c>
      <c r="S1785">
        <v>4.45</v>
      </c>
      <c r="T1785">
        <v>98.931103888888885</v>
      </c>
      <c r="W1785" t="s">
        <v>497</v>
      </c>
    </row>
    <row r="1786" spans="1:23" x14ac:dyDescent="0.25">
      <c r="A1786" t="s">
        <v>2236</v>
      </c>
      <c r="B1786" t="str">
        <f t="shared" si="28"/>
        <v>CG1200000210</v>
      </c>
      <c r="C1786" t="s">
        <v>229</v>
      </c>
      <c r="D1786" t="s">
        <v>77</v>
      </c>
      <c r="E1786" t="s">
        <v>82</v>
      </c>
      <c r="F1786">
        <v>8000</v>
      </c>
      <c r="G1786" s="13">
        <v>43537</v>
      </c>
      <c r="H1786" s="13">
        <v>43721</v>
      </c>
      <c r="I1786">
        <v>0</v>
      </c>
      <c r="J1786">
        <v>8000</v>
      </c>
      <c r="K1786">
        <v>8000</v>
      </c>
      <c r="N1786">
        <v>8.695652173913043</v>
      </c>
      <c r="O1786">
        <v>6.7656000000000001</v>
      </c>
      <c r="P1786">
        <v>88.888900000000007</v>
      </c>
      <c r="Q1786">
        <v>7</v>
      </c>
      <c r="R1786">
        <v>6.5</v>
      </c>
      <c r="S1786">
        <v>7</v>
      </c>
      <c r="T1786">
        <v>96.579613333333327</v>
      </c>
      <c r="W1786" t="s">
        <v>497</v>
      </c>
    </row>
    <row r="1787" spans="1:23" x14ac:dyDescent="0.25">
      <c r="A1787" t="s">
        <v>2237</v>
      </c>
      <c r="B1787" t="str">
        <f t="shared" si="28"/>
        <v>TD1200000438</v>
      </c>
      <c r="C1787" t="s">
        <v>237</v>
      </c>
      <c r="D1787" t="s">
        <v>77</v>
      </c>
      <c r="E1787" t="s">
        <v>82</v>
      </c>
      <c r="F1787">
        <v>12150</v>
      </c>
      <c r="G1787" s="13">
        <v>43530</v>
      </c>
      <c r="H1787" s="13">
        <v>43714</v>
      </c>
      <c r="I1787">
        <v>0</v>
      </c>
      <c r="J1787">
        <v>12150</v>
      </c>
      <c r="K1787">
        <v>12150</v>
      </c>
      <c r="N1787">
        <v>0</v>
      </c>
      <c r="O1787">
        <v>6.5</v>
      </c>
      <c r="P1787">
        <v>100</v>
      </c>
      <c r="Q1787">
        <v>6.5</v>
      </c>
      <c r="R1787">
        <v>6.5</v>
      </c>
      <c r="S1787">
        <v>6.5</v>
      </c>
      <c r="T1787">
        <v>96.713888888888889</v>
      </c>
      <c r="W1787" t="s">
        <v>497</v>
      </c>
    </row>
    <row r="1788" spans="1:23" x14ac:dyDescent="0.25">
      <c r="A1788" t="s">
        <v>2238</v>
      </c>
      <c r="B1788" t="str">
        <f t="shared" si="28"/>
        <v>TD1200000446</v>
      </c>
      <c r="C1788" t="s">
        <v>237</v>
      </c>
      <c r="D1788" t="s">
        <v>77</v>
      </c>
      <c r="E1788" t="s">
        <v>82</v>
      </c>
      <c r="F1788">
        <v>37350</v>
      </c>
      <c r="G1788" s="13">
        <v>43537</v>
      </c>
      <c r="H1788" s="13">
        <v>43721</v>
      </c>
      <c r="I1788">
        <v>17028</v>
      </c>
      <c r="J1788">
        <v>20322</v>
      </c>
      <c r="K1788">
        <v>37350</v>
      </c>
      <c r="N1788">
        <v>0</v>
      </c>
      <c r="O1788">
        <v>6.2545000000000002</v>
      </c>
      <c r="P1788">
        <v>95.732399999999998</v>
      </c>
      <c r="Q1788">
        <v>6.4</v>
      </c>
      <c r="R1788">
        <v>6</v>
      </c>
      <c r="S1788">
        <v>6.4</v>
      </c>
      <c r="T1788">
        <v>96.838002777777774</v>
      </c>
      <c r="W1788" t="s">
        <v>497</v>
      </c>
    </row>
    <row r="1789" spans="1:23" x14ac:dyDescent="0.25">
      <c r="A1789" t="s">
        <v>2239</v>
      </c>
      <c r="B1789" t="str">
        <f t="shared" si="28"/>
        <v>GQ1300000635</v>
      </c>
      <c r="C1789" t="s">
        <v>528</v>
      </c>
      <c r="D1789" t="s">
        <v>77</v>
      </c>
      <c r="E1789" t="s">
        <v>287</v>
      </c>
      <c r="F1789">
        <v>15000</v>
      </c>
      <c r="G1789" s="13">
        <v>43537</v>
      </c>
      <c r="H1789" s="13">
        <v>43903</v>
      </c>
      <c r="I1789">
        <v>13000</v>
      </c>
      <c r="J1789">
        <v>2000</v>
      </c>
      <c r="K1789">
        <v>15000</v>
      </c>
      <c r="N1789">
        <v>0</v>
      </c>
      <c r="O1789">
        <v>8.7432999999999996</v>
      </c>
      <c r="P1789">
        <v>106.66670000000001</v>
      </c>
      <c r="Q1789">
        <v>9.5</v>
      </c>
      <c r="R1789">
        <v>7</v>
      </c>
      <c r="S1789">
        <v>9.5</v>
      </c>
      <c r="T1789">
        <v>91.159552222222217</v>
      </c>
      <c r="W1789" t="s">
        <v>497</v>
      </c>
    </row>
    <row r="1790" spans="1:23" x14ac:dyDescent="0.25">
      <c r="A1790" t="s">
        <v>2240</v>
      </c>
      <c r="B1790" t="str">
        <f t="shared" si="28"/>
        <v>GA1300000328</v>
      </c>
      <c r="C1790" t="s">
        <v>227</v>
      </c>
      <c r="D1790" t="s">
        <v>77</v>
      </c>
      <c r="E1790" t="s">
        <v>287</v>
      </c>
      <c r="F1790">
        <v>15000</v>
      </c>
      <c r="G1790" s="13">
        <v>43537</v>
      </c>
      <c r="H1790" s="13">
        <v>43903</v>
      </c>
      <c r="I1790">
        <v>3000</v>
      </c>
      <c r="J1790">
        <v>12000</v>
      </c>
      <c r="K1790">
        <v>15000</v>
      </c>
      <c r="N1790">
        <v>0</v>
      </c>
      <c r="O1790">
        <v>4.2766999999999999</v>
      </c>
      <c r="P1790">
        <v>157.0667</v>
      </c>
      <c r="Q1790">
        <v>4.45</v>
      </c>
      <c r="R1790">
        <v>4.05</v>
      </c>
      <c r="S1790">
        <v>4.45</v>
      </c>
      <c r="T1790">
        <v>95.675781111111107</v>
      </c>
      <c r="W1790" t="s">
        <v>497</v>
      </c>
    </row>
    <row r="1791" spans="1:23" x14ac:dyDescent="0.25">
      <c r="A1791" t="s">
        <v>2241</v>
      </c>
      <c r="B1791" t="str">
        <f t="shared" si="28"/>
        <v>GA1300000336</v>
      </c>
      <c r="C1791" t="s">
        <v>227</v>
      </c>
      <c r="D1791" t="s">
        <v>77</v>
      </c>
      <c r="E1791" t="s">
        <v>287</v>
      </c>
      <c r="F1791">
        <v>15000</v>
      </c>
      <c r="G1791" s="13">
        <v>43544</v>
      </c>
      <c r="H1791" s="13">
        <v>43910</v>
      </c>
      <c r="I1791">
        <v>10200</v>
      </c>
      <c r="J1791">
        <v>4800</v>
      </c>
      <c r="K1791">
        <v>15000</v>
      </c>
      <c r="N1791">
        <v>0</v>
      </c>
      <c r="O1791">
        <v>4.0526999999999997</v>
      </c>
      <c r="P1791">
        <v>168.4</v>
      </c>
      <c r="Q1791">
        <v>4.5</v>
      </c>
      <c r="R1791">
        <v>3.5</v>
      </c>
      <c r="S1791">
        <v>4.5</v>
      </c>
      <c r="T1791">
        <v>95.902270000000001</v>
      </c>
      <c r="W1791" t="s">
        <v>497</v>
      </c>
    </row>
    <row r="1792" spans="1:23" x14ac:dyDescent="0.25">
      <c r="A1792" t="s">
        <v>2242</v>
      </c>
      <c r="B1792" t="str">
        <f t="shared" si="28"/>
        <v>CM1100000783</v>
      </c>
      <c r="C1792" t="s">
        <v>225</v>
      </c>
      <c r="D1792" t="s">
        <v>77</v>
      </c>
      <c r="E1792" t="s">
        <v>78</v>
      </c>
      <c r="F1792">
        <v>20000</v>
      </c>
      <c r="G1792" s="13">
        <v>43544</v>
      </c>
      <c r="H1792" s="13">
        <v>43637</v>
      </c>
      <c r="I1792">
        <v>17201</v>
      </c>
      <c r="J1792">
        <v>2799</v>
      </c>
      <c r="K1792">
        <v>20000</v>
      </c>
      <c r="N1792">
        <v>42.857142857142854</v>
      </c>
      <c r="O1792">
        <v>2.4792999999999998</v>
      </c>
      <c r="P1792">
        <v>252.55</v>
      </c>
      <c r="Q1792">
        <v>2.5</v>
      </c>
      <c r="R1792">
        <v>2.4500000000000002</v>
      </c>
      <c r="S1792">
        <v>2.5</v>
      </c>
      <c r="T1792">
        <v>99.373288055555562</v>
      </c>
      <c r="W1792" t="s">
        <v>497</v>
      </c>
    </row>
    <row r="1793" spans="1:23" x14ac:dyDescent="0.25">
      <c r="A1793" t="s">
        <v>2243</v>
      </c>
      <c r="B1793" t="str">
        <f t="shared" si="28"/>
        <v>GA1100000833</v>
      </c>
      <c r="C1793" t="s">
        <v>227</v>
      </c>
      <c r="D1793" t="s">
        <v>77</v>
      </c>
      <c r="E1793" t="s">
        <v>78</v>
      </c>
      <c r="F1793">
        <v>12000</v>
      </c>
      <c r="G1793" s="13">
        <v>43551</v>
      </c>
      <c r="H1793" s="13">
        <v>43644</v>
      </c>
      <c r="I1793">
        <v>0</v>
      </c>
      <c r="J1793">
        <v>12000</v>
      </c>
      <c r="K1793">
        <v>12000</v>
      </c>
      <c r="N1793">
        <v>0</v>
      </c>
      <c r="O1793">
        <v>3.4375</v>
      </c>
      <c r="P1793">
        <v>362.5</v>
      </c>
      <c r="Q1793">
        <v>3.75</v>
      </c>
      <c r="R1793">
        <v>3.25</v>
      </c>
      <c r="S1793">
        <v>3.5</v>
      </c>
      <c r="T1793">
        <v>99.131076388888886</v>
      </c>
      <c r="W1793" t="s">
        <v>497</v>
      </c>
    </row>
    <row r="1794" spans="1:23" x14ac:dyDescent="0.25">
      <c r="A1794" t="s">
        <v>2244</v>
      </c>
      <c r="B1794" t="str">
        <f t="shared" si="28"/>
        <v>TD1200000453</v>
      </c>
      <c r="C1794" t="s">
        <v>237</v>
      </c>
      <c r="D1794" t="s">
        <v>77</v>
      </c>
      <c r="E1794" t="s">
        <v>82</v>
      </c>
      <c r="F1794">
        <v>4050</v>
      </c>
      <c r="G1794" s="13">
        <v>43551</v>
      </c>
      <c r="H1794" s="13">
        <v>43735</v>
      </c>
      <c r="I1794">
        <v>0</v>
      </c>
      <c r="J1794">
        <v>4050</v>
      </c>
      <c r="K1794">
        <v>4050</v>
      </c>
      <c r="N1794">
        <v>0</v>
      </c>
      <c r="O1794">
        <v>6.4756999999999998</v>
      </c>
      <c r="P1794">
        <v>200</v>
      </c>
      <c r="Q1794">
        <v>6.5</v>
      </c>
      <c r="R1794">
        <v>4.53</v>
      </c>
      <c r="S1794">
        <v>6.5</v>
      </c>
      <c r="T1794">
        <v>96.726173888888894</v>
      </c>
      <c r="W1794" t="s">
        <v>497</v>
      </c>
    </row>
    <row r="1795" spans="1:23" x14ac:dyDescent="0.25">
      <c r="A1795" t="s">
        <v>2245</v>
      </c>
      <c r="B1795" t="str">
        <f t="shared" si="28"/>
        <v>GA1200000840</v>
      </c>
      <c r="C1795" t="s">
        <v>227</v>
      </c>
      <c r="D1795" t="s">
        <v>77</v>
      </c>
      <c r="E1795" t="s">
        <v>82</v>
      </c>
      <c r="F1795">
        <v>12000</v>
      </c>
      <c r="G1795" s="13">
        <v>43558</v>
      </c>
      <c r="H1795" s="13">
        <v>43742</v>
      </c>
      <c r="I1795">
        <v>0</v>
      </c>
      <c r="J1795">
        <v>12000</v>
      </c>
      <c r="K1795">
        <v>12000</v>
      </c>
      <c r="N1795">
        <v>0</v>
      </c>
      <c r="O1795">
        <v>3.2688000000000001</v>
      </c>
      <c r="P1795">
        <v>235</v>
      </c>
      <c r="Q1795">
        <v>3.75</v>
      </c>
      <c r="R1795">
        <v>3</v>
      </c>
      <c r="S1795">
        <v>3.75</v>
      </c>
      <c r="T1795">
        <v>98.347440000000006</v>
      </c>
      <c r="W1795" t="s">
        <v>497</v>
      </c>
    </row>
    <row r="1796" spans="1:23" x14ac:dyDescent="0.25">
      <c r="A1796" t="s">
        <v>2246</v>
      </c>
      <c r="B1796" t="str">
        <f t="shared" si="28"/>
        <v>GQ1300000643</v>
      </c>
      <c r="C1796" t="s">
        <v>528</v>
      </c>
      <c r="D1796" t="s">
        <v>77</v>
      </c>
      <c r="E1796" t="s">
        <v>287</v>
      </c>
      <c r="F1796">
        <v>15000</v>
      </c>
      <c r="G1796" s="13">
        <v>43558</v>
      </c>
      <c r="H1796" s="13">
        <v>43924</v>
      </c>
      <c r="I1796">
        <v>15000</v>
      </c>
      <c r="J1796">
        <v>0</v>
      </c>
      <c r="K1796">
        <v>15000</v>
      </c>
      <c r="N1796">
        <v>0</v>
      </c>
      <c r="O1796">
        <v>9.5</v>
      </c>
      <c r="P1796">
        <v>100</v>
      </c>
      <c r="Q1796">
        <v>9.5</v>
      </c>
      <c r="R1796">
        <v>9.5</v>
      </c>
      <c r="S1796">
        <v>9.5</v>
      </c>
      <c r="T1796">
        <v>90.394444444444446</v>
      </c>
      <c r="W1796" t="s">
        <v>497</v>
      </c>
    </row>
    <row r="1797" spans="1:23" x14ac:dyDescent="0.25">
      <c r="A1797" t="s">
        <v>2247</v>
      </c>
      <c r="B1797" t="str">
        <f t="shared" si="28"/>
        <v>CF1200000328</v>
      </c>
      <c r="C1797" t="s">
        <v>634</v>
      </c>
      <c r="D1797" t="s">
        <v>77</v>
      </c>
      <c r="E1797" t="s">
        <v>82</v>
      </c>
      <c r="F1797">
        <v>5500</v>
      </c>
      <c r="G1797" s="13">
        <v>43565</v>
      </c>
      <c r="H1797" s="13">
        <v>43749</v>
      </c>
      <c r="I1797">
        <v>5500</v>
      </c>
      <c r="J1797">
        <v>0</v>
      </c>
      <c r="K1797">
        <v>5500</v>
      </c>
      <c r="N1797">
        <v>0</v>
      </c>
      <c r="O1797">
        <v>5.3182</v>
      </c>
      <c r="P1797">
        <v>100</v>
      </c>
      <c r="Q1797">
        <v>5.5</v>
      </c>
      <c r="R1797">
        <v>5</v>
      </c>
      <c r="S1797">
        <v>5.5</v>
      </c>
      <c r="T1797">
        <v>97.311354444444447</v>
      </c>
      <c r="W1797" t="s">
        <v>497</v>
      </c>
    </row>
    <row r="1798" spans="1:23" x14ac:dyDescent="0.25">
      <c r="A1798" t="s">
        <v>2248</v>
      </c>
      <c r="B1798" t="str">
        <f t="shared" si="28"/>
        <v>CG1100000153</v>
      </c>
      <c r="C1798" t="s">
        <v>229</v>
      </c>
      <c r="D1798" t="s">
        <v>77</v>
      </c>
      <c r="E1798" t="s">
        <v>78</v>
      </c>
      <c r="F1798">
        <v>8000</v>
      </c>
      <c r="G1798" s="13">
        <v>43565</v>
      </c>
      <c r="H1798" s="13">
        <v>43658</v>
      </c>
      <c r="I1798">
        <v>1650</v>
      </c>
      <c r="J1798">
        <v>6350</v>
      </c>
      <c r="K1798">
        <v>8000</v>
      </c>
      <c r="N1798">
        <v>17.391304347826086</v>
      </c>
      <c r="O1798">
        <v>6.5</v>
      </c>
      <c r="P1798">
        <v>146.25</v>
      </c>
      <c r="Q1798">
        <v>6.5</v>
      </c>
      <c r="R1798">
        <v>6.5</v>
      </c>
      <c r="S1798">
        <v>6.5</v>
      </c>
      <c r="T1798">
        <v>98.356944444444451</v>
      </c>
      <c r="W1798" t="s">
        <v>497</v>
      </c>
    </row>
    <row r="1799" spans="1:23" x14ac:dyDescent="0.25">
      <c r="A1799" t="s">
        <v>2249</v>
      </c>
      <c r="B1799" t="str">
        <f t="shared" si="28"/>
        <v>CM1200000741</v>
      </c>
      <c r="C1799" t="s">
        <v>225</v>
      </c>
      <c r="D1799" t="s">
        <v>77</v>
      </c>
      <c r="E1799" t="s">
        <v>82</v>
      </c>
      <c r="F1799">
        <v>10000</v>
      </c>
      <c r="G1799" s="13">
        <v>43565</v>
      </c>
      <c r="H1799" s="13">
        <v>43749</v>
      </c>
      <c r="I1799">
        <v>8833</v>
      </c>
      <c r="J1799">
        <v>1167</v>
      </c>
      <c r="K1799">
        <v>10000</v>
      </c>
      <c r="N1799">
        <v>42.857142857142854</v>
      </c>
      <c r="O1799">
        <v>2.335</v>
      </c>
      <c r="P1799">
        <v>398</v>
      </c>
      <c r="Q1799">
        <v>2.4500000000000002</v>
      </c>
      <c r="R1799">
        <v>2.2000000000000002</v>
      </c>
      <c r="S1799">
        <v>2.4500000000000002</v>
      </c>
      <c r="T1799">
        <v>98.819527777777779</v>
      </c>
      <c r="W1799" t="s">
        <v>497</v>
      </c>
    </row>
    <row r="1800" spans="1:23" x14ac:dyDescent="0.25">
      <c r="A1800" t="s">
        <v>2250</v>
      </c>
      <c r="B1800" t="str">
        <f t="shared" si="28"/>
        <v>GA1100000841</v>
      </c>
      <c r="C1800" t="s">
        <v>227</v>
      </c>
      <c r="D1800" t="s">
        <v>77</v>
      </c>
      <c r="E1800" t="s">
        <v>78</v>
      </c>
      <c r="F1800">
        <v>12000</v>
      </c>
      <c r="G1800" s="13">
        <v>43565</v>
      </c>
      <c r="H1800" s="13">
        <v>43658</v>
      </c>
      <c r="I1800">
        <v>5000</v>
      </c>
      <c r="J1800">
        <v>7000</v>
      </c>
      <c r="K1800">
        <v>12000</v>
      </c>
      <c r="N1800">
        <v>33.333333333333329</v>
      </c>
      <c r="O1800">
        <v>3.2124999999999999</v>
      </c>
      <c r="P1800">
        <v>237.5</v>
      </c>
      <c r="Q1800">
        <v>3.5</v>
      </c>
      <c r="R1800">
        <v>2.9</v>
      </c>
      <c r="S1800">
        <v>3.5</v>
      </c>
      <c r="T1800">
        <v>99.187951388888891</v>
      </c>
      <c r="W1800" t="s">
        <v>497</v>
      </c>
    </row>
    <row r="1801" spans="1:23" x14ac:dyDescent="0.25">
      <c r="A1801" t="s">
        <v>2251</v>
      </c>
      <c r="B1801" t="str">
        <f t="shared" si="28"/>
        <v>CM1300000443</v>
      </c>
      <c r="C1801" t="s">
        <v>225</v>
      </c>
      <c r="D1801" t="s">
        <v>77</v>
      </c>
      <c r="E1801" t="s">
        <v>287</v>
      </c>
      <c r="F1801">
        <v>10000</v>
      </c>
      <c r="G1801" s="13">
        <v>43572</v>
      </c>
      <c r="H1801" s="13">
        <v>43938</v>
      </c>
      <c r="I1801">
        <v>7000</v>
      </c>
      <c r="J1801">
        <v>3000</v>
      </c>
      <c r="K1801">
        <v>10000</v>
      </c>
      <c r="N1801">
        <v>28.571428571428569</v>
      </c>
      <c r="O1801">
        <v>2.8125</v>
      </c>
      <c r="P1801">
        <v>230</v>
      </c>
      <c r="Q1801">
        <v>3</v>
      </c>
      <c r="R1801">
        <v>2.6</v>
      </c>
      <c r="S1801">
        <v>3</v>
      </c>
      <c r="T1801">
        <v>97.15625</v>
      </c>
      <c r="W1801" t="s">
        <v>497</v>
      </c>
    </row>
    <row r="1802" spans="1:23" x14ac:dyDescent="0.25">
      <c r="A1802" t="s">
        <v>2252</v>
      </c>
      <c r="B1802" t="str">
        <f t="shared" si="28"/>
        <v>GA1200000857</v>
      </c>
      <c r="C1802" t="s">
        <v>227</v>
      </c>
      <c r="D1802" t="s">
        <v>77</v>
      </c>
      <c r="E1802" t="s">
        <v>82</v>
      </c>
      <c r="F1802">
        <v>15000</v>
      </c>
      <c r="G1802" s="13">
        <v>43572</v>
      </c>
      <c r="H1802" s="13">
        <v>43756</v>
      </c>
      <c r="I1802">
        <v>6000</v>
      </c>
      <c r="J1802">
        <v>9000</v>
      </c>
      <c r="K1802">
        <v>15000</v>
      </c>
      <c r="N1802">
        <v>0</v>
      </c>
      <c r="O1802">
        <v>3.3182999999999998</v>
      </c>
      <c r="P1802">
        <v>236.66669999999999</v>
      </c>
      <c r="Q1802">
        <v>3.5</v>
      </c>
      <c r="R1802">
        <v>3</v>
      </c>
      <c r="S1802">
        <v>3.5</v>
      </c>
      <c r="T1802">
        <v>98.322415000000007</v>
      </c>
      <c r="W1802" t="s">
        <v>497</v>
      </c>
    </row>
    <row r="1803" spans="1:23" x14ac:dyDescent="0.25">
      <c r="A1803" t="s">
        <v>2253</v>
      </c>
      <c r="B1803" t="str">
        <f t="shared" si="28"/>
        <v>TD1200000461</v>
      </c>
      <c r="C1803" t="s">
        <v>237</v>
      </c>
      <c r="D1803" t="s">
        <v>77</v>
      </c>
      <c r="E1803" t="s">
        <v>82</v>
      </c>
      <c r="F1803">
        <v>13082</v>
      </c>
      <c r="G1803" s="13">
        <v>43572</v>
      </c>
      <c r="H1803" s="13">
        <v>43756</v>
      </c>
      <c r="I1803">
        <v>13082</v>
      </c>
      <c r="J1803">
        <v>0</v>
      </c>
      <c r="K1803">
        <v>13082</v>
      </c>
      <c r="N1803">
        <v>0</v>
      </c>
      <c r="O1803">
        <v>6.3082000000000003</v>
      </c>
      <c r="P1803">
        <v>109.2341</v>
      </c>
      <c r="Q1803">
        <v>6.5</v>
      </c>
      <c r="R1803">
        <v>6</v>
      </c>
      <c r="S1803">
        <v>6.5</v>
      </c>
      <c r="T1803">
        <v>96.810854444444445</v>
      </c>
      <c r="W1803" t="s">
        <v>497</v>
      </c>
    </row>
    <row r="1804" spans="1:23" x14ac:dyDescent="0.25">
      <c r="A1804" t="s">
        <v>2254</v>
      </c>
      <c r="B1804" t="str">
        <f t="shared" si="28"/>
        <v>CG1200000228</v>
      </c>
      <c r="C1804" t="s">
        <v>229</v>
      </c>
      <c r="D1804" t="s">
        <v>77</v>
      </c>
      <c r="E1804" t="s">
        <v>82</v>
      </c>
      <c r="F1804">
        <v>15000</v>
      </c>
      <c r="G1804" s="13">
        <v>43579</v>
      </c>
      <c r="H1804" s="13">
        <v>43763</v>
      </c>
      <c r="I1804">
        <v>9868</v>
      </c>
      <c r="J1804">
        <v>5132</v>
      </c>
      <c r="K1804">
        <v>15000</v>
      </c>
      <c r="N1804">
        <v>13.043478260869565</v>
      </c>
      <c r="O1804">
        <v>6.5</v>
      </c>
      <c r="P1804">
        <v>120</v>
      </c>
      <c r="Q1804">
        <v>6.5</v>
      </c>
      <c r="R1804">
        <v>6.5</v>
      </c>
      <c r="S1804">
        <v>6.5</v>
      </c>
      <c r="T1804">
        <v>96.713888888888889</v>
      </c>
      <c r="W1804" t="s">
        <v>497</v>
      </c>
    </row>
    <row r="1805" spans="1:23" x14ac:dyDescent="0.25">
      <c r="A1805" t="s">
        <v>2255</v>
      </c>
      <c r="B1805" t="str">
        <f t="shared" si="28"/>
        <v>GA1100000858</v>
      </c>
      <c r="C1805" t="s">
        <v>227</v>
      </c>
      <c r="D1805" t="s">
        <v>77</v>
      </c>
      <c r="E1805" t="s">
        <v>78</v>
      </c>
      <c r="F1805">
        <v>15000</v>
      </c>
      <c r="G1805" s="13">
        <v>43579</v>
      </c>
      <c r="H1805" s="13">
        <v>43672</v>
      </c>
      <c r="I1805">
        <v>4913</v>
      </c>
      <c r="J1805">
        <v>10087</v>
      </c>
      <c r="K1805">
        <v>15000</v>
      </c>
      <c r="N1805">
        <v>27.777777777777779</v>
      </c>
      <c r="O1805">
        <v>3.5849000000000002</v>
      </c>
      <c r="P1805">
        <v>146.7533</v>
      </c>
      <c r="Q1805">
        <v>4</v>
      </c>
      <c r="R1805">
        <v>3.15</v>
      </c>
      <c r="S1805">
        <v>4</v>
      </c>
      <c r="T1805">
        <v>99.093816944444441</v>
      </c>
      <c r="W1805" t="s">
        <v>497</v>
      </c>
    </row>
    <row r="1806" spans="1:23" x14ac:dyDescent="0.25">
      <c r="A1806" t="s">
        <v>2256</v>
      </c>
      <c r="B1806" t="str">
        <f t="shared" si="28"/>
        <v>CG1200000236</v>
      </c>
      <c r="C1806" t="s">
        <v>229</v>
      </c>
      <c r="D1806" t="s">
        <v>77</v>
      </c>
      <c r="E1806" t="s">
        <v>82</v>
      </c>
      <c r="F1806">
        <v>8500</v>
      </c>
      <c r="G1806" s="13">
        <v>43593</v>
      </c>
      <c r="H1806" s="13">
        <v>43777</v>
      </c>
      <c r="I1806">
        <v>7524</v>
      </c>
      <c r="J1806">
        <v>976</v>
      </c>
      <c r="K1806">
        <v>8500</v>
      </c>
      <c r="N1806">
        <v>8.695652173913043</v>
      </c>
      <c r="O1806">
        <v>6.48</v>
      </c>
      <c r="P1806">
        <v>105.8824</v>
      </c>
      <c r="Q1806">
        <v>6.5</v>
      </c>
      <c r="R1806">
        <v>6.1</v>
      </c>
      <c r="S1806">
        <v>6.5</v>
      </c>
      <c r="T1806">
        <v>96.724000000000004</v>
      </c>
      <c r="W1806" t="s">
        <v>497</v>
      </c>
    </row>
    <row r="1807" spans="1:23" x14ac:dyDescent="0.25">
      <c r="A1807" t="s">
        <v>2257</v>
      </c>
      <c r="B1807" t="str">
        <f t="shared" si="28"/>
        <v>CG1200000244</v>
      </c>
      <c r="C1807" t="s">
        <v>229</v>
      </c>
      <c r="D1807" t="s">
        <v>77</v>
      </c>
      <c r="E1807" t="s">
        <v>82</v>
      </c>
      <c r="F1807">
        <v>9000</v>
      </c>
      <c r="G1807" s="13">
        <v>43614</v>
      </c>
      <c r="H1807" s="13">
        <v>43798</v>
      </c>
      <c r="I1807">
        <v>474</v>
      </c>
      <c r="J1807">
        <v>8526</v>
      </c>
      <c r="K1807">
        <v>9000</v>
      </c>
      <c r="N1807">
        <v>8.695652173913043</v>
      </c>
      <c r="O1807">
        <v>6.4667000000000003</v>
      </c>
      <c r="P1807">
        <v>172.22219999999999</v>
      </c>
      <c r="Q1807">
        <v>6.5</v>
      </c>
      <c r="R1807">
        <v>6.45</v>
      </c>
      <c r="S1807">
        <v>6.5</v>
      </c>
      <c r="T1807">
        <v>96.730723888888889</v>
      </c>
      <c r="W1807" t="s">
        <v>497</v>
      </c>
    </row>
    <row r="1808" spans="1:23" x14ac:dyDescent="0.25">
      <c r="A1808" t="s">
        <v>2258</v>
      </c>
      <c r="B1808" t="str">
        <f t="shared" si="28"/>
        <v>CM1200000758</v>
      </c>
      <c r="C1808" t="s">
        <v>225</v>
      </c>
      <c r="D1808" t="s">
        <v>77</v>
      </c>
      <c r="E1808" t="s">
        <v>82</v>
      </c>
      <c r="F1808">
        <v>10000</v>
      </c>
      <c r="G1808" s="13">
        <v>43593</v>
      </c>
      <c r="H1808" s="13">
        <v>43777</v>
      </c>
      <c r="I1808">
        <v>4000</v>
      </c>
      <c r="J1808">
        <v>6000</v>
      </c>
      <c r="K1808">
        <v>10000</v>
      </c>
      <c r="N1808">
        <v>38.095238095238095</v>
      </c>
      <c r="O1808">
        <v>2.3174999999999999</v>
      </c>
      <c r="P1808">
        <v>390</v>
      </c>
      <c r="Q1808">
        <v>2.35</v>
      </c>
      <c r="R1808">
        <v>2.2999999999999998</v>
      </c>
      <c r="S1808">
        <v>2.35</v>
      </c>
      <c r="T1808">
        <v>98.828374999999994</v>
      </c>
      <c r="W1808" t="s">
        <v>497</v>
      </c>
    </row>
    <row r="1809" spans="1:23" x14ac:dyDescent="0.25">
      <c r="A1809" t="s">
        <v>2259</v>
      </c>
      <c r="B1809" t="str">
        <f t="shared" si="28"/>
        <v>GA1100000866</v>
      </c>
      <c r="C1809" t="s">
        <v>227</v>
      </c>
      <c r="D1809" t="s">
        <v>77</v>
      </c>
      <c r="E1809" t="s">
        <v>78</v>
      </c>
      <c r="F1809">
        <v>15000</v>
      </c>
      <c r="G1809" s="13">
        <v>43586</v>
      </c>
      <c r="H1809" s="13">
        <v>43679</v>
      </c>
      <c r="I1809">
        <v>5000</v>
      </c>
      <c r="J1809">
        <v>10000</v>
      </c>
      <c r="K1809">
        <v>15000</v>
      </c>
      <c r="N1809">
        <v>22.222222222222221</v>
      </c>
      <c r="O1809">
        <v>3.5133000000000001</v>
      </c>
      <c r="P1809">
        <v>200</v>
      </c>
      <c r="Q1809">
        <v>3.75</v>
      </c>
      <c r="R1809">
        <v>3.35</v>
      </c>
      <c r="S1809">
        <v>3.75</v>
      </c>
      <c r="T1809">
        <v>99.111915833333327</v>
      </c>
      <c r="W1809" t="s">
        <v>497</v>
      </c>
    </row>
    <row r="1810" spans="1:23" x14ac:dyDescent="0.25">
      <c r="A1810" t="s">
        <v>2260</v>
      </c>
      <c r="B1810" t="str">
        <f t="shared" si="28"/>
        <v>GA1100000874</v>
      </c>
      <c r="C1810" t="s">
        <v>227</v>
      </c>
      <c r="D1810" t="s">
        <v>77</v>
      </c>
      <c r="E1810" t="s">
        <v>78</v>
      </c>
      <c r="F1810">
        <v>13500</v>
      </c>
      <c r="G1810" s="13">
        <v>43593</v>
      </c>
      <c r="H1810" s="13">
        <v>43686</v>
      </c>
      <c r="I1810">
        <v>8000</v>
      </c>
      <c r="J1810">
        <v>5500</v>
      </c>
      <c r="K1810">
        <v>13500</v>
      </c>
      <c r="N1810">
        <v>33.333333333333329</v>
      </c>
      <c r="O1810">
        <v>3.2519</v>
      </c>
      <c r="P1810">
        <v>207.4074</v>
      </c>
      <c r="Q1810">
        <v>3.45</v>
      </c>
      <c r="R1810">
        <v>3.1</v>
      </c>
      <c r="S1810">
        <v>3.45</v>
      </c>
      <c r="T1810">
        <v>99.177991944444443</v>
      </c>
      <c r="W1810" t="s">
        <v>497</v>
      </c>
    </row>
    <row r="1811" spans="1:23" x14ac:dyDescent="0.25">
      <c r="A1811" t="s">
        <v>2261</v>
      </c>
      <c r="B1811" t="str">
        <f t="shared" si="28"/>
        <v>GQ1300000650</v>
      </c>
      <c r="C1811" t="s">
        <v>528</v>
      </c>
      <c r="D1811" t="s">
        <v>77</v>
      </c>
      <c r="E1811" t="s">
        <v>287</v>
      </c>
      <c r="F1811">
        <v>9000</v>
      </c>
      <c r="G1811" s="13">
        <v>43593</v>
      </c>
      <c r="H1811" s="13">
        <v>43959</v>
      </c>
      <c r="I1811">
        <v>5000</v>
      </c>
      <c r="J1811">
        <v>4000</v>
      </c>
      <c r="K1811">
        <v>9000</v>
      </c>
      <c r="N1811">
        <v>0</v>
      </c>
      <c r="O1811">
        <v>8.7422000000000004</v>
      </c>
      <c r="P1811">
        <v>60</v>
      </c>
      <c r="Q1811">
        <v>9.5</v>
      </c>
      <c r="R1811">
        <v>7</v>
      </c>
      <c r="S1811">
        <v>9.5</v>
      </c>
      <c r="T1811">
        <v>91.16066444444445</v>
      </c>
      <c r="W1811" t="s">
        <v>497</v>
      </c>
    </row>
    <row r="1812" spans="1:23" x14ac:dyDescent="0.25">
      <c r="A1812" t="s">
        <v>2262</v>
      </c>
      <c r="B1812" t="str">
        <f t="shared" si="28"/>
        <v>GA1200000865</v>
      </c>
      <c r="C1812" t="s">
        <v>227</v>
      </c>
      <c r="D1812" t="s">
        <v>77</v>
      </c>
      <c r="E1812" t="s">
        <v>82</v>
      </c>
      <c r="F1812">
        <v>14000</v>
      </c>
      <c r="G1812" s="13">
        <v>43600</v>
      </c>
      <c r="H1812" s="13">
        <v>43784</v>
      </c>
      <c r="I1812">
        <v>3000</v>
      </c>
      <c r="J1812">
        <v>11000</v>
      </c>
      <c r="K1812">
        <v>14000</v>
      </c>
      <c r="N1812">
        <v>0</v>
      </c>
      <c r="O1812">
        <v>3.2856999999999998</v>
      </c>
      <c r="P1812">
        <v>143.5</v>
      </c>
      <c r="Q1812">
        <v>3.45</v>
      </c>
      <c r="R1812">
        <v>3.25</v>
      </c>
      <c r="S1812">
        <v>3.45</v>
      </c>
      <c r="T1812">
        <v>98.338896111111112</v>
      </c>
      <c r="W1812" t="s">
        <v>497</v>
      </c>
    </row>
    <row r="1813" spans="1:23" x14ac:dyDescent="0.25">
      <c r="A1813" t="s">
        <v>2263</v>
      </c>
      <c r="B1813" t="str">
        <f t="shared" si="28"/>
        <v>TD1200000479</v>
      </c>
      <c r="C1813" t="s">
        <v>237</v>
      </c>
      <c r="D1813" t="s">
        <v>77</v>
      </c>
      <c r="E1813" t="s">
        <v>82</v>
      </c>
      <c r="F1813">
        <v>18225</v>
      </c>
      <c r="G1813" s="13">
        <v>43600</v>
      </c>
      <c r="H1813" s="13">
        <v>43784</v>
      </c>
      <c r="I1813">
        <v>7145</v>
      </c>
      <c r="J1813">
        <v>11080</v>
      </c>
      <c r="K1813">
        <v>18225</v>
      </c>
      <c r="N1813">
        <v>0</v>
      </c>
      <c r="O1813">
        <v>6.3445999999999998</v>
      </c>
      <c r="P1813">
        <v>119.20440000000001</v>
      </c>
      <c r="Q1813">
        <v>6.5</v>
      </c>
      <c r="R1813">
        <v>6</v>
      </c>
      <c r="S1813">
        <v>6.5</v>
      </c>
      <c r="T1813">
        <v>96.792452222222224</v>
      </c>
      <c r="W1813" t="s">
        <v>497</v>
      </c>
    </row>
    <row r="1814" spans="1:23" x14ac:dyDescent="0.25">
      <c r="A1814" t="s">
        <v>2264</v>
      </c>
      <c r="B1814" t="str">
        <f t="shared" si="28"/>
        <v>TD1200000487</v>
      </c>
      <c r="C1814" t="s">
        <v>237</v>
      </c>
      <c r="D1814" t="s">
        <v>77</v>
      </c>
      <c r="E1814" t="s">
        <v>82</v>
      </c>
      <c r="F1814">
        <v>13851</v>
      </c>
      <c r="G1814" s="13">
        <v>43607</v>
      </c>
      <c r="H1814" s="13">
        <v>43791</v>
      </c>
      <c r="I1814">
        <v>9911</v>
      </c>
      <c r="J1814">
        <v>3940</v>
      </c>
      <c r="K1814">
        <v>13851</v>
      </c>
      <c r="N1814">
        <v>0</v>
      </c>
      <c r="O1814">
        <v>6.5</v>
      </c>
      <c r="P1814">
        <v>104.90940000000001</v>
      </c>
      <c r="Q1814">
        <v>6.5</v>
      </c>
      <c r="R1814">
        <v>6.5</v>
      </c>
      <c r="S1814">
        <v>6.5</v>
      </c>
      <c r="T1814">
        <v>96.713888888888889</v>
      </c>
      <c r="W1814" t="s">
        <v>497</v>
      </c>
    </row>
    <row r="1815" spans="1:23" x14ac:dyDescent="0.25">
      <c r="A1815" t="s">
        <v>2265</v>
      </c>
      <c r="B1815" t="str">
        <f t="shared" si="28"/>
        <v>GA1100000882</v>
      </c>
      <c r="C1815" t="s">
        <v>227</v>
      </c>
      <c r="D1815" t="s">
        <v>77</v>
      </c>
      <c r="E1815" t="s">
        <v>78</v>
      </c>
      <c r="F1815">
        <v>15000</v>
      </c>
      <c r="G1815" s="13">
        <v>43607</v>
      </c>
      <c r="H1815" s="13">
        <v>43700</v>
      </c>
      <c r="I1815">
        <v>6000</v>
      </c>
      <c r="J1815">
        <v>9000</v>
      </c>
      <c r="K1815">
        <v>15000</v>
      </c>
      <c r="N1815">
        <v>38.888888888888893</v>
      </c>
      <c r="O1815">
        <v>3.3483000000000001</v>
      </c>
      <c r="P1815">
        <v>223.33330000000001</v>
      </c>
      <c r="Q1815">
        <v>3.55</v>
      </c>
      <c r="R1815">
        <v>3.25</v>
      </c>
      <c r="S1815">
        <v>3.55</v>
      </c>
      <c r="T1815">
        <v>99.15362416666666</v>
      </c>
      <c r="W1815" t="s">
        <v>497</v>
      </c>
    </row>
    <row r="1816" spans="1:23" x14ac:dyDescent="0.25">
      <c r="A1816" t="s">
        <v>2266</v>
      </c>
      <c r="B1816" t="str">
        <f t="shared" si="28"/>
        <v>GA1100000890</v>
      </c>
      <c r="C1816" t="s">
        <v>227</v>
      </c>
      <c r="D1816" t="s">
        <v>77</v>
      </c>
      <c r="E1816" t="s">
        <v>78</v>
      </c>
      <c r="F1816">
        <v>15000</v>
      </c>
      <c r="G1816" s="13">
        <v>43614</v>
      </c>
      <c r="H1816" s="13">
        <v>43707</v>
      </c>
      <c r="I1816">
        <v>923</v>
      </c>
      <c r="J1816">
        <v>14077</v>
      </c>
      <c r="K1816">
        <v>15000</v>
      </c>
      <c r="N1816">
        <v>33.333333333333329</v>
      </c>
      <c r="O1816">
        <v>3.395</v>
      </c>
      <c r="P1816">
        <v>132.66669999999999</v>
      </c>
      <c r="Q1816">
        <v>3.45</v>
      </c>
      <c r="R1816">
        <v>3.3</v>
      </c>
      <c r="S1816">
        <v>3.45</v>
      </c>
      <c r="T1816">
        <v>99.141819444444451</v>
      </c>
      <c r="W1816" t="s">
        <v>497</v>
      </c>
    </row>
    <row r="1817" spans="1:23" x14ac:dyDescent="0.25">
      <c r="A1817" t="s">
        <v>2267</v>
      </c>
      <c r="B1817" t="str">
        <f t="shared" si="28"/>
        <v>CG1300000011</v>
      </c>
      <c r="C1817" t="s">
        <v>229</v>
      </c>
      <c r="D1817" t="s">
        <v>77</v>
      </c>
      <c r="E1817" t="s">
        <v>287</v>
      </c>
      <c r="F1817">
        <v>15000</v>
      </c>
      <c r="G1817" s="13">
        <v>43621</v>
      </c>
      <c r="H1817" s="13">
        <v>43987</v>
      </c>
      <c r="I1817">
        <v>13903</v>
      </c>
      <c r="J1817">
        <v>1097</v>
      </c>
      <c r="K1817">
        <v>15000</v>
      </c>
      <c r="N1817">
        <v>17.391304347826086</v>
      </c>
      <c r="O1817">
        <v>6.4889999999999999</v>
      </c>
      <c r="P1817">
        <v>114</v>
      </c>
      <c r="Q1817">
        <v>6.5</v>
      </c>
      <c r="R1817">
        <v>5.5</v>
      </c>
      <c r="S1817">
        <v>6.5</v>
      </c>
      <c r="T1817">
        <v>93.438900000000004</v>
      </c>
      <c r="W1817" t="s">
        <v>497</v>
      </c>
    </row>
    <row r="1818" spans="1:23" x14ac:dyDescent="0.25">
      <c r="A1818" t="s">
        <v>2268</v>
      </c>
      <c r="B1818" t="str">
        <f t="shared" si="28"/>
        <v>CM1100000791</v>
      </c>
      <c r="C1818" t="s">
        <v>225</v>
      </c>
      <c r="D1818" t="s">
        <v>77</v>
      </c>
      <c r="E1818" t="s">
        <v>78</v>
      </c>
      <c r="F1818">
        <v>20000</v>
      </c>
      <c r="G1818" s="13">
        <v>43635</v>
      </c>
      <c r="H1818" s="13">
        <v>43728</v>
      </c>
      <c r="I1818">
        <v>15664</v>
      </c>
      <c r="J1818">
        <v>4336</v>
      </c>
      <c r="K1818">
        <v>20000</v>
      </c>
      <c r="N1818">
        <v>33.333333333333329</v>
      </c>
      <c r="O1818">
        <v>2.2387000000000001</v>
      </c>
      <c r="P1818">
        <v>160.86000000000001</v>
      </c>
      <c r="Q1818">
        <v>2.5</v>
      </c>
      <c r="R1818">
        <v>2.1</v>
      </c>
      <c r="S1818">
        <v>2.5</v>
      </c>
      <c r="T1818">
        <v>99.434106388888893</v>
      </c>
      <c r="W1818" t="s">
        <v>497</v>
      </c>
    </row>
    <row r="1819" spans="1:23" x14ac:dyDescent="0.25">
      <c r="A1819" t="s">
        <v>2269</v>
      </c>
      <c r="B1819" t="str">
        <f t="shared" ref="B1819:B1882" si="29">MID(A1819,1,12)</f>
        <v>GA1100000908</v>
      </c>
      <c r="C1819" t="s">
        <v>227</v>
      </c>
      <c r="D1819" t="s">
        <v>77</v>
      </c>
      <c r="E1819" t="s">
        <v>78</v>
      </c>
      <c r="F1819">
        <v>15000</v>
      </c>
      <c r="G1819" s="13">
        <v>43621</v>
      </c>
      <c r="H1819" s="13">
        <v>43714</v>
      </c>
      <c r="I1819">
        <v>4000</v>
      </c>
      <c r="J1819">
        <v>11000</v>
      </c>
      <c r="K1819">
        <v>15000</v>
      </c>
      <c r="N1819">
        <v>16.666666666666664</v>
      </c>
      <c r="O1819">
        <v>3.4533</v>
      </c>
      <c r="P1819">
        <v>100</v>
      </c>
      <c r="Q1819">
        <v>3.5</v>
      </c>
      <c r="R1819">
        <v>3.4</v>
      </c>
      <c r="S1819">
        <v>3.5</v>
      </c>
      <c r="T1819">
        <v>99.1270825</v>
      </c>
      <c r="W1819" t="s">
        <v>497</v>
      </c>
    </row>
    <row r="1820" spans="1:23" x14ac:dyDescent="0.25">
      <c r="A1820" t="s">
        <v>2270</v>
      </c>
      <c r="B1820" t="str">
        <f t="shared" si="29"/>
        <v>CF1200000336</v>
      </c>
      <c r="C1820" t="s">
        <v>634</v>
      </c>
      <c r="D1820" t="s">
        <v>77</v>
      </c>
      <c r="E1820" t="s">
        <v>82</v>
      </c>
      <c r="F1820">
        <v>4000</v>
      </c>
      <c r="G1820" s="13">
        <v>43621</v>
      </c>
      <c r="H1820" s="13">
        <v>43805</v>
      </c>
      <c r="I1820">
        <v>4000</v>
      </c>
      <c r="J1820">
        <v>0</v>
      </c>
      <c r="K1820">
        <v>4000</v>
      </c>
      <c r="N1820">
        <v>0</v>
      </c>
      <c r="O1820">
        <v>5.125</v>
      </c>
      <c r="P1820">
        <v>100</v>
      </c>
      <c r="Q1820">
        <v>5.5</v>
      </c>
      <c r="R1820">
        <v>5</v>
      </c>
      <c r="S1820">
        <v>5.5</v>
      </c>
      <c r="T1820">
        <v>97.40902777777778</v>
      </c>
      <c r="W1820" t="s">
        <v>497</v>
      </c>
    </row>
    <row r="1821" spans="1:23" x14ac:dyDescent="0.25">
      <c r="A1821" t="s">
        <v>2271</v>
      </c>
      <c r="B1821" t="str">
        <f t="shared" si="29"/>
        <v>GA1100000916</v>
      </c>
      <c r="C1821" t="s">
        <v>227</v>
      </c>
      <c r="D1821" t="s">
        <v>77</v>
      </c>
      <c r="E1821" t="s">
        <v>78</v>
      </c>
      <c r="F1821">
        <v>12000</v>
      </c>
      <c r="G1821" s="13">
        <v>43628</v>
      </c>
      <c r="H1821" s="13">
        <v>43721</v>
      </c>
      <c r="I1821">
        <v>2000</v>
      </c>
      <c r="J1821">
        <v>10000</v>
      </c>
      <c r="K1821">
        <v>12000</v>
      </c>
      <c r="N1821">
        <v>27.777777777777779</v>
      </c>
      <c r="O1821">
        <v>3.4624999999999999</v>
      </c>
      <c r="P1821">
        <v>167.5</v>
      </c>
      <c r="Q1821">
        <v>3.5</v>
      </c>
      <c r="R1821">
        <v>3.35</v>
      </c>
      <c r="S1821">
        <v>3.5</v>
      </c>
      <c r="T1821">
        <v>99.124756944444442</v>
      </c>
      <c r="W1821" t="s">
        <v>497</v>
      </c>
    </row>
    <row r="1822" spans="1:23" x14ac:dyDescent="0.25">
      <c r="A1822" t="s">
        <v>2272</v>
      </c>
      <c r="B1822" t="str">
        <f t="shared" si="29"/>
        <v>GA1100000924</v>
      </c>
      <c r="C1822" t="s">
        <v>227</v>
      </c>
      <c r="D1822" t="s">
        <v>77</v>
      </c>
      <c r="E1822" t="s">
        <v>78</v>
      </c>
      <c r="F1822">
        <v>15000</v>
      </c>
      <c r="G1822" s="13">
        <v>43635</v>
      </c>
      <c r="H1822" s="13">
        <v>43728</v>
      </c>
      <c r="I1822">
        <v>8158</v>
      </c>
      <c r="J1822">
        <v>6842</v>
      </c>
      <c r="K1822">
        <v>15000</v>
      </c>
      <c r="N1822">
        <v>22.222222222222221</v>
      </c>
      <c r="O1822">
        <v>3.4333</v>
      </c>
      <c r="P1822">
        <v>168.5667</v>
      </c>
      <c r="Q1822">
        <v>3.5</v>
      </c>
      <c r="R1822">
        <v>3.25</v>
      </c>
      <c r="S1822">
        <v>3.5</v>
      </c>
      <c r="T1822">
        <v>99.132138055555558</v>
      </c>
      <c r="W1822" t="s">
        <v>497</v>
      </c>
    </row>
    <row r="1823" spans="1:23" x14ac:dyDescent="0.25">
      <c r="A1823" t="s">
        <v>2273</v>
      </c>
      <c r="B1823" t="str">
        <f t="shared" si="29"/>
        <v>GA1300000344</v>
      </c>
      <c r="C1823" t="s">
        <v>227</v>
      </c>
      <c r="D1823" t="s">
        <v>77</v>
      </c>
      <c r="E1823" t="s">
        <v>287</v>
      </c>
      <c r="F1823">
        <v>15000</v>
      </c>
      <c r="G1823" s="13">
        <v>43642</v>
      </c>
      <c r="H1823" s="13">
        <v>44008</v>
      </c>
      <c r="I1823">
        <v>827</v>
      </c>
      <c r="J1823">
        <v>14173</v>
      </c>
      <c r="K1823">
        <v>15000</v>
      </c>
      <c r="N1823">
        <v>0</v>
      </c>
      <c r="O1823">
        <v>4.1378000000000004</v>
      </c>
      <c r="P1823">
        <v>118.8467</v>
      </c>
      <c r="Q1823">
        <v>5.5</v>
      </c>
      <c r="R1823">
        <v>3.8</v>
      </c>
      <c r="S1823">
        <v>5.5</v>
      </c>
      <c r="T1823">
        <v>95.816224444444444</v>
      </c>
      <c r="W1823" t="s">
        <v>497</v>
      </c>
    </row>
    <row r="1824" spans="1:23" x14ac:dyDescent="0.25">
      <c r="A1824" t="s">
        <v>2274</v>
      </c>
      <c r="B1824" t="str">
        <f t="shared" si="29"/>
        <v>TD1200000495</v>
      </c>
      <c r="C1824" t="s">
        <v>237</v>
      </c>
      <c r="D1824" t="s">
        <v>77</v>
      </c>
      <c r="E1824" t="s">
        <v>82</v>
      </c>
      <c r="F1824">
        <v>7100</v>
      </c>
      <c r="G1824" s="13">
        <v>43628</v>
      </c>
      <c r="H1824" s="13">
        <v>43812</v>
      </c>
      <c r="I1824">
        <v>4400</v>
      </c>
      <c r="J1824">
        <v>2700</v>
      </c>
      <c r="K1824">
        <v>7100</v>
      </c>
      <c r="N1824">
        <v>0</v>
      </c>
      <c r="O1824">
        <v>6.5</v>
      </c>
      <c r="P1824">
        <v>67.426400000000001</v>
      </c>
      <c r="Q1824">
        <v>6.5</v>
      </c>
      <c r="R1824">
        <v>6.5</v>
      </c>
      <c r="S1824">
        <v>6.5</v>
      </c>
      <c r="T1824">
        <v>96.713888888888889</v>
      </c>
      <c r="W1824" t="s">
        <v>497</v>
      </c>
    </row>
    <row r="1825" spans="1:23" x14ac:dyDescent="0.25">
      <c r="A1825" t="s">
        <v>2275</v>
      </c>
      <c r="B1825" t="str">
        <f t="shared" si="29"/>
        <v>TD1200000503</v>
      </c>
      <c r="C1825" t="s">
        <v>237</v>
      </c>
      <c r="D1825" t="s">
        <v>77</v>
      </c>
      <c r="E1825" t="s">
        <v>82</v>
      </c>
      <c r="F1825">
        <v>32500</v>
      </c>
      <c r="G1825" s="13">
        <v>43638</v>
      </c>
      <c r="H1825" s="13">
        <v>43819</v>
      </c>
      <c r="I1825">
        <v>32019</v>
      </c>
      <c r="J1825">
        <v>481</v>
      </c>
      <c r="K1825">
        <v>32500</v>
      </c>
      <c r="N1825">
        <v>0</v>
      </c>
      <c r="O1825">
        <v>6.2271000000000001</v>
      </c>
      <c r="P1825">
        <v>106.2123</v>
      </c>
      <c r="Q1825">
        <v>7</v>
      </c>
      <c r="R1825">
        <v>6</v>
      </c>
      <c r="S1825">
        <v>7</v>
      </c>
      <c r="T1825">
        <v>96.903747499999994</v>
      </c>
      <c r="W1825" t="s">
        <v>497</v>
      </c>
    </row>
    <row r="1826" spans="1:23" x14ac:dyDescent="0.25">
      <c r="A1826" t="s">
        <v>2276</v>
      </c>
      <c r="B1826" t="str">
        <f t="shared" si="29"/>
        <v>TD1200000511</v>
      </c>
      <c r="C1826" t="s">
        <v>237</v>
      </c>
      <c r="D1826" t="s">
        <v>77</v>
      </c>
      <c r="E1826" t="s">
        <v>82</v>
      </c>
      <c r="F1826">
        <v>10782</v>
      </c>
      <c r="G1826" s="13">
        <v>43635</v>
      </c>
      <c r="H1826" s="13">
        <v>43819</v>
      </c>
      <c r="I1826">
        <v>10782</v>
      </c>
      <c r="J1826">
        <v>0</v>
      </c>
      <c r="K1826">
        <v>10782</v>
      </c>
      <c r="N1826">
        <v>0</v>
      </c>
      <c r="O1826">
        <v>6.5</v>
      </c>
      <c r="P1826">
        <v>98.6</v>
      </c>
      <c r="Q1826">
        <v>6.5</v>
      </c>
      <c r="R1826">
        <v>6.5</v>
      </c>
      <c r="S1826">
        <v>6.5</v>
      </c>
      <c r="T1826">
        <v>96.713888888888889</v>
      </c>
      <c r="W1826" t="s">
        <v>497</v>
      </c>
    </row>
    <row r="1827" spans="1:23" x14ac:dyDescent="0.25">
      <c r="A1827" t="s">
        <v>2277</v>
      </c>
      <c r="B1827" t="str">
        <f t="shared" si="29"/>
        <v>TD1200000529</v>
      </c>
      <c r="C1827" t="s">
        <v>237</v>
      </c>
      <c r="D1827" t="s">
        <v>77</v>
      </c>
      <c r="E1827" t="s">
        <v>82</v>
      </c>
      <c r="F1827">
        <v>33750</v>
      </c>
      <c r="G1827" s="13">
        <v>43642</v>
      </c>
      <c r="H1827" s="13">
        <v>43826</v>
      </c>
      <c r="I1827">
        <v>33750</v>
      </c>
      <c r="J1827">
        <v>0</v>
      </c>
      <c r="K1827">
        <v>33750</v>
      </c>
      <c r="N1827">
        <v>0</v>
      </c>
      <c r="O1827">
        <v>6.5</v>
      </c>
      <c r="P1827">
        <v>92.592600000000004</v>
      </c>
      <c r="Q1827">
        <v>6.5</v>
      </c>
      <c r="R1827">
        <v>6.5</v>
      </c>
      <c r="S1827">
        <v>6.5</v>
      </c>
      <c r="T1827">
        <v>96.713888888888889</v>
      </c>
      <c r="W1827" t="s">
        <v>497</v>
      </c>
    </row>
    <row r="1828" spans="1:23" x14ac:dyDescent="0.25">
      <c r="A1828" t="s">
        <v>2278</v>
      </c>
      <c r="B1828" t="str">
        <f t="shared" si="29"/>
        <v>TD1300000379</v>
      </c>
      <c r="C1828" t="s">
        <v>237</v>
      </c>
      <c r="D1828" t="s">
        <v>77</v>
      </c>
      <c r="E1828" t="s">
        <v>287</v>
      </c>
      <c r="F1828">
        <v>22780</v>
      </c>
      <c r="G1828" s="13">
        <v>43624</v>
      </c>
      <c r="H1828" s="13">
        <v>43987</v>
      </c>
      <c r="I1828">
        <v>22780</v>
      </c>
      <c r="J1828">
        <v>0</v>
      </c>
      <c r="K1828">
        <v>22780</v>
      </c>
      <c r="N1828">
        <v>0</v>
      </c>
      <c r="O1828">
        <v>6.5</v>
      </c>
      <c r="P1828">
        <v>94.444400000000002</v>
      </c>
      <c r="Q1828">
        <v>6.5</v>
      </c>
      <c r="R1828">
        <v>6.5</v>
      </c>
      <c r="S1828">
        <v>6.5</v>
      </c>
      <c r="T1828">
        <v>93.481944444444451</v>
      </c>
      <c r="W1828" t="s">
        <v>497</v>
      </c>
    </row>
    <row r="1829" spans="1:23" x14ac:dyDescent="0.25">
      <c r="A1829" t="s">
        <v>2279</v>
      </c>
      <c r="B1829" t="str">
        <f t="shared" si="29"/>
        <v>CM1100000809</v>
      </c>
      <c r="C1829" t="s">
        <v>225</v>
      </c>
      <c r="D1829" t="s">
        <v>77</v>
      </c>
      <c r="E1829" t="s">
        <v>78</v>
      </c>
      <c r="F1829">
        <v>25000</v>
      </c>
      <c r="G1829" s="13">
        <v>43656.583333333336</v>
      </c>
      <c r="H1829" s="13">
        <v>43749</v>
      </c>
      <c r="I1829">
        <v>23500</v>
      </c>
      <c r="J1829">
        <v>1500</v>
      </c>
      <c r="K1829">
        <v>25000</v>
      </c>
      <c r="N1829">
        <v>28.571428571428569</v>
      </c>
      <c r="O1829">
        <v>2.335</v>
      </c>
      <c r="P1829">
        <v>100</v>
      </c>
      <c r="Q1829">
        <v>2.6</v>
      </c>
      <c r="R1829">
        <v>2.1</v>
      </c>
      <c r="S1829">
        <v>2.6</v>
      </c>
      <c r="T1829">
        <v>99.409763888888889</v>
      </c>
      <c r="W1829" t="s">
        <v>497</v>
      </c>
    </row>
    <row r="1830" spans="1:23" x14ac:dyDescent="0.25">
      <c r="A1830" t="s">
        <v>2280</v>
      </c>
      <c r="B1830" t="str">
        <f t="shared" si="29"/>
        <v>GA1100000932</v>
      </c>
      <c r="C1830" t="s">
        <v>227</v>
      </c>
      <c r="D1830" t="s">
        <v>77</v>
      </c>
      <c r="E1830" t="s">
        <v>78</v>
      </c>
      <c r="F1830">
        <v>13000</v>
      </c>
      <c r="G1830" s="13">
        <v>43656.583333333336</v>
      </c>
      <c r="H1830" s="13">
        <v>43749</v>
      </c>
      <c r="I1830">
        <v>0</v>
      </c>
      <c r="J1830">
        <v>13000</v>
      </c>
      <c r="K1830">
        <v>13000</v>
      </c>
      <c r="N1830">
        <v>33.333333333333329</v>
      </c>
      <c r="O1830">
        <v>3.5335000000000001</v>
      </c>
      <c r="P1830">
        <v>190.76920000000001</v>
      </c>
      <c r="Q1830">
        <v>4.25</v>
      </c>
      <c r="R1830">
        <v>3.35</v>
      </c>
      <c r="S1830">
        <v>4.25</v>
      </c>
      <c r="T1830">
        <v>99.106809722222224</v>
      </c>
      <c r="W1830" t="s">
        <v>497</v>
      </c>
    </row>
    <row r="1831" spans="1:23" x14ac:dyDescent="0.25">
      <c r="A1831" t="s">
        <v>2281</v>
      </c>
      <c r="B1831" t="str">
        <f t="shared" si="29"/>
        <v>GA1100000940</v>
      </c>
      <c r="C1831" t="s">
        <v>227</v>
      </c>
      <c r="D1831" t="s">
        <v>77</v>
      </c>
      <c r="E1831" t="s">
        <v>78</v>
      </c>
      <c r="F1831">
        <v>15000</v>
      </c>
      <c r="G1831" s="13">
        <v>43670.583333333336</v>
      </c>
      <c r="H1831" s="13">
        <v>43763</v>
      </c>
      <c r="I1831">
        <v>6900</v>
      </c>
      <c r="J1831">
        <v>8100</v>
      </c>
      <c r="K1831">
        <v>15000</v>
      </c>
      <c r="N1831">
        <v>44.444444444444443</v>
      </c>
      <c r="O1831">
        <v>3.4140000000000001</v>
      </c>
      <c r="P1831">
        <v>258</v>
      </c>
      <c r="Q1831">
        <v>3.75</v>
      </c>
      <c r="R1831">
        <v>3.15</v>
      </c>
      <c r="S1831">
        <v>3.75</v>
      </c>
      <c r="T1831">
        <v>99.137016666666668</v>
      </c>
      <c r="W1831" t="s">
        <v>497</v>
      </c>
    </row>
    <row r="1832" spans="1:23" x14ac:dyDescent="0.25">
      <c r="A1832" t="s">
        <v>2282</v>
      </c>
      <c r="B1832" t="str">
        <f t="shared" si="29"/>
        <v>CG1200000251</v>
      </c>
      <c r="C1832" t="s">
        <v>229</v>
      </c>
      <c r="D1832" t="s">
        <v>77</v>
      </c>
      <c r="E1832" t="s">
        <v>82</v>
      </c>
      <c r="F1832">
        <v>10000</v>
      </c>
      <c r="G1832" s="13">
        <v>43649.708333333336</v>
      </c>
      <c r="H1832" s="13">
        <v>43833</v>
      </c>
      <c r="I1832">
        <v>6000</v>
      </c>
      <c r="J1832">
        <v>4000</v>
      </c>
      <c r="K1832">
        <v>10000</v>
      </c>
      <c r="N1832">
        <v>21.739130434782609</v>
      </c>
      <c r="O1832">
        <v>6.5872999999999999</v>
      </c>
      <c r="P1832">
        <v>110</v>
      </c>
      <c r="Q1832">
        <v>7</v>
      </c>
      <c r="R1832">
        <v>6</v>
      </c>
      <c r="S1832">
        <v>7</v>
      </c>
      <c r="T1832">
        <v>96.669753888888891</v>
      </c>
      <c r="W1832" t="s">
        <v>497</v>
      </c>
    </row>
    <row r="1833" spans="1:23" x14ac:dyDescent="0.25">
      <c r="A1833" t="s">
        <v>2283</v>
      </c>
      <c r="B1833" t="str">
        <f t="shared" si="29"/>
        <v>CG1200000269</v>
      </c>
      <c r="C1833" t="s">
        <v>229</v>
      </c>
      <c r="D1833" t="s">
        <v>77</v>
      </c>
      <c r="E1833" t="s">
        <v>82</v>
      </c>
      <c r="F1833">
        <v>10000</v>
      </c>
      <c r="G1833" s="13">
        <v>43670.708333333336</v>
      </c>
      <c r="H1833" s="13">
        <v>43854</v>
      </c>
      <c r="I1833">
        <v>9927</v>
      </c>
      <c r="J1833">
        <v>73</v>
      </c>
      <c r="K1833">
        <v>10000</v>
      </c>
      <c r="N1833">
        <v>17.391304347826086</v>
      </c>
      <c r="O1833">
        <v>6.3650000000000002</v>
      </c>
      <c r="P1833">
        <v>200</v>
      </c>
      <c r="Q1833">
        <v>6.5</v>
      </c>
      <c r="R1833">
        <v>5.95</v>
      </c>
      <c r="S1833">
        <v>6.5</v>
      </c>
      <c r="T1833">
        <v>96.782138888888895</v>
      </c>
      <c r="W1833" t="s">
        <v>497</v>
      </c>
    </row>
    <row r="1834" spans="1:23" x14ac:dyDescent="0.25">
      <c r="A1834" t="s">
        <v>2284</v>
      </c>
      <c r="B1834" t="str">
        <f t="shared" si="29"/>
        <v>CM1200000766</v>
      </c>
      <c r="C1834" t="s">
        <v>225</v>
      </c>
      <c r="D1834" t="s">
        <v>77</v>
      </c>
      <c r="E1834" t="s">
        <v>82</v>
      </c>
      <c r="F1834">
        <v>30000</v>
      </c>
      <c r="G1834" s="13">
        <v>43663.583333333336</v>
      </c>
      <c r="H1834" s="13">
        <v>43847</v>
      </c>
      <c r="I1834">
        <v>16000</v>
      </c>
      <c r="J1834">
        <v>14000</v>
      </c>
      <c r="K1834">
        <v>30000</v>
      </c>
      <c r="N1834">
        <v>33.333333333333329</v>
      </c>
      <c r="O1834">
        <v>2.5649999999999999</v>
      </c>
      <c r="P1834">
        <v>120</v>
      </c>
      <c r="Q1834">
        <v>3</v>
      </c>
      <c r="R1834">
        <v>2.0499999999999998</v>
      </c>
      <c r="S1834">
        <v>3</v>
      </c>
      <c r="T1834">
        <v>98.703249999999997</v>
      </c>
      <c r="W1834" t="s">
        <v>497</v>
      </c>
    </row>
    <row r="1835" spans="1:23" x14ac:dyDescent="0.25">
      <c r="A1835" t="s">
        <v>2285</v>
      </c>
      <c r="B1835" t="str">
        <f t="shared" si="29"/>
        <v>GA1200000873</v>
      </c>
      <c r="C1835" t="s">
        <v>227</v>
      </c>
      <c r="D1835" t="s">
        <v>77</v>
      </c>
      <c r="E1835" t="s">
        <v>82</v>
      </c>
      <c r="F1835">
        <v>11000</v>
      </c>
      <c r="G1835" s="13">
        <v>43649.583333333336</v>
      </c>
      <c r="H1835" s="13">
        <v>43833</v>
      </c>
      <c r="I1835">
        <v>4500</v>
      </c>
      <c r="J1835">
        <v>6500</v>
      </c>
      <c r="K1835">
        <v>11000</v>
      </c>
      <c r="N1835">
        <v>0</v>
      </c>
      <c r="O1835">
        <v>3.8123</v>
      </c>
      <c r="P1835">
        <v>208.63640000000001</v>
      </c>
      <c r="Q1835">
        <v>4.1500000000000004</v>
      </c>
      <c r="R1835">
        <v>3.35</v>
      </c>
      <c r="S1835">
        <v>4.1500000000000004</v>
      </c>
      <c r="T1835">
        <v>98.072670555555561</v>
      </c>
      <c r="W1835" t="s">
        <v>497</v>
      </c>
    </row>
    <row r="1836" spans="1:23" x14ac:dyDescent="0.25">
      <c r="A1836" t="s">
        <v>2286</v>
      </c>
      <c r="B1836" t="str">
        <f t="shared" si="29"/>
        <v>GA1200000881</v>
      </c>
      <c r="C1836" t="s">
        <v>227</v>
      </c>
      <c r="D1836" t="s">
        <v>77</v>
      </c>
      <c r="E1836" t="s">
        <v>82</v>
      </c>
      <c r="F1836">
        <v>15000</v>
      </c>
      <c r="G1836" s="13">
        <v>43663.583333333336</v>
      </c>
      <c r="H1836" s="13">
        <v>43847</v>
      </c>
      <c r="I1836">
        <v>855</v>
      </c>
      <c r="J1836">
        <v>14145</v>
      </c>
      <c r="K1836">
        <v>15000</v>
      </c>
      <c r="N1836">
        <v>0</v>
      </c>
      <c r="O1836">
        <v>4.0358000000000001</v>
      </c>
      <c r="P1836">
        <v>197.33330000000001</v>
      </c>
      <c r="Q1836">
        <v>4.5</v>
      </c>
      <c r="R1836">
        <v>3.2</v>
      </c>
      <c r="S1836">
        <v>4.5</v>
      </c>
      <c r="T1836">
        <v>97.959678888888888</v>
      </c>
      <c r="W1836" t="s">
        <v>497</v>
      </c>
    </row>
    <row r="1837" spans="1:23" x14ac:dyDescent="0.25">
      <c r="A1837" t="s">
        <v>2287</v>
      </c>
      <c r="B1837" t="str">
        <f t="shared" si="29"/>
        <v>TD1200000537</v>
      </c>
      <c r="C1837" t="s">
        <v>237</v>
      </c>
      <c r="D1837" t="s">
        <v>77</v>
      </c>
      <c r="E1837" t="s">
        <v>82</v>
      </c>
      <c r="F1837">
        <v>15188</v>
      </c>
      <c r="G1837" s="13">
        <v>43656.833333333336</v>
      </c>
      <c r="H1837" s="13">
        <v>43840</v>
      </c>
      <c r="I1837">
        <v>15188</v>
      </c>
      <c r="J1837">
        <v>0</v>
      </c>
      <c r="K1837">
        <v>15188</v>
      </c>
      <c r="N1837">
        <v>0</v>
      </c>
      <c r="O1837">
        <v>6.5</v>
      </c>
      <c r="P1837">
        <v>83.336100000000002</v>
      </c>
      <c r="Q1837">
        <v>6.5</v>
      </c>
      <c r="R1837">
        <v>6.5</v>
      </c>
      <c r="S1837">
        <v>6.5</v>
      </c>
      <c r="T1837">
        <v>96.713888888888889</v>
      </c>
      <c r="W1837" t="s">
        <v>497</v>
      </c>
    </row>
    <row r="1838" spans="1:23" x14ac:dyDescent="0.25">
      <c r="A1838" t="s">
        <v>2288</v>
      </c>
      <c r="B1838" t="str">
        <f t="shared" si="29"/>
        <v>TD1200000545</v>
      </c>
      <c r="C1838" t="s">
        <v>237</v>
      </c>
      <c r="D1838" t="s">
        <v>77</v>
      </c>
      <c r="E1838" t="s">
        <v>82</v>
      </c>
      <c r="F1838">
        <v>14170</v>
      </c>
      <c r="G1838" s="13">
        <v>43663.708333333336</v>
      </c>
      <c r="H1838" s="13">
        <v>43847</v>
      </c>
      <c r="I1838">
        <v>14170</v>
      </c>
      <c r="J1838">
        <v>0</v>
      </c>
      <c r="K1838">
        <v>14170</v>
      </c>
      <c r="N1838">
        <v>0</v>
      </c>
      <c r="O1838">
        <v>6.2298</v>
      </c>
      <c r="P1838">
        <v>113.90260000000001</v>
      </c>
      <c r="Q1838">
        <v>6.5</v>
      </c>
      <c r="R1838">
        <v>6</v>
      </c>
      <c r="S1838">
        <v>6.5</v>
      </c>
      <c r="T1838">
        <v>96.850489999999994</v>
      </c>
      <c r="W1838" t="s">
        <v>497</v>
      </c>
    </row>
    <row r="1839" spans="1:23" x14ac:dyDescent="0.25">
      <c r="A1839" t="s">
        <v>2289</v>
      </c>
      <c r="B1839" t="str">
        <f t="shared" si="29"/>
        <v>TD1200000552</v>
      </c>
      <c r="C1839" t="s">
        <v>237</v>
      </c>
      <c r="D1839" t="s">
        <v>77</v>
      </c>
      <c r="E1839" t="s">
        <v>82</v>
      </c>
      <c r="F1839">
        <v>4860</v>
      </c>
      <c r="G1839" s="13">
        <v>43670.708333333336</v>
      </c>
      <c r="H1839" s="13">
        <v>43854</v>
      </c>
      <c r="I1839">
        <v>4860</v>
      </c>
      <c r="J1839">
        <v>0</v>
      </c>
      <c r="K1839">
        <v>4860</v>
      </c>
      <c r="N1839">
        <v>0</v>
      </c>
      <c r="O1839">
        <v>6.5</v>
      </c>
      <c r="P1839">
        <v>111.11109999999999</v>
      </c>
      <c r="Q1839">
        <v>6.5</v>
      </c>
      <c r="R1839">
        <v>6.5</v>
      </c>
      <c r="S1839">
        <v>6.5</v>
      </c>
      <c r="T1839">
        <v>96.713888888888889</v>
      </c>
      <c r="W1839" t="s">
        <v>497</v>
      </c>
    </row>
    <row r="1840" spans="1:23" x14ac:dyDescent="0.25">
      <c r="A1840" t="s">
        <v>2290</v>
      </c>
      <c r="B1840" t="str">
        <f t="shared" si="29"/>
        <v>CG1300000029</v>
      </c>
      <c r="C1840" t="s">
        <v>229</v>
      </c>
      <c r="D1840" t="s">
        <v>77</v>
      </c>
      <c r="E1840" t="s">
        <v>287</v>
      </c>
      <c r="F1840">
        <v>14112</v>
      </c>
      <c r="G1840" s="13">
        <v>43656.708333333336</v>
      </c>
      <c r="H1840" s="13">
        <v>44022</v>
      </c>
      <c r="I1840">
        <v>14112</v>
      </c>
      <c r="J1840">
        <v>0</v>
      </c>
      <c r="K1840">
        <v>14112</v>
      </c>
      <c r="N1840">
        <v>8.695652173913043</v>
      </c>
      <c r="O1840">
        <v>6.4992000000000001</v>
      </c>
      <c r="P1840">
        <v>94.08</v>
      </c>
      <c r="Q1840">
        <v>6.5</v>
      </c>
      <c r="R1840">
        <v>6.4</v>
      </c>
      <c r="S1840">
        <v>6.5</v>
      </c>
      <c r="T1840">
        <v>93.428586666666661</v>
      </c>
      <c r="W1840" t="s">
        <v>497</v>
      </c>
    </row>
    <row r="1841" spans="1:23" x14ac:dyDescent="0.25">
      <c r="A1841" t="s">
        <v>2291</v>
      </c>
      <c r="B1841" t="str">
        <f t="shared" si="29"/>
        <v>GQ1300000668</v>
      </c>
      <c r="C1841" t="s">
        <v>528</v>
      </c>
      <c r="D1841" t="s">
        <v>77</v>
      </c>
      <c r="E1841" t="s">
        <v>287</v>
      </c>
      <c r="F1841">
        <v>13000</v>
      </c>
      <c r="G1841" s="13">
        <v>43656.708333333336</v>
      </c>
      <c r="H1841" s="13">
        <v>44022</v>
      </c>
      <c r="I1841">
        <v>7000</v>
      </c>
      <c r="J1841">
        <v>6000</v>
      </c>
      <c r="K1841">
        <v>13000</v>
      </c>
      <c r="N1841">
        <v>0</v>
      </c>
      <c r="O1841">
        <v>8.2550000000000008</v>
      </c>
      <c r="P1841">
        <v>86.666700000000006</v>
      </c>
      <c r="Q1841">
        <v>9</v>
      </c>
      <c r="R1841">
        <v>6</v>
      </c>
      <c r="S1841">
        <v>9</v>
      </c>
      <c r="T1841">
        <v>91.653277777777774</v>
      </c>
      <c r="W1841" t="s">
        <v>497</v>
      </c>
    </row>
    <row r="1842" spans="1:23" x14ac:dyDescent="0.25">
      <c r="A1842" t="s">
        <v>2292</v>
      </c>
      <c r="B1842" t="str">
        <f t="shared" si="29"/>
        <v>GA1100000957</v>
      </c>
      <c r="C1842" t="s">
        <v>227</v>
      </c>
      <c r="D1842" t="s">
        <v>77</v>
      </c>
      <c r="E1842" t="s">
        <v>78</v>
      </c>
      <c r="F1842">
        <v>15000</v>
      </c>
      <c r="G1842" s="13">
        <v>43677.458333333336</v>
      </c>
      <c r="H1842" s="13">
        <v>43770</v>
      </c>
      <c r="I1842">
        <v>12000</v>
      </c>
      <c r="J1842">
        <v>3000</v>
      </c>
      <c r="K1842">
        <v>15000</v>
      </c>
      <c r="N1842">
        <v>44.444444444444443</v>
      </c>
      <c r="O1842">
        <v>3.2349999999999999</v>
      </c>
      <c r="P1842">
        <v>313.33300000000003</v>
      </c>
      <c r="Q1842">
        <v>3.5</v>
      </c>
      <c r="R1842">
        <v>3</v>
      </c>
      <c r="S1842">
        <v>3.5</v>
      </c>
      <c r="T1842">
        <v>99.182263888888883</v>
      </c>
      <c r="W1842" t="s">
        <v>497</v>
      </c>
    </row>
    <row r="1843" spans="1:23" x14ac:dyDescent="0.25">
      <c r="A1843" t="s">
        <v>2293</v>
      </c>
      <c r="B1843" t="str">
        <f t="shared" si="29"/>
        <v>TD1200000560</v>
      </c>
      <c r="C1843" t="s">
        <v>237</v>
      </c>
      <c r="D1843" t="s">
        <v>77</v>
      </c>
      <c r="E1843" t="s">
        <v>82</v>
      </c>
      <c r="F1843">
        <v>9477</v>
      </c>
      <c r="G1843" s="13">
        <v>43677.666666666664</v>
      </c>
      <c r="H1843" s="13">
        <v>43861</v>
      </c>
      <c r="I1843">
        <v>8853</v>
      </c>
      <c r="J1843">
        <v>624</v>
      </c>
      <c r="K1843">
        <v>9477</v>
      </c>
      <c r="N1843">
        <v>0</v>
      </c>
      <c r="O1843">
        <v>6.1833999999999998</v>
      </c>
      <c r="P1843">
        <v>153.3502</v>
      </c>
      <c r="Q1843">
        <v>6.5</v>
      </c>
      <c r="R1843">
        <v>5.5</v>
      </c>
      <c r="S1843">
        <v>6.5</v>
      </c>
      <c r="T1843">
        <v>96.873947777777772</v>
      </c>
      <c r="W1843" t="s">
        <v>497</v>
      </c>
    </row>
    <row r="1844" spans="1:23" x14ac:dyDescent="0.25">
      <c r="A1844" t="s">
        <v>2294</v>
      </c>
      <c r="B1844" t="str">
        <f t="shared" si="29"/>
        <v>CG1200000277</v>
      </c>
      <c r="C1844" t="s">
        <v>229</v>
      </c>
      <c r="D1844" t="s">
        <v>77</v>
      </c>
      <c r="E1844" t="s">
        <v>82</v>
      </c>
      <c r="F1844">
        <v>10000</v>
      </c>
      <c r="G1844" s="13">
        <v>43684.666666666664</v>
      </c>
      <c r="H1844" s="13">
        <v>43868</v>
      </c>
      <c r="I1844">
        <v>7211</v>
      </c>
      <c r="J1844">
        <v>2789</v>
      </c>
      <c r="K1844">
        <v>10000</v>
      </c>
      <c r="N1844">
        <v>17.391304347826086</v>
      </c>
      <c r="O1844">
        <v>6.3602999999999996</v>
      </c>
      <c r="P1844">
        <v>190.83</v>
      </c>
      <c r="Q1844">
        <v>6.5</v>
      </c>
      <c r="R1844">
        <v>5</v>
      </c>
      <c r="S1844">
        <v>6.5</v>
      </c>
      <c r="T1844">
        <v>96.784514999999999</v>
      </c>
      <c r="W1844" t="s">
        <v>497</v>
      </c>
    </row>
    <row r="1845" spans="1:23" x14ac:dyDescent="0.25">
      <c r="A1845" t="s">
        <v>2295</v>
      </c>
      <c r="B1845" t="str">
        <f t="shared" si="29"/>
        <v>CG1300000037</v>
      </c>
      <c r="C1845" t="s">
        <v>229</v>
      </c>
      <c r="D1845" t="s">
        <v>77</v>
      </c>
      <c r="E1845" t="s">
        <v>287</v>
      </c>
      <c r="F1845">
        <v>15000</v>
      </c>
      <c r="G1845" s="13">
        <v>43705.666666666664</v>
      </c>
      <c r="H1845" s="13">
        <v>44071</v>
      </c>
      <c r="I1845">
        <v>13390</v>
      </c>
      <c r="J1845">
        <v>1610</v>
      </c>
      <c r="K1845">
        <v>15000</v>
      </c>
      <c r="N1845">
        <v>21.739130434782609</v>
      </c>
      <c r="O1845">
        <v>6.4659000000000004</v>
      </c>
      <c r="P1845">
        <v>146.83330000000001</v>
      </c>
      <c r="Q1845">
        <v>6.5</v>
      </c>
      <c r="R1845">
        <v>6.05</v>
      </c>
      <c r="S1845">
        <v>6.5</v>
      </c>
      <c r="T1845">
        <v>93.462256666666661</v>
      </c>
      <c r="W1845" t="s">
        <v>497</v>
      </c>
    </row>
    <row r="1846" spans="1:23" x14ac:dyDescent="0.25">
      <c r="A1846" t="s">
        <v>2296</v>
      </c>
      <c r="B1846" t="str">
        <f t="shared" si="29"/>
        <v>CM1100000817</v>
      </c>
      <c r="C1846" t="s">
        <v>225</v>
      </c>
      <c r="D1846" t="s">
        <v>77</v>
      </c>
      <c r="E1846" t="s">
        <v>78</v>
      </c>
      <c r="F1846">
        <v>20000</v>
      </c>
      <c r="G1846" s="13">
        <v>43684.5</v>
      </c>
      <c r="H1846" s="13">
        <v>43777</v>
      </c>
      <c r="I1846">
        <v>18580</v>
      </c>
      <c r="J1846">
        <v>1420</v>
      </c>
      <c r="K1846">
        <v>20000</v>
      </c>
      <c r="N1846">
        <v>33.333333333333329</v>
      </c>
      <c r="O1846">
        <v>2.3199999999999998</v>
      </c>
      <c r="P1846">
        <v>196.095</v>
      </c>
      <c r="Q1846">
        <v>2.5</v>
      </c>
      <c r="R1846">
        <v>2.1</v>
      </c>
      <c r="S1846">
        <v>2.5</v>
      </c>
      <c r="T1846">
        <v>99.413555555555561</v>
      </c>
      <c r="W1846" t="s">
        <v>497</v>
      </c>
    </row>
    <row r="1847" spans="1:23" x14ac:dyDescent="0.25">
      <c r="A1847" t="s">
        <v>2297</v>
      </c>
      <c r="B1847" t="str">
        <f t="shared" si="29"/>
        <v>CM1200000774</v>
      </c>
      <c r="C1847" t="s">
        <v>225</v>
      </c>
      <c r="D1847" t="s">
        <v>77</v>
      </c>
      <c r="E1847" t="s">
        <v>82</v>
      </c>
      <c r="F1847">
        <v>30000</v>
      </c>
      <c r="G1847" s="13">
        <v>43705.5</v>
      </c>
      <c r="H1847" s="13">
        <v>43889</v>
      </c>
      <c r="I1847">
        <v>29400</v>
      </c>
      <c r="J1847">
        <v>600</v>
      </c>
      <c r="K1847">
        <v>30000</v>
      </c>
      <c r="N1847">
        <v>38.095238095238095</v>
      </c>
      <c r="O1847">
        <v>2.3666999999999998</v>
      </c>
      <c r="P1847">
        <v>218.33330000000001</v>
      </c>
      <c r="Q1847">
        <v>2.75</v>
      </c>
      <c r="R1847">
        <v>2.15</v>
      </c>
      <c r="S1847">
        <v>2.75</v>
      </c>
      <c r="T1847">
        <v>98.803501666666662</v>
      </c>
      <c r="W1847" t="s">
        <v>497</v>
      </c>
    </row>
    <row r="1848" spans="1:23" x14ac:dyDescent="0.25">
      <c r="A1848" t="s">
        <v>2298</v>
      </c>
      <c r="B1848" t="str">
        <f t="shared" si="29"/>
        <v>GA1200000899</v>
      </c>
      <c r="C1848" t="s">
        <v>227</v>
      </c>
      <c r="D1848" t="s">
        <v>77</v>
      </c>
      <c r="E1848" t="s">
        <v>82</v>
      </c>
      <c r="F1848">
        <v>12000</v>
      </c>
      <c r="G1848" s="13">
        <v>43691.520833333336</v>
      </c>
      <c r="H1848" s="13">
        <v>43875</v>
      </c>
      <c r="I1848">
        <v>3000</v>
      </c>
      <c r="J1848">
        <v>9000</v>
      </c>
      <c r="K1848">
        <v>12000</v>
      </c>
      <c r="N1848">
        <v>0</v>
      </c>
      <c r="O1848">
        <v>3.9083000000000001</v>
      </c>
      <c r="P1848">
        <v>166.66669999999999</v>
      </c>
      <c r="Q1848">
        <v>4.25</v>
      </c>
      <c r="R1848">
        <v>3.35</v>
      </c>
      <c r="S1848">
        <v>4.25</v>
      </c>
      <c r="T1848">
        <v>98.024137222222222</v>
      </c>
      <c r="W1848" t="s">
        <v>497</v>
      </c>
    </row>
    <row r="1849" spans="1:23" x14ac:dyDescent="0.25">
      <c r="A1849" t="s">
        <v>2299</v>
      </c>
      <c r="B1849" t="str">
        <f t="shared" si="29"/>
        <v>GA1100000973</v>
      </c>
      <c r="C1849" t="s">
        <v>227</v>
      </c>
      <c r="D1849" t="s">
        <v>77</v>
      </c>
      <c r="E1849" t="s">
        <v>78</v>
      </c>
      <c r="F1849">
        <v>15000</v>
      </c>
      <c r="G1849" s="13">
        <v>43698.458333333336</v>
      </c>
      <c r="H1849" s="13">
        <v>43791</v>
      </c>
      <c r="I1849">
        <v>3500</v>
      </c>
      <c r="J1849">
        <v>11500</v>
      </c>
      <c r="K1849">
        <v>15000</v>
      </c>
      <c r="N1849">
        <v>33.333333333333329</v>
      </c>
      <c r="O1849">
        <v>3.3532999999999999</v>
      </c>
      <c r="P1849">
        <v>256.66669999999999</v>
      </c>
      <c r="Q1849">
        <v>4</v>
      </c>
      <c r="R1849">
        <v>3</v>
      </c>
      <c r="S1849">
        <v>4</v>
      </c>
      <c r="T1849">
        <v>99.152360277777774</v>
      </c>
      <c r="W1849" t="s">
        <v>497</v>
      </c>
    </row>
    <row r="1850" spans="1:23" x14ac:dyDescent="0.25">
      <c r="A1850" t="s">
        <v>2300</v>
      </c>
      <c r="B1850" t="str">
        <f t="shared" si="29"/>
        <v>GA1100000965</v>
      </c>
      <c r="C1850" t="s">
        <v>227</v>
      </c>
      <c r="D1850" t="s">
        <v>77</v>
      </c>
      <c r="E1850" t="s">
        <v>78</v>
      </c>
      <c r="F1850">
        <v>14000</v>
      </c>
      <c r="G1850" s="13">
        <v>43684.416666666664</v>
      </c>
      <c r="H1850" s="13">
        <v>43777</v>
      </c>
      <c r="I1850">
        <v>8089</v>
      </c>
      <c r="J1850">
        <v>5911</v>
      </c>
      <c r="K1850">
        <v>14000</v>
      </c>
      <c r="N1850">
        <v>33.333333333333329</v>
      </c>
      <c r="O1850">
        <v>3.3361000000000001</v>
      </c>
      <c r="P1850">
        <v>270</v>
      </c>
      <c r="Q1850">
        <v>3.5</v>
      </c>
      <c r="R1850">
        <v>3.1</v>
      </c>
      <c r="S1850">
        <v>3.5</v>
      </c>
      <c r="T1850">
        <v>99.156708055555555</v>
      </c>
      <c r="W1850" t="s">
        <v>497</v>
      </c>
    </row>
    <row r="1851" spans="1:23" x14ac:dyDescent="0.25">
      <c r="A1851" t="s">
        <v>2301</v>
      </c>
      <c r="B1851" t="str">
        <f t="shared" si="29"/>
        <v>GA1100000981</v>
      </c>
      <c r="C1851" t="s">
        <v>227</v>
      </c>
      <c r="D1851" t="s">
        <v>77</v>
      </c>
      <c r="E1851" t="s">
        <v>78</v>
      </c>
      <c r="F1851">
        <v>15000</v>
      </c>
      <c r="G1851" s="13">
        <v>43705.375</v>
      </c>
      <c r="H1851" s="13">
        <v>43798</v>
      </c>
      <c r="I1851">
        <v>2500</v>
      </c>
      <c r="J1851">
        <v>12500</v>
      </c>
      <c r="K1851">
        <v>15000</v>
      </c>
      <c r="N1851">
        <v>22.222222222222221</v>
      </c>
      <c r="O1851">
        <v>3.7907000000000002</v>
      </c>
      <c r="P1851">
        <v>170</v>
      </c>
      <c r="Q1851">
        <v>4</v>
      </c>
      <c r="R1851">
        <v>3.3</v>
      </c>
      <c r="S1851">
        <v>4</v>
      </c>
      <c r="T1851">
        <v>99.04179527777778</v>
      </c>
      <c r="W1851" t="s">
        <v>497</v>
      </c>
    </row>
    <row r="1852" spans="1:23" x14ac:dyDescent="0.25">
      <c r="A1852" t="s">
        <v>2302</v>
      </c>
      <c r="B1852" t="str">
        <f t="shared" si="29"/>
        <v>GQ1300000676</v>
      </c>
      <c r="C1852" t="s">
        <v>528</v>
      </c>
      <c r="D1852" t="s">
        <v>77</v>
      </c>
      <c r="E1852" t="s">
        <v>287</v>
      </c>
      <c r="F1852">
        <v>15000</v>
      </c>
      <c r="G1852" s="13">
        <v>43684.541666666664</v>
      </c>
      <c r="H1852" s="13">
        <v>44050</v>
      </c>
      <c r="I1852">
        <v>11286</v>
      </c>
      <c r="J1852">
        <v>3714</v>
      </c>
      <c r="K1852">
        <v>15000</v>
      </c>
      <c r="N1852">
        <v>0</v>
      </c>
      <c r="O1852">
        <v>8.8853000000000009</v>
      </c>
      <c r="P1852">
        <v>218.66669999999999</v>
      </c>
      <c r="Q1852">
        <v>9</v>
      </c>
      <c r="R1852">
        <v>8</v>
      </c>
      <c r="S1852">
        <v>9</v>
      </c>
      <c r="T1852">
        <v>91.015974444444439</v>
      </c>
      <c r="W1852" t="s">
        <v>497</v>
      </c>
    </row>
    <row r="1853" spans="1:23" x14ac:dyDescent="0.25">
      <c r="A1853" t="s">
        <v>2303</v>
      </c>
      <c r="B1853" t="str">
        <f t="shared" si="29"/>
        <v>GQ1200000016</v>
      </c>
      <c r="C1853" t="s">
        <v>528</v>
      </c>
      <c r="D1853" t="s">
        <v>77</v>
      </c>
      <c r="E1853" t="s">
        <v>82</v>
      </c>
      <c r="F1853">
        <v>5000</v>
      </c>
      <c r="G1853" s="13">
        <v>43705.541666666664</v>
      </c>
      <c r="H1853" s="13">
        <v>43889</v>
      </c>
      <c r="I1853">
        <v>5000</v>
      </c>
      <c r="J1853">
        <v>0</v>
      </c>
      <c r="K1853">
        <v>5000</v>
      </c>
      <c r="N1853">
        <v>0</v>
      </c>
      <c r="O1853">
        <v>7.7549999999999999</v>
      </c>
      <c r="P1853">
        <v>240</v>
      </c>
      <c r="Q1853">
        <v>7.7549999999999999</v>
      </c>
      <c r="R1853">
        <v>7.5</v>
      </c>
      <c r="S1853">
        <v>7.95</v>
      </c>
      <c r="T1853">
        <v>96.079416666666674</v>
      </c>
      <c r="W1853" t="s">
        <v>497</v>
      </c>
    </row>
    <row r="1854" spans="1:23" x14ac:dyDescent="0.25">
      <c r="A1854" t="s">
        <v>2304</v>
      </c>
      <c r="B1854" t="str">
        <f t="shared" si="29"/>
        <v>TD1200000586</v>
      </c>
      <c r="C1854" t="s">
        <v>237</v>
      </c>
      <c r="D1854" t="s">
        <v>77</v>
      </c>
      <c r="E1854" t="s">
        <v>82</v>
      </c>
      <c r="F1854">
        <v>10160</v>
      </c>
      <c r="G1854" s="13">
        <v>43698.666666666664</v>
      </c>
      <c r="H1854" s="13">
        <v>43882</v>
      </c>
      <c r="I1854">
        <v>10160</v>
      </c>
      <c r="J1854">
        <v>0</v>
      </c>
      <c r="K1854">
        <v>10160</v>
      </c>
      <c r="N1854">
        <v>0</v>
      </c>
      <c r="O1854">
        <v>6.4149000000000003</v>
      </c>
      <c r="P1854">
        <v>97.523499999999999</v>
      </c>
      <c r="Q1854">
        <v>6.5</v>
      </c>
      <c r="R1854">
        <v>6</v>
      </c>
      <c r="S1854">
        <v>6.5</v>
      </c>
      <c r="T1854">
        <v>96.756911666666667</v>
      </c>
      <c r="W1854" t="s">
        <v>497</v>
      </c>
    </row>
    <row r="1855" spans="1:23" x14ac:dyDescent="0.25">
      <c r="A1855" t="s">
        <v>2305</v>
      </c>
      <c r="B1855" t="str">
        <f t="shared" si="29"/>
        <v>TD1200000578</v>
      </c>
      <c r="C1855" t="s">
        <v>237</v>
      </c>
      <c r="D1855" t="s">
        <v>77</v>
      </c>
      <c r="E1855" t="s">
        <v>82</v>
      </c>
      <c r="F1855">
        <v>9720</v>
      </c>
      <c r="G1855" s="13">
        <v>43684.666666666664</v>
      </c>
      <c r="H1855" s="13">
        <v>43868</v>
      </c>
      <c r="I1855">
        <v>9720</v>
      </c>
      <c r="J1855">
        <v>0</v>
      </c>
      <c r="K1855">
        <v>9720</v>
      </c>
      <c r="N1855">
        <v>0</v>
      </c>
      <c r="O1855">
        <v>6.2401999999999997</v>
      </c>
      <c r="P1855">
        <v>131.68719999999999</v>
      </c>
      <c r="Q1855">
        <v>6.5</v>
      </c>
      <c r="R1855">
        <v>6</v>
      </c>
      <c r="S1855">
        <v>6.5</v>
      </c>
      <c r="T1855">
        <v>96.845232222222222</v>
      </c>
      <c r="W1855" t="s">
        <v>497</v>
      </c>
    </row>
    <row r="1856" spans="1:23" x14ac:dyDescent="0.25">
      <c r="A1856" t="s">
        <v>2306</v>
      </c>
      <c r="B1856" t="str">
        <f t="shared" si="29"/>
        <v>TD1200000594</v>
      </c>
      <c r="C1856" t="s">
        <v>237</v>
      </c>
      <c r="D1856" t="s">
        <v>77</v>
      </c>
      <c r="E1856" t="s">
        <v>82</v>
      </c>
      <c r="F1856">
        <v>18954</v>
      </c>
      <c r="G1856" s="13">
        <v>43705.666666666664</v>
      </c>
      <c r="H1856" s="13">
        <v>43889</v>
      </c>
      <c r="I1856">
        <v>4523</v>
      </c>
      <c r="J1856">
        <v>14431</v>
      </c>
      <c r="K1856">
        <v>18954</v>
      </c>
      <c r="N1856">
        <v>0</v>
      </c>
      <c r="O1856">
        <v>6.4208999999999996</v>
      </c>
      <c r="P1856">
        <v>126.3586</v>
      </c>
      <c r="Q1856">
        <v>6.5</v>
      </c>
      <c r="R1856">
        <v>6</v>
      </c>
      <c r="S1856">
        <v>6.5</v>
      </c>
      <c r="T1856">
        <v>96.753878333333333</v>
      </c>
      <c r="W1856" t="s">
        <v>497</v>
      </c>
    </row>
    <row r="1857" spans="1:23" x14ac:dyDescent="0.25">
      <c r="A1857" t="s">
        <v>2307</v>
      </c>
      <c r="B1857" t="str">
        <f t="shared" si="29"/>
        <v>TD1200000610</v>
      </c>
      <c r="C1857" t="s">
        <v>237</v>
      </c>
      <c r="D1857" t="s">
        <v>77</v>
      </c>
      <c r="E1857" t="s">
        <v>82</v>
      </c>
      <c r="F1857">
        <v>10900</v>
      </c>
      <c r="G1857" s="13">
        <v>43712</v>
      </c>
      <c r="H1857" s="13">
        <v>43896</v>
      </c>
      <c r="I1857">
        <v>0</v>
      </c>
      <c r="J1857">
        <v>10900</v>
      </c>
      <c r="K1857">
        <v>10900</v>
      </c>
      <c r="N1857">
        <v>0</v>
      </c>
      <c r="O1857">
        <v>6.5</v>
      </c>
      <c r="P1857">
        <v>99.679900000000004</v>
      </c>
      <c r="Q1857">
        <v>6.5</v>
      </c>
      <c r="R1857">
        <v>6.5</v>
      </c>
      <c r="S1857">
        <v>6.5</v>
      </c>
      <c r="T1857">
        <v>96.713888888888889</v>
      </c>
      <c r="W1857" t="s">
        <v>497</v>
      </c>
    </row>
    <row r="1858" spans="1:23" x14ac:dyDescent="0.25">
      <c r="A1858" t="s">
        <v>2308</v>
      </c>
      <c r="B1858" t="str">
        <f t="shared" si="29"/>
        <v>GA1300000351</v>
      </c>
      <c r="C1858" t="s">
        <v>227</v>
      </c>
      <c r="D1858" t="s">
        <v>77</v>
      </c>
      <c r="E1858" t="s">
        <v>287</v>
      </c>
      <c r="F1858">
        <v>13800</v>
      </c>
      <c r="G1858" s="13">
        <v>43726</v>
      </c>
      <c r="H1858" s="13">
        <v>44092</v>
      </c>
      <c r="I1858">
        <v>4000</v>
      </c>
      <c r="J1858">
        <v>9800</v>
      </c>
      <c r="K1858">
        <v>13800</v>
      </c>
      <c r="N1858">
        <v>0</v>
      </c>
      <c r="O1858">
        <v>4.2713999999999999</v>
      </c>
      <c r="P1858">
        <v>92</v>
      </c>
      <c r="Q1858">
        <v>4.5</v>
      </c>
      <c r="R1858">
        <v>4.3</v>
      </c>
      <c r="S1858">
        <v>4.45</v>
      </c>
      <c r="T1858">
        <v>95.681139999999999</v>
      </c>
      <c r="W1858" t="s">
        <v>497</v>
      </c>
    </row>
    <row r="1859" spans="1:23" x14ac:dyDescent="0.25">
      <c r="A1859" t="s">
        <v>2309</v>
      </c>
      <c r="B1859" t="str">
        <f t="shared" si="29"/>
        <v>GA1100001005</v>
      </c>
      <c r="C1859" t="s">
        <v>227</v>
      </c>
      <c r="D1859" t="s">
        <v>77</v>
      </c>
      <c r="E1859" t="s">
        <v>78</v>
      </c>
      <c r="F1859">
        <v>15000</v>
      </c>
      <c r="G1859" s="13">
        <v>43719</v>
      </c>
      <c r="H1859" s="13">
        <v>43812</v>
      </c>
      <c r="I1859">
        <v>1200</v>
      </c>
      <c r="J1859">
        <v>13800</v>
      </c>
      <c r="K1859">
        <v>15000</v>
      </c>
      <c r="N1859">
        <v>22.222222222222221</v>
      </c>
      <c r="O1859">
        <v>3.9906999999999999</v>
      </c>
      <c r="P1859">
        <v>148</v>
      </c>
      <c r="Q1859">
        <v>4</v>
      </c>
      <c r="R1859">
        <v>4</v>
      </c>
      <c r="S1859">
        <v>4</v>
      </c>
      <c r="T1859">
        <v>98.991239722222218</v>
      </c>
      <c r="W1859" t="s">
        <v>497</v>
      </c>
    </row>
    <row r="1860" spans="1:23" x14ac:dyDescent="0.25">
      <c r="A1860" t="s">
        <v>2310</v>
      </c>
      <c r="B1860" t="str">
        <f t="shared" si="29"/>
        <v>GQ1300000684</v>
      </c>
      <c r="C1860" t="s">
        <v>528</v>
      </c>
      <c r="D1860" t="s">
        <v>77</v>
      </c>
      <c r="E1860" t="s">
        <v>287</v>
      </c>
      <c r="F1860">
        <v>15000</v>
      </c>
      <c r="G1860" s="13">
        <v>43712</v>
      </c>
      <c r="H1860" s="13">
        <v>44078</v>
      </c>
      <c r="I1860">
        <v>15000</v>
      </c>
      <c r="J1860">
        <v>0</v>
      </c>
      <c r="K1860">
        <v>15000</v>
      </c>
      <c r="N1860">
        <v>0</v>
      </c>
      <c r="O1860">
        <v>7</v>
      </c>
      <c r="P1860">
        <v>153.33000000000001</v>
      </c>
      <c r="Q1860">
        <v>7</v>
      </c>
      <c r="R1860">
        <v>7</v>
      </c>
      <c r="S1860">
        <v>7</v>
      </c>
      <c r="T1860">
        <v>92.922222222222217</v>
      </c>
      <c r="W1860" t="s">
        <v>497</v>
      </c>
    </row>
    <row r="1861" spans="1:23" x14ac:dyDescent="0.25">
      <c r="A1861" t="s">
        <v>2311</v>
      </c>
      <c r="B1861" t="str">
        <f t="shared" si="29"/>
        <v>TD1200000628</v>
      </c>
      <c r="C1861" t="s">
        <v>237</v>
      </c>
      <c r="D1861" t="s">
        <v>77</v>
      </c>
      <c r="E1861" t="s">
        <v>82</v>
      </c>
      <c r="F1861">
        <v>32066</v>
      </c>
      <c r="G1861" s="13">
        <v>43719</v>
      </c>
      <c r="H1861" s="13">
        <v>43903</v>
      </c>
      <c r="I1861">
        <v>13978</v>
      </c>
      <c r="J1861">
        <v>18088</v>
      </c>
      <c r="K1861">
        <v>32066</v>
      </c>
      <c r="N1861">
        <v>0</v>
      </c>
      <c r="O1861">
        <v>6.4634</v>
      </c>
      <c r="P1861">
        <v>104.3036</v>
      </c>
      <c r="Q1861">
        <v>6.5</v>
      </c>
      <c r="R1861">
        <v>6.5</v>
      </c>
      <c r="S1861">
        <v>6.5</v>
      </c>
      <c r="T1861">
        <v>96.732392222222217</v>
      </c>
      <c r="W1861" t="s">
        <v>497</v>
      </c>
    </row>
    <row r="1862" spans="1:23" x14ac:dyDescent="0.25">
      <c r="A1862" t="s">
        <v>2312</v>
      </c>
      <c r="B1862" t="str">
        <f t="shared" si="29"/>
        <v>CM1100000825</v>
      </c>
      <c r="C1862" t="s">
        <v>225</v>
      </c>
      <c r="D1862" t="s">
        <v>77</v>
      </c>
      <c r="E1862" t="s">
        <v>78</v>
      </c>
      <c r="F1862">
        <v>20000</v>
      </c>
      <c r="G1862" s="13">
        <v>43712</v>
      </c>
      <c r="H1862" s="13">
        <v>43805</v>
      </c>
      <c r="I1862">
        <v>16500</v>
      </c>
      <c r="J1862">
        <v>3500</v>
      </c>
      <c r="K1862">
        <v>20000</v>
      </c>
      <c r="N1862">
        <v>33.333333333333329</v>
      </c>
      <c r="O1862">
        <v>2.4049999999999998</v>
      </c>
      <c r="P1862">
        <v>165.5</v>
      </c>
      <c r="Q1862">
        <v>2.5499999999999998</v>
      </c>
      <c r="R1862">
        <v>2.25</v>
      </c>
      <c r="S1862">
        <v>2.5499999999999998</v>
      </c>
      <c r="T1862">
        <v>99.392069444444445</v>
      </c>
      <c r="W1862" t="s">
        <v>497</v>
      </c>
    </row>
    <row r="1863" spans="1:23" x14ac:dyDescent="0.25">
      <c r="A1863" t="s">
        <v>2313</v>
      </c>
      <c r="B1863" t="str">
        <f t="shared" si="29"/>
        <v>TD1200000636</v>
      </c>
      <c r="C1863" t="s">
        <v>237</v>
      </c>
      <c r="D1863" t="s">
        <v>77</v>
      </c>
      <c r="E1863" t="s">
        <v>82</v>
      </c>
      <c r="F1863">
        <v>1800</v>
      </c>
      <c r="G1863" s="13">
        <v>43733</v>
      </c>
      <c r="H1863" s="13">
        <v>43917</v>
      </c>
      <c r="I1863">
        <v>0</v>
      </c>
      <c r="J1863">
        <v>1800</v>
      </c>
      <c r="K1863">
        <v>1800</v>
      </c>
      <c r="N1863">
        <v>0</v>
      </c>
      <c r="O1863">
        <v>6.5</v>
      </c>
      <c r="P1863">
        <v>52.28</v>
      </c>
      <c r="Q1863">
        <v>6.5</v>
      </c>
      <c r="R1863">
        <v>6.5</v>
      </c>
      <c r="S1863">
        <v>6.5</v>
      </c>
      <c r="T1863">
        <v>96.713888888888889</v>
      </c>
      <c r="W1863" t="s">
        <v>497</v>
      </c>
    </row>
    <row r="1864" spans="1:23" x14ac:dyDescent="0.25">
      <c r="A1864" t="s">
        <v>2314</v>
      </c>
      <c r="B1864" t="str">
        <f t="shared" si="29"/>
        <v>CM1200000790</v>
      </c>
      <c r="C1864" t="s">
        <v>225</v>
      </c>
      <c r="D1864" t="s">
        <v>77</v>
      </c>
      <c r="E1864" t="s">
        <v>82</v>
      </c>
      <c r="F1864">
        <v>16010</v>
      </c>
      <c r="G1864" s="13">
        <v>43733</v>
      </c>
      <c r="H1864" s="13">
        <v>43917</v>
      </c>
      <c r="I1864">
        <v>11430</v>
      </c>
      <c r="J1864">
        <v>4580</v>
      </c>
      <c r="K1864">
        <v>16010</v>
      </c>
      <c r="N1864">
        <v>38.095238095238095</v>
      </c>
      <c r="O1864">
        <v>2.4552999999999998</v>
      </c>
      <c r="P1864">
        <v>105.05</v>
      </c>
      <c r="Q1864">
        <v>2.5</v>
      </c>
      <c r="R1864">
        <v>2.2999999999999998</v>
      </c>
      <c r="S1864">
        <v>2.5</v>
      </c>
      <c r="T1864">
        <v>98.758709444444449</v>
      </c>
      <c r="W1864" t="s">
        <v>497</v>
      </c>
    </row>
    <row r="1865" spans="1:23" x14ac:dyDescent="0.25">
      <c r="A1865" t="s">
        <v>2315</v>
      </c>
      <c r="B1865" t="str">
        <f t="shared" si="29"/>
        <v>GA1100000999</v>
      </c>
      <c r="C1865" t="s">
        <v>227</v>
      </c>
      <c r="D1865" t="s">
        <v>77</v>
      </c>
      <c r="E1865" t="s">
        <v>78</v>
      </c>
      <c r="F1865">
        <v>15000</v>
      </c>
      <c r="G1865" s="13">
        <v>43712</v>
      </c>
      <c r="H1865" s="13">
        <v>43805</v>
      </c>
      <c r="I1865">
        <v>0</v>
      </c>
      <c r="J1865">
        <v>15000</v>
      </c>
      <c r="K1865">
        <v>15000</v>
      </c>
      <c r="N1865">
        <v>22.222222222222221</v>
      </c>
      <c r="O1865">
        <v>3.9350000000000001</v>
      </c>
      <c r="P1865">
        <v>160</v>
      </c>
      <c r="Q1865">
        <v>4</v>
      </c>
      <c r="R1865">
        <v>3.7</v>
      </c>
      <c r="S1865">
        <v>4</v>
      </c>
      <c r="T1865">
        <v>99.005319444444439</v>
      </c>
      <c r="W1865" t="s">
        <v>497</v>
      </c>
    </row>
    <row r="1866" spans="1:23" x14ac:dyDescent="0.25">
      <c r="A1866" t="s">
        <v>2316</v>
      </c>
      <c r="B1866" t="str">
        <f t="shared" si="29"/>
        <v>GQ1300000692</v>
      </c>
      <c r="C1866" t="s">
        <v>528</v>
      </c>
      <c r="D1866" t="s">
        <v>77</v>
      </c>
      <c r="E1866" t="s">
        <v>287</v>
      </c>
      <c r="F1866">
        <v>15000</v>
      </c>
      <c r="G1866" s="13">
        <v>43733</v>
      </c>
      <c r="H1866" s="13">
        <v>44099</v>
      </c>
      <c r="I1866">
        <v>15000</v>
      </c>
      <c r="J1866">
        <v>0</v>
      </c>
      <c r="K1866">
        <v>15000</v>
      </c>
      <c r="N1866">
        <v>0</v>
      </c>
      <c r="O1866">
        <v>6.2416999999999998</v>
      </c>
      <c r="P1866">
        <v>186.66669999999999</v>
      </c>
      <c r="Q1866">
        <v>6.85</v>
      </c>
      <c r="R1866">
        <v>6</v>
      </c>
      <c r="S1866">
        <v>6.85</v>
      </c>
      <c r="T1866">
        <v>93.688947777777784</v>
      </c>
      <c r="W1866" t="s">
        <v>497</v>
      </c>
    </row>
    <row r="1867" spans="1:23" x14ac:dyDescent="0.25">
      <c r="A1867" t="s">
        <v>2317</v>
      </c>
      <c r="B1867" t="str">
        <f t="shared" si="29"/>
        <v>TD1200000602</v>
      </c>
      <c r="C1867" t="s">
        <v>237</v>
      </c>
      <c r="D1867" t="s">
        <v>77</v>
      </c>
      <c r="E1867" t="s">
        <v>82</v>
      </c>
      <c r="F1867">
        <v>4500</v>
      </c>
      <c r="G1867" s="13">
        <v>43712</v>
      </c>
      <c r="H1867" s="13">
        <v>43896</v>
      </c>
      <c r="I1867">
        <v>4500</v>
      </c>
      <c r="J1867">
        <v>0</v>
      </c>
      <c r="K1867">
        <v>4500</v>
      </c>
      <c r="N1867">
        <v>0</v>
      </c>
      <c r="O1867">
        <v>6</v>
      </c>
      <c r="P1867">
        <v>100</v>
      </c>
      <c r="Q1867">
        <v>6</v>
      </c>
      <c r="R1867">
        <v>6</v>
      </c>
      <c r="S1867">
        <v>6</v>
      </c>
      <c r="T1867">
        <v>96.966666666666669</v>
      </c>
      <c r="W1867" t="s">
        <v>497</v>
      </c>
    </row>
    <row r="1868" spans="1:23" x14ac:dyDescent="0.25">
      <c r="A1868" t="s">
        <v>2318</v>
      </c>
      <c r="B1868" t="str">
        <f t="shared" si="29"/>
        <v>CM1200000782</v>
      </c>
      <c r="C1868" t="s">
        <v>225</v>
      </c>
      <c r="D1868" t="s">
        <v>77</v>
      </c>
      <c r="E1868" t="s">
        <v>82</v>
      </c>
      <c r="F1868">
        <v>10000</v>
      </c>
      <c r="G1868" s="13">
        <v>43726</v>
      </c>
      <c r="H1868" s="13">
        <v>43910</v>
      </c>
      <c r="I1868">
        <v>7043</v>
      </c>
      <c r="J1868">
        <v>2957</v>
      </c>
      <c r="K1868">
        <v>10000</v>
      </c>
      <c r="N1868">
        <v>33.333333333333329</v>
      </c>
      <c r="O1868">
        <v>2.2440000000000002</v>
      </c>
      <c r="P1868">
        <v>271.8</v>
      </c>
      <c r="Q1868">
        <v>2.4</v>
      </c>
      <c r="R1868">
        <v>2.2999999999999998</v>
      </c>
      <c r="S1868">
        <v>2.4</v>
      </c>
      <c r="T1868">
        <v>98.865533333333332</v>
      </c>
      <c r="W1868" t="s">
        <v>497</v>
      </c>
    </row>
    <row r="1869" spans="1:23" x14ac:dyDescent="0.25">
      <c r="A1869" t="s">
        <v>2319</v>
      </c>
      <c r="B1869" t="str">
        <f t="shared" si="29"/>
        <v>CF1200000344</v>
      </c>
      <c r="C1869" t="s">
        <v>634</v>
      </c>
      <c r="D1869" t="s">
        <v>77</v>
      </c>
      <c r="E1869" t="s">
        <v>82</v>
      </c>
      <c r="F1869">
        <v>5500</v>
      </c>
      <c r="G1869" s="13">
        <v>43740</v>
      </c>
      <c r="H1869" s="13">
        <v>43924</v>
      </c>
      <c r="I1869">
        <v>5500</v>
      </c>
      <c r="J1869">
        <v>0</v>
      </c>
      <c r="K1869">
        <v>5500</v>
      </c>
      <c r="N1869">
        <v>0</v>
      </c>
      <c r="O1869">
        <v>5.3182</v>
      </c>
      <c r="P1869">
        <v>100</v>
      </c>
      <c r="Q1869">
        <v>5.5</v>
      </c>
      <c r="R1869">
        <v>5.25</v>
      </c>
      <c r="S1869">
        <v>5.5</v>
      </c>
      <c r="T1869">
        <v>97.311354444444447</v>
      </c>
      <c r="W1869" t="s">
        <v>497</v>
      </c>
    </row>
    <row r="1870" spans="1:23" x14ac:dyDescent="0.25">
      <c r="A1870" t="s">
        <v>2320</v>
      </c>
      <c r="B1870" t="str">
        <f t="shared" si="29"/>
        <v>CG1200000285</v>
      </c>
      <c r="C1870" t="s">
        <v>229</v>
      </c>
      <c r="D1870" t="s">
        <v>77</v>
      </c>
      <c r="E1870" t="s">
        <v>82</v>
      </c>
      <c r="F1870">
        <v>10000</v>
      </c>
      <c r="G1870" s="13">
        <v>43740</v>
      </c>
      <c r="H1870" s="13">
        <v>43924</v>
      </c>
      <c r="I1870">
        <v>7525</v>
      </c>
      <c r="J1870">
        <v>2475</v>
      </c>
      <c r="K1870">
        <v>10000</v>
      </c>
      <c r="N1870">
        <v>30.434782608695656</v>
      </c>
      <c r="O1870">
        <v>6.23</v>
      </c>
      <c r="P1870">
        <v>291.01</v>
      </c>
      <c r="Q1870">
        <v>6.35</v>
      </c>
      <c r="R1870">
        <v>6.35</v>
      </c>
      <c r="S1870">
        <v>6.35</v>
      </c>
      <c r="T1870">
        <v>96.850388888888887</v>
      </c>
      <c r="W1870" t="s">
        <v>497</v>
      </c>
    </row>
    <row r="1871" spans="1:23" x14ac:dyDescent="0.25">
      <c r="A1871" t="s">
        <v>2321</v>
      </c>
      <c r="B1871" t="str">
        <f t="shared" si="29"/>
        <v>CM1200000808</v>
      </c>
      <c r="C1871" t="s">
        <v>225</v>
      </c>
      <c r="D1871" t="s">
        <v>77</v>
      </c>
      <c r="E1871" t="s">
        <v>82</v>
      </c>
      <c r="F1871">
        <v>20000</v>
      </c>
      <c r="G1871" s="13">
        <v>43747</v>
      </c>
      <c r="H1871" s="13">
        <v>43931</v>
      </c>
      <c r="I1871">
        <v>15583</v>
      </c>
      <c r="J1871">
        <v>4417</v>
      </c>
      <c r="K1871">
        <v>20000</v>
      </c>
      <c r="N1871">
        <v>28.571428571428569</v>
      </c>
      <c r="O1871">
        <v>2.6337999999999999</v>
      </c>
      <c r="P1871">
        <v>120</v>
      </c>
      <c r="Q1871">
        <v>3</v>
      </c>
      <c r="R1871">
        <v>2.4</v>
      </c>
      <c r="S1871">
        <v>3</v>
      </c>
      <c r="T1871">
        <v>98.668467777777778</v>
      </c>
      <c r="W1871" t="s">
        <v>497</v>
      </c>
    </row>
    <row r="1872" spans="1:23" x14ac:dyDescent="0.25">
      <c r="A1872" t="s">
        <v>2322</v>
      </c>
      <c r="B1872" t="str">
        <f t="shared" si="29"/>
        <v>GA1100001013</v>
      </c>
      <c r="C1872" t="s">
        <v>227</v>
      </c>
      <c r="D1872" t="s">
        <v>77</v>
      </c>
      <c r="E1872" t="s">
        <v>78</v>
      </c>
      <c r="F1872">
        <v>15000</v>
      </c>
      <c r="G1872" s="13">
        <v>43747</v>
      </c>
      <c r="H1872" s="13">
        <v>43840</v>
      </c>
      <c r="I1872">
        <v>5000</v>
      </c>
      <c r="J1872">
        <v>10000</v>
      </c>
      <c r="K1872">
        <v>15000</v>
      </c>
      <c r="N1872">
        <v>22.222222222222221</v>
      </c>
      <c r="O1872">
        <v>3.8216999999999999</v>
      </c>
      <c r="P1872">
        <v>124</v>
      </c>
      <c r="Q1872">
        <v>4.25</v>
      </c>
      <c r="R1872">
        <v>3.7</v>
      </c>
      <c r="S1872">
        <v>4.25</v>
      </c>
      <c r="T1872">
        <v>99.033959166666662</v>
      </c>
      <c r="W1872" t="s">
        <v>497</v>
      </c>
    </row>
    <row r="1873" spans="1:23" x14ac:dyDescent="0.25">
      <c r="A1873" t="s">
        <v>2323</v>
      </c>
      <c r="B1873" t="str">
        <f t="shared" si="29"/>
        <v>GA1100001021</v>
      </c>
      <c r="C1873" t="s">
        <v>227</v>
      </c>
      <c r="D1873" t="s">
        <v>77</v>
      </c>
      <c r="E1873" t="s">
        <v>78</v>
      </c>
      <c r="F1873">
        <v>12400</v>
      </c>
      <c r="G1873" s="13">
        <v>43761</v>
      </c>
      <c r="H1873" s="13">
        <v>43854</v>
      </c>
      <c r="I1873">
        <v>4900</v>
      </c>
      <c r="J1873">
        <v>7500</v>
      </c>
      <c r="K1873">
        <v>12400</v>
      </c>
      <c r="N1873">
        <v>16.666666666666664</v>
      </c>
      <c r="O1873">
        <v>3.8439999999999999</v>
      </c>
      <c r="P1873">
        <v>82.666700000000006</v>
      </c>
      <c r="Q1873">
        <v>4.2</v>
      </c>
      <c r="R1873">
        <v>3.5</v>
      </c>
      <c r="S1873">
        <v>4.0199999999999996</v>
      </c>
      <c r="T1873">
        <v>99.028322222222215</v>
      </c>
      <c r="W1873" t="s">
        <v>497</v>
      </c>
    </row>
    <row r="1874" spans="1:23" x14ac:dyDescent="0.25">
      <c r="A1874" t="s">
        <v>2324</v>
      </c>
      <c r="B1874" t="str">
        <f t="shared" si="29"/>
        <v>GA1200000907</v>
      </c>
      <c r="C1874" t="s">
        <v>227</v>
      </c>
      <c r="D1874" t="s">
        <v>77</v>
      </c>
      <c r="E1874" t="s">
        <v>82</v>
      </c>
      <c r="F1874">
        <v>12500</v>
      </c>
      <c r="G1874" s="13">
        <v>43740</v>
      </c>
      <c r="H1874" s="13">
        <v>43924</v>
      </c>
      <c r="I1874">
        <v>0</v>
      </c>
      <c r="J1874">
        <v>12500</v>
      </c>
      <c r="K1874">
        <v>12500</v>
      </c>
      <c r="N1874">
        <v>0</v>
      </c>
      <c r="O1874">
        <v>3.5510000000000002</v>
      </c>
      <c r="P1874">
        <v>130.80000000000001</v>
      </c>
      <c r="Q1874">
        <v>4.25</v>
      </c>
      <c r="R1874">
        <v>3</v>
      </c>
      <c r="S1874">
        <v>4.25</v>
      </c>
      <c r="T1874">
        <v>98.204772222222218</v>
      </c>
      <c r="W1874" t="s">
        <v>497</v>
      </c>
    </row>
    <row r="1875" spans="1:23" x14ac:dyDescent="0.25">
      <c r="A1875" t="s">
        <v>2325</v>
      </c>
      <c r="B1875" t="str">
        <f t="shared" si="29"/>
        <v>GA1200000915</v>
      </c>
      <c r="C1875" t="s">
        <v>227</v>
      </c>
      <c r="D1875" t="s">
        <v>77</v>
      </c>
      <c r="E1875" t="s">
        <v>82</v>
      </c>
      <c r="F1875">
        <v>15000</v>
      </c>
      <c r="G1875" s="13">
        <v>43754</v>
      </c>
      <c r="H1875" s="13">
        <v>43938</v>
      </c>
      <c r="I1875">
        <v>0</v>
      </c>
      <c r="J1875">
        <v>15000</v>
      </c>
      <c r="K1875">
        <v>15000</v>
      </c>
      <c r="N1875">
        <v>0</v>
      </c>
      <c r="O1875">
        <v>4.1733000000000002</v>
      </c>
      <c r="P1875">
        <v>133.33330000000001</v>
      </c>
      <c r="Q1875">
        <v>4.5</v>
      </c>
      <c r="R1875">
        <v>4.05</v>
      </c>
      <c r="S1875">
        <v>4.5</v>
      </c>
      <c r="T1875">
        <v>97.890164999999996</v>
      </c>
      <c r="W1875" t="s">
        <v>497</v>
      </c>
    </row>
    <row r="1876" spans="1:23" x14ac:dyDescent="0.25">
      <c r="A1876" t="s">
        <v>2326</v>
      </c>
      <c r="B1876" t="str">
        <f t="shared" si="29"/>
        <v>GQ1300000700</v>
      </c>
      <c r="C1876" t="s">
        <v>528</v>
      </c>
      <c r="D1876" t="s">
        <v>77</v>
      </c>
      <c r="E1876" t="s">
        <v>287</v>
      </c>
      <c r="F1876">
        <v>15000</v>
      </c>
      <c r="G1876" s="13">
        <v>43747</v>
      </c>
      <c r="H1876" s="13">
        <v>44113</v>
      </c>
      <c r="I1876">
        <v>6000</v>
      </c>
      <c r="J1876">
        <v>9000</v>
      </c>
      <c r="K1876">
        <v>15000</v>
      </c>
      <c r="N1876">
        <v>0</v>
      </c>
      <c r="O1876">
        <v>6.2516999999999996</v>
      </c>
      <c r="P1876">
        <v>140</v>
      </c>
      <c r="Q1876">
        <v>6.7</v>
      </c>
      <c r="R1876">
        <v>5.9</v>
      </c>
      <c r="S1876">
        <v>6.7</v>
      </c>
      <c r="T1876">
        <v>93.678836666666669</v>
      </c>
      <c r="W1876" t="s">
        <v>497</v>
      </c>
    </row>
    <row r="1877" spans="1:23" x14ac:dyDescent="0.25">
      <c r="A1877" t="s">
        <v>2327</v>
      </c>
      <c r="B1877" t="str">
        <f t="shared" si="29"/>
        <v>GQ1300000718</v>
      </c>
      <c r="C1877" t="s">
        <v>528</v>
      </c>
      <c r="D1877" t="s">
        <v>77</v>
      </c>
      <c r="E1877" t="s">
        <v>287</v>
      </c>
      <c r="F1877">
        <v>10131</v>
      </c>
      <c r="G1877" s="13">
        <v>43754</v>
      </c>
      <c r="H1877" s="13">
        <v>44120</v>
      </c>
      <c r="I1877">
        <v>8000</v>
      </c>
      <c r="J1877">
        <v>2131</v>
      </c>
      <c r="K1877">
        <v>10131</v>
      </c>
      <c r="N1877">
        <v>0</v>
      </c>
      <c r="O1877">
        <v>6.5785999999999998</v>
      </c>
      <c r="P1877">
        <v>67.540000000000006</v>
      </c>
      <c r="Q1877">
        <v>8</v>
      </c>
      <c r="R1877">
        <v>6</v>
      </c>
      <c r="S1877">
        <v>8</v>
      </c>
      <c r="T1877">
        <v>93.348304444444437</v>
      </c>
      <c r="W1877" t="s">
        <v>497</v>
      </c>
    </row>
    <row r="1878" spans="1:23" x14ac:dyDescent="0.25">
      <c r="A1878" t="s">
        <v>2328</v>
      </c>
      <c r="B1878" t="str">
        <f t="shared" si="29"/>
        <v>TD1200000644</v>
      </c>
      <c r="C1878" t="s">
        <v>237</v>
      </c>
      <c r="D1878" t="s">
        <v>77</v>
      </c>
      <c r="E1878" t="s">
        <v>82</v>
      </c>
      <c r="F1878">
        <v>11120</v>
      </c>
      <c r="G1878" s="13">
        <v>43754</v>
      </c>
      <c r="H1878" s="13">
        <v>43938</v>
      </c>
      <c r="I1878">
        <v>11120</v>
      </c>
      <c r="J1878">
        <v>0</v>
      </c>
      <c r="K1878">
        <v>11120</v>
      </c>
      <c r="N1878">
        <v>0</v>
      </c>
      <c r="O1878">
        <v>6.1938000000000004</v>
      </c>
      <c r="P1878">
        <v>6.1938000000000004</v>
      </c>
      <c r="Q1878">
        <v>6.25</v>
      </c>
      <c r="R1878">
        <v>6</v>
      </c>
      <c r="S1878">
        <v>6.25</v>
      </c>
      <c r="T1878">
        <v>96.868690000000001</v>
      </c>
      <c r="W1878" t="s">
        <v>497</v>
      </c>
    </row>
    <row r="1879" spans="1:23" x14ac:dyDescent="0.25">
      <c r="A1879" t="s">
        <v>2329</v>
      </c>
      <c r="B1879" t="str">
        <f t="shared" si="29"/>
        <v>GA1100001039</v>
      </c>
      <c r="C1879" t="s">
        <v>227</v>
      </c>
      <c r="D1879" t="s">
        <v>77</v>
      </c>
      <c r="E1879" t="s">
        <v>78</v>
      </c>
      <c r="F1879">
        <v>10150</v>
      </c>
      <c r="G1879" s="13">
        <v>43768</v>
      </c>
      <c r="H1879" s="13">
        <v>43861</v>
      </c>
      <c r="I1879">
        <v>9150</v>
      </c>
      <c r="J1879">
        <v>1000</v>
      </c>
      <c r="K1879">
        <v>10150</v>
      </c>
      <c r="N1879">
        <v>22.222222222222221</v>
      </c>
      <c r="O1879">
        <v>3.7399900000000001</v>
      </c>
      <c r="P1879">
        <v>67.666700000000006</v>
      </c>
      <c r="Q1879">
        <v>4.2</v>
      </c>
      <c r="R1879">
        <v>4.1500000000000004</v>
      </c>
      <c r="S1879">
        <v>4.2</v>
      </c>
      <c r="T1879">
        <v>99.054613638888895</v>
      </c>
      <c r="W1879" t="s">
        <v>497</v>
      </c>
    </row>
    <row r="1880" spans="1:23" x14ac:dyDescent="0.25">
      <c r="A1880" t="s">
        <v>2330</v>
      </c>
      <c r="B1880" t="str">
        <f t="shared" si="29"/>
        <v>CG1300000045</v>
      </c>
      <c r="C1880" t="s">
        <v>229</v>
      </c>
      <c r="D1880" t="s">
        <v>77</v>
      </c>
      <c r="E1880" t="s">
        <v>287</v>
      </c>
      <c r="F1880">
        <v>20000</v>
      </c>
      <c r="G1880" s="13">
        <v>43768</v>
      </c>
      <c r="H1880" s="13">
        <v>44134</v>
      </c>
      <c r="I1880">
        <v>100</v>
      </c>
      <c r="J1880">
        <v>19900</v>
      </c>
      <c r="K1880">
        <v>20000</v>
      </c>
      <c r="N1880">
        <v>17.391304347826086</v>
      </c>
      <c r="O1880">
        <v>6.032</v>
      </c>
      <c r="P1880">
        <v>250.5</v>
      </c>
      <c r="Q1880">
        <v>6.2</v>
      </c>
      <c r="R1880">
        <v>5.8</v>
      </c>
      <c r="S1880">
        <v>6.2</v>
      </c>
      <c r="T1880">
        <v>93.900977777777783</v>
      </c>
      <c r="W1880" t="s">
        <v>497</v>
      </c>
    </row>
    <row r="1881" spans="1:23" x14ac:dyDescent="0.25">
      <c r="A1881" t="s">
        <v>2331</v>
      </c>
      <c r="B1881" t="str">
        <f t="shared" si="29"/>
        <v>GA1200000923</v>
      </c>
      <c r="C1881" t="s">
        <v>227</v>
      </c>
      <c r="D1881" t="s">
        <v>77</v>
      </c>
      <c r="E1881" t="s">
        <v>82</v>
      </c>
      <c r="F1881">
        <v>14500</v>
      </c>
      <c r="G1881" s="13">
        <v>43796</v>
      </c>
      <c r="H1881" s="13">
        <v>43966</v>
      </c>
      <c r="I1881">
        <v>1696</v>
      </c>
      <c r="J1881">
        <v>12804</v>
      </c>
      <c r="K1881">
        <v>14500</v>
      </c>
      <c r="N1881">
        <v>0</v>
      </c>
      <c r="O1881">
        <v>4.1776</v>
      </c>
      <c r="P1881">
        <v>179.31029999999998</v>
      </c>
      <c r="Q1881">
        <v>4.5</v>
      </c>
      <c r="R1881">
        <v>3.5999999999999996</v>
      </c>
      <c r="S1881">
        <v>4.5</v>
      </c>
      <c r="T1881">
        <v>97.887997999999996</v>
      </c>
      <c r="W1881" t="s">
        <v>497</v>
      </c>
    </row>
    <row r="1882" spans="1:23" x14ac:dyDescent="0.25">
      <c r="A1882" t="s">
        <v>2332</v>
      </c>
      <c r="B1882" t="str">
        <f t="shared" si="29"/>
        <v>TD1200000669</v>
      </c>
      <c r="C1882" t="s">
        <v>237</v>
      </c>
      <c r="D1882" t="s">
        <v>77</v>
      </c>
      <c r="E1882" t="s">
        <v>82</v>
      </c>
      <c r="F1882">
        <v>16000</v>
      </c>
      <c r="G1882" s="13">
        <v>43789.666666666664</v>
      </c>
      <c r="H1882" s="13">
        <v>43973</v>
      </c>
      <c r="I1882">
        <v>12347</v>
      </c>
      <c r="J1882">
        <v>3546</v>
      </c>
      <c r="K1882">
        <v>15893</v>
      </c>
      <c r="N1882">
        <v>0</v>
      </c>
      <c r="O1882">
        <v>6.4417999999999997</v>
      </c>
      <c r="P1882">
        <v>99.331299999999999</v>
      </c>
      <c r="Q1882">
        <v>6.5</v>
      </c>
      <c r="R1882">
        <v>6.25</v>
      </c>
      <c r="S1882">
        <v>6.5</v>
      </c>
      <c r="T1882">
        <v>96.743313000000001</v>
      </c>
      <c r="W1882" t="s">
        <v>497</v>
      </c>
    </row>
    <row r="1883" spans="1:23" x14ac:dyDescent="0.25">
      <c r="A1883" t="s">
        <v>2333</v>
      </c>
      <c r="B1883" t="str">
        <f t="shared" ref="B1883:B1946" si="30">MID(A1883,1,12)</f>
        <v>GA1100001054</v>
      </c>
      <c r="C1883" t="s">
        <v>227</v>
      </c>
      <c r="D1883" t="s">
        <v>77</v>
      </c>
      <c r="E1883" t="s">
        <v>78</v>
      </c>
      <c r="F1883">
        <v>15000</v>
      </c>
      <c r="G1883" s="13">
        <v>43789.541666666664</v>
      </c>
      <c r="H1883" s="13">
        <v>43882</v>
      </c>
      <c r="I1883">
        <v>10167</v>
      </c>
      <c r="J1883">
        <v>4833</v>
      </c>
      <c r="K1883">
        <v>15000</v>
      </c>
      <c r="N1883">
        <v>22.222222222222221</v>
      </c>
      <c r="O1883">
        <v>4.1070000000000002</v>
      </c>
      <c r="P1883">
        <v>104.66670000000001</v>
      </c>
      <c r="Q1883">
        <v>4.5</v>
      </c>
      <c r="R1883">
        <v>3.35</v>
      </c>
      <c r="S1883">
        <v>4.5</v>
      </c>
      <c r="T1883">
        <v>98.961842000000004</v>
      </c>
      <c r="W1883" t="s">
        <v>497</v>
      </c>
    </row>
    <row r="1884" spans="1:23" x14ac:dyDescent="0.25">
      <c r="A1884" t="s">
        <v>2334</v>
      </c>
      <c r="B1884" t="str">
        <f t="shared" si="30"/>
        <v>TD1200000651</v>
      </c>
      <c r="C1884" t="s">
        <v>237</v>
      </c>
      <c r="D1884" t="s">
        <v>77</v>
      </c>
      <c r="E1884" t="s">
        <v>82</v>
      </c>
      <c r="F1884">
        <v>18225</v>
      </c>
      <c r="G1884" s="13">
        <v>43782.666666666664</v>
      </c>
      <c r="H1884" s="13">
        <v>43966</v>
      </c>
      <c r="I1884">
        <v>8907</v>
      </c>
      <c r="J1884">
        <v>9318</v>
      </c>
      <c r="K1884">
        <v>18225</v>
      </c>
      <c r="N1884">
        <v>0</v>
      </c>
      <c r="O1884">
        <v>6.3414000000000001</v>
      </c>
      <c r="P1884">
        <v>119.94510000000001</v>
      </c>
      <c r="Q1884">
        <v>6.5</v>
      </c>
      <c r="R1884">
        <v>6</v>
      </c>
      <c r="S1884">
        <v>6.5</v>
      </c>
      <c r="T1884">
        <v>96.794056999999995</v>
      </c>
      <c r="W1884" t="s">
        <v>497</v>
      </c>
    </row>
    <row r="1885" spans="1:23" x14ac:dyDescent="0.25">
      <c r="A1885" t="s">
        <v>2335</v>
      </c>
      <c r="B1885" t="str">
        <f t="shared" si="30"/>
        <v>CG1300000052</v>
      </c>
      <c r="C1885" t="s">
        <v>229</v>
      </c>
      <c r="D1885" t="s">
        <v>77</v>
      </c>
      <c r="E1885" t="s">
        <v>287</v>
      </c>
      <c r="F1885">
        <v>20000</v>
      </c>
      <c r="G1885" s="13">
        <v>43775.666666666664</v>
      </c>
      <c r="H1885" s="13">
        <v>44141</v>
      </c>
      <c r="I1885">
        <v>14000</v>
      </c>
      <c r="J1885">
        <v>6000</v>
      </c>
      <c r="K1885">
        <v>20000</v>
      </c>
      <c r="N1885">
        <v>13.043478260869565</v>
      </c>
      <c r="O1885">
        <v>6.08</v>
      </c>
      <c r="P1885">
        <v>165</v>
      </c>
      <c r="Q1885">
        <v>6.15</v>
      </c>
      <c r="R1885">
        <v>6</v>
      </c>
      <c r="S1885">
        <v>6.15</v>
      </c>
      <c r="T1885">
        <v>93.385244400000005</v>
      </c>
      <c r="W1885" t="s">
        <v>497</v>
      </c>
    </row>
    <row r="1886" spans="1:23" x14ac:dyDescent="0.25">
      <c r="A1886" t="s">
        <v>2336</v>
      </c>
      <c r="B1886" t="str">
        <f t="shared" si="30"/>
        <v>GA1100001062</v>
      </c>
      <c r="C1886" t="s">
        <v>227</v>
      </c>
      <c r="D1886" t="s">
        <v>77</v>
      </c>
      <c r="E1886" t="s">
        <v>78</v>
      </c>
      <c r="F1886">
        <v>15000</v>
      </c>
      <c r="G1886" s="13">
        <v>43796.666666666664</v>
      </c>
      <c r="H1886" s="13">
        <v>43889</v>
      </c>
      <c r="I1886">
        <v>550</v>
      </c>
      <c r="J1886">
        <v>14450</v>
      </c>
      <c r="K1886">
        <v>15000</v>
      </c>
      <c r="N1886">
        <v>33.333333333333329</v>
      </c>
      <c r="O1886">
        <v>3.9508000000000001</v>
      </c>
      <c r="P1886">
        <v>114.5</v>
      </c>
      <c r="Q1886">
        <v>4.25</v>
      </c>
      <c r="R1886">
        <v>3.75</v>
      </c>
      <c r="S1886">
        <v>4.25</v>
      </c>
      <c r="T1886">
        <v>99.001317</v>
      </c>
      <c r="W1886" t="s">
        <v>497</v>
      </c>
    </row>
    <row r="1887" spans="1:23" x14ac:dyDescent="0.25">
      <c r="A1887" t="s">
        <v>2337</v>
      </c>
      <c r="B1887" t="str">
        <f t="shared" si="30"/>
        <v>GA1100001047</v>
      </c>
      <c r="C1887" t="s">
        <v>227</v>
      </c>
      <c r="D1887" t="s">
        <v>77</v>
      </c>
      <c r="E1887" t="s">
        <v>78</v>
      </c>
      <c r="F1887">
        <v>14500</v>
      </c>
      <c r="G1887" s="13">
        <v>43775.583333333336</v>
      </c>
      <c r="H1887" s="13">
        <v>43868</v>
      </c>
      <c r="I1887">
        <v>7500</v>
      </c>
      <c r="J1887">
        <v>6000</v>
      </c>
      <c r="K1887">
        <v>13500</v>
      </c>
      <c r="N1887">
        <v>27.777777777777779</v>
      </c>
      <c r="O1887">
        <v>3.7869999999999999</v>
      </c>
      <c r="P1887">
        <v>93.103400000000008</v>
      </c>
      <c r="Q1887">
        <v>4.2</v>
      </c>
      <c r="R1887">
        <v>3.5000000000000004</v>
      </c>
      <c r="S1887">
        <v>4.2</v>
      </c>
      <c r="T1887">
        <v>99.042721</v>
      </c>
      <c r="W1887" t="s">
        <v>497</v>
      </c>
    </row>
    <row r="1888" spans="1:23" x14ac:dyDescent="0.25">
      <c r="A1888" t="s">
        <v>2338</v>
      </c>
      <c r="B1888" t="str">
        <f t="shared" si="30"/>
        <v>CM1200000816</v>
      </c>
      <c r="C1888" t="s">
        <v>225</v>
      </c>
      <c r="D1888" t="s">
        <v>77</v>
      </c>
      <c r="E1888" t="s">
        <v>82</v>
      </c>
      <c r="F1888">
        <v>20000</v>
      </c>
      <c r="G1888" s="13">
        <v>43775.583333333336</v>
      </c>
      <c r="H1888" s="13">
        <v>43959</v>
      </c>
      <c r="I1888">
        <v>13000</v>
      </c>
      <c r="J1888">
        <v>7000</v>
      </c>
      <c r="K1888">
        <v>20000</v>
      </c>
      <c r="N1888">
        <v>23.809523809523807</v>
      </c>
      <c r="O1888">
        <v>2.6313</v>
      </c>
      <c r="P1888">
        <v>114.99999999999999</v>
      </c>
      <c r="Q1888">
        <v>2.95</v>
      </c>
      <c r="R1888">
        <v>2.25</v>
      </c>
      <c r="S1888">
        <v>2.85</v>
      </c>
      <c r="T1888">
        <v>98.669757000000004</v>
      </c>
      <c r="W1888" t="s">
        <v>497</v>
      </c>
    </row>
    <row r="1889" spans="1:23" x14ac:dyDescent="0.25">
      <c r="A1889" t="s">
        <v>2339</v>
      </c>
      <c r="B1889" t="str">
        <f t="shared" si="30"/>
        <v>CM1200000824</v>
      </c>
      <c r="C1889" t="s">
        <v>225</v>
      </c>
      <c r="D1889" t="s">
        <v>77</v>
      </c>
      <c r="E1889" t="s">
        <v>82</v>
      </c>
      <c r="F1889">
        <v>20000</v>
      </c>
      <c r="G1889" s="13">
        <v>43782.583333333336</v>
      </c>
      <c r="H1889" s="13">
        <v>43966</v>
      </c>
      <c r="I1889">
        <v>18500</v>
      </c>
      <c r="J1889">
        <v>1500</v>
      </c>
      <c r="K1889">
        <v>20000</v>
      </c>
      <c r="N1889">
        <v>28.571428571428569</v>
      </c>
      <c r="O1889">
        <v>2.7168999999999999</v>
      </c>
      <c r="P1889">
        <v>150</v>
      </c>
      <c r="Q1889">
        <v>3</v>
      </c>
      <c r="R1889">
        <v>2.5</v>
      </c>
      <c r="S1889">
        <v>3</v>
      </c>
      <c r="T1889">
        <v>98.626469</v>
      </c>
      <c r="W1889" t="s">
        <v>497</v>
      </c>
    </row>
    <row r="1890" spans="1:23" x14ac:dyDescent="0.25">
      <c r="A1890" t="s">
        <v>2340</v>
      </c>
      <c r="B1890" t="str">
        <f t="shared" si="30"/>
        <v>CF1200000351</v>
      </c>
      <c r="C1890" t="s">
        <v>634</v>
      </c>
      <c r="D1890" t="s">
        <v>77</v>
      </c>
      <c r="E1890" t="s">
        <v>82</v>
      </c>
      <c r="F1890">
        <v>4000</v>
      </c>
      <c r="G1890" s="13">
        <v>43796.708333333336</v>
      </c>
      <c r="H1890" s="13">
        <v>43980</v>
      </c>
      <c r="I1890">
        <v>4000</v>
      </c>
      <c r="J1890">
        <v>0</v>
      </c>
      <c r="K1890">
        <v>4000</v>
      </c>
      <c r="N1890">
        <v>0</v>
      </c>
      <c r="O1890">
        <v>5.125</v>
      </c>
      <c r="P1890">
        <v>100</v>
      </c>
      <c r="Q1890">
        <v>5.5E-2</v>
      </c>
      <c r="R1890">
        <v>5</v>
      </c>
      <c r="S1890">
        <v>5.5</v>
      </c>
      <c r="T1890">
        <v>97.409028000000006</v>
      </c>
      <c r="W1890" t="s">
        <v>497</v>
      </c>
    </row>
    <row r="1891" spans="1:23" x14ac:dyDescent="0.25">
      <c r="A1891" t="s">
        <v>2341</v>
      </c>
      <c r="B1891" t="str">
        <f t="shared" si="30"/>
        <v>GA1200000931</v>
      </c>
      <c r="C1891" t="s">
        <v>227</v>
      </c>
      <c r="D1891" t="s">
        <v>77</v>
      </c>
      <c r="E1891" t="s">
        <v>82</v>
      </c>
      <c r="F1891">
        <v>15000</v>
      </c>
      <c r="G1891" s="13">
        <v>43810.625</v>
      </c>
      <c r="H1891" s="13">
        <v>43994</v>
      </c>
      <c r="I1891">
        <v>0</v>
      </c>
      <c r="J1891">
        <v>15000</v>
      </c>
      <c r="K1891">
        <v>15000</v>
      </c>
      <c r="N1891">
        <v>0</v>
      </c>
      <c r="O1891">
        <v>4.5179999999999998</v>
      </c>
      <c r="P1891">
        <v>126.66670000000001</v>
      </c>
      <c r="Q1891">
        <v>5.25</v>
      </c>
      <c r="R1891">
        <v>4.0999999999999996</v>
      </c>
      <c r="S1891">
        <v>5.25</v>
      </c>
      <c r="T1891">
        <v>97.767972</v>
      </c>
      <c r="W1891" t="s">
        <v>497</v>
      </c>
    </row>
    <row r="1892" spans="1:23" x14ac:dyDescent="0.25">
      <c r="A1892" t="s">
        <v>2342</v>
      </c>
      <c r="B1892" t="str">
        <f t="shared" si="30"/>
        <v>TD1300000395</v>
      </c>
      <c r="C1892" t="s">
        <v>237</v>
      </c>
      <c r="D1892" t="s">
        <v>77</v>
      </c>
      <c r="E1892" t="s">
        <v>287</v>
      </c>
      <c r="F1892">
        <v>6035</v>
      </c>
      <c r="G1892" s="13">
        <v>43810.666666666664</v>
      </c>
      <c r="H1892" s="13">
        <v>44176</v>
      </c>
      <c r="I1892">
        <v>3900</v>
      </c>
      <c r="J1892">
        <v>2135</v>
      </c>
      <c r="K1892">
        <v>6035</v>
      </c>
      <c r="N1892">
        <v>0</v>
      </c>
      <c r="O1892">
        <v>6.3384</v>
      </c>
      <c r="P1892">
        <v>109.3621</v>
      </c>
      <c r="Q1892">
        <v>6.5</v>
      </c>
      <c r="R1892">
        <v>6.25</v>
      </c>
      <c r="S1892">
        <v>6.5</v>
      </c>
      <c r="T1892">
        <v>93.591130000000007</v>
      </c>
      <c r="W1892" t="s">
        <v>497</v>
      </c>
    </row>
    <row r="1893" spans="1:23" x14ac:dyDescent="0.25">
      <c r="A1893" t="s">
        <v>2343</v>
      </c>
      <c r="B1893" t="str">
        <f t="shared" si="30"/>
        <v>GA1100001070</v>
      </c>
      <c r="C1893" t="s">
        <v>227</v>
      </c>
      <c r="D1893" t="s">
        <v>77</v>
      </c>
      <c r="E1893" t="s">
        <v>78</v>
      </c>
      <c r="F1893">
        <v>15000</v>
      </c>
      <c r="G1893" s="13">
        <v>43803.5</v>
      </c>
      <c r="H1893" s="13">
        <v>43896</v>
      </c>
      <c r="I1893">
        <v>3490</v>
      </c>
      <c r="J1893">
        <v>11510</v>
      </c>
      <c r="K1893">
        <v>15000</v>
      </c>
      <c r="N1893">
        <v>22.222222222222221</v>
      </c>
      <c r="O1893">
        <v>4.1921999999999997</v>
      </c>
      <c r="P1893">
        <v>103.2667</v>
      </c>
      <c r="Q1893">
        <v>4.5</v>
      </c>
      <c r="R1893">
        <v>4</v>
      </c>
      <c r="S1893">
        <v>4.5</v>
      </c>
      <c r="T1893">
        <v>98.940297000000001</v>
      </c>
      <c r="W1893" t="s">
        <v>497</v>
      </c>
    </row>
    <row r="1894" spans="1:23" x14ac:dyDescent="0.25">
      <c r="A1894" t="s">
        <v>2344</v>
      </c>
      <c r="B1894" t="str">
        <f t="shared" si="30"/>
        <v>CM1200000832</v>
      </c>
      <c r="C1894" t="s">
        <v>225</v>
      </c>
      <c r="D1894" t="s">
        <v>77</v>
      </c>
      <c r="E1894" t="s">
        <v>82</v>
      </c>
      <c r="F1894">
        <v>20000</v>
      </c>
      <c r="G1894" s="13">
        <v>43803.53125</v>
      </c>
      <c r="H1894" s="13">
        <v>43987</v>
      </c>
      <c r="I1894">
        <v>17612</v>
      </c>
      <c r="J1894">
        <v>2388</v>
      </c>
      <c r="K1894">
        <v>20000</v>
      </c>
      <c r="N1894">
        <v>38.095238095238095</v>
      </c>
      <c r="O1894">
        <v>2.6635</v>
      </c>
      <c r="P1894">
        <v>202</v>
      </c>
      <c r="Q1894">
        <v>2.8</v>
      </c>
      <c r="R1894">
        <v>2.2000000000000002</v>
      </c>
      <c r="S1894">
        <v>2.8</v>
      </c>
      <c r="T1894">
        <v>98.653452999999999</v>
      </c>
      <c r="W1894" t="s">
        <v>497</v>
      </c>
    </row>
    <row r="1895" spans="1:23" x14ac:dyDescent="0.25">
      <c r="A1895" t="s">
        <v>2345</v>
      </c>
      <c r="B1895" t="str">
        <f t="shared" si="30"/>
        <v>CG1100000161</v>
      </c>
      <c r="C1895" t="s">
        <v>229</v>
      </c>
      <c r="D1895" t="s">
        <v>77</v>
      </c>
      <c r="E1895" t="s">
        <v>78</v>
      </c>
      <c r="F1895">
        <v>25000</v>
      </c>
      <c r="G1895" s="13">
        <v>43817.666666666664</v>
      </c>
      <c r="H1895" s="13">
        <v>43910</v>
      </c>
      <c r="I1895">
        <v>8000</v>
      </c>
      <c r="J1895">
        <v>10000</v>
      </c>
      <c r="K1895">
        <v>18000</v>
      </c>
      <c r="N1895">
        <v>8.695652173913043</v>
      </c>
      <c r="O1895">
        <v>6.2694000000000001</v>
      </c>
      <c r="P1895">
        <v>72</v>
      </c>
      <c r="Q1895">
        <v>6.5</v>
      </c>
      <c r="R1895">
        <v>5.95</v>
      </c>
      <c r="S1895">
        <v>6.5</v>
      </c>
      <c r="T1895">
        <v>98.415223999999995</v>
      </c>
      <c r="W1895" t="s">
        <v>497</v>
      </c>
    </row>
    <row r="1896" spans="1:23" x14ac:dyDescent="0.25">
      <c r="A1896" t="s">
        <v>2346</v>
      </c>
      <c r="B1896" t="str">
        <f t="shared" si="30"/>
        <v>TD1200000685</v>
      </c>
      <c r="C1896" t="s">
        <v>237</v>
      </c>
      <c r="D1896" t="s">
        <v>77</v>
      </c>
      <c r="E1896" t="s">
        <v>82</v>
      </c>
      <c r="F1896">
        <v>28688</v>
      </c>
      <c r="G1896" s="13">
        <v>43825.666666666664</v>
      </c>
      <c r="H1896" s="13">
        <v>44008</v>
      </c>
      <c r="I1896">
        <v>25313</v>
      </c>
      <c r="J1896">
        <v>0</v>
      </c>
      <c r="K1896">
        <v>25313</v>
      </c>
      <c r="N1896">
        <v>0</v>
      </c>
      <c r="O1896">
        <v>6.5</v>
      </c>
      <c r="P1896">
        <v>88.235500000000002</v>
      </c>
      <c r="Q1896">
        <v>6.5</v>
      </c>
      <c r="R1896">
        <v>6.5</v>
      </c>
      <c r="S1896">
        <v>6.5</v>
      </c>
      <c r="T1896">
        <v>96.713888999999995</v>
      </c>
      <c r="W1896" t="s">
        <v>497</v>
      </c>
    </row>
    <row r="1897" spans="1:23" x14ac:dyDescent="0.25">
      <c r="A1897" t="s">
        <v>2347</v>
      </c>
      <c r="B1897" t="str">
        <f t="shared" si="30"/>
        <v>TD1200000677</v>
      </c>
      <c r="C1897" t="s">
        <v>237</v>
      </c>
      <c r="D1897" t="s">
        <v>77</v>
      </c>
      <c r="E1897" t="s">
        <v>82</v>
      </c>
      <c r="F1897">
        <v>36380</v>
      </c>
      <c r="G1897" s="13">
        <v>43817.666666666664</v>
      </c>
      <c r="H1897" s="13">
        <v>44001</v>
      </c>
      <c r="I1897">
        <v>31914</v>
      </c>
      <c r="J1897">
        <v>4466</v>
      </c>
      <c r="K1897">
        <v>36380</v>
      </c>
      <c r="N1897">
        <v>0</v>
      </c>
      <c r="O1897">
        <v>6.2801999999999998</v>
      </c>
      <c r="P1897">
        <v>104.2441</v>
      </c>
      <c r="Q1897">
        <v>6.5</v>
      </c>
      <c r="R1897">
        <v>6</v>
      </c>
      <c r="S1897">
        <v>6.5</v>
      </c>
      <c r="T1897">
        <v>96.825033000000005</v>
      </c>
      <c r="W1897" t="s">
        <v>497</v>
      </c>
    </row>
    <row r="1898" spans="1:23" x14ac:dyDescent="0.25">
      <c r="A1898" t="s">
        <v>2348</v>
      </c>
      <c r="B1898" t="str">
        <f t="shared" si="30"/>
        <v>GA1300000369</v>
      </c>
      <c r="C1898" t="s">
        <v>227</v>
      </c>
      <c r="D1898" t="s">
        <v>77</v>
      </c>
      <c r="E1898" t="s">
        <v>287</v>
      </c>
      <c r="F1898">
        <v>5000</v>
      </c>
      <c r="G1898" s="13">
        <v>43817.583333333336</v>
      </c>
      <c r="H1898" s="13">
        <v>44183</v>
      </c>
      <c r="I1898">
        <v>0</v>
      </c>
      <c r="J1898">
        <v>5000</v>
      </c>
      <c r="K1898">
        <v>5000</v>
      </c>
      <c r="N1898">
        <v>0</v>
      </c>
      <c r="O1898">
        <v>5.25</v>
      </c>
      <c r="P1898">
        <v>144</v>
      </c>
      <c r="Q1898">
        <v>5.25</v>
      </c>
      <c r="R1898">
        <v>5.25</v>
      </c>
      <c r="S1898">
        <v>5.25</v>
      </c>
      <c r="T1898">
        <v>94.691666999999995</v>
      </c>
      <c r="W1898" t="s">
        <v>497</v>
      </c>
    </row>
    <row r="1899" spans="1:23" x14ac:dyDescent="0.25">
      <c r="A1899" t="s">
        <v>2349</v>
      </c>
      <c r="B1899" t="str">
        <f t="shared" si="30"/>
        <v>GA1100001096</v>
      </c>
      <c r="C1899" t="s">
        <v>227</v>
      </c>
      <c r="D1899" t="s">
        <v>77</v>
      </c>
      <c r="E1899" t="s">
        <v>78</v>
      </c>
      <c r="F1899">
        <v>15000</v>
      </c>
      <c r="G1899" s="13">
        <v>43852.5</v>
      </c>
      <c r="H1899" s="13">
        <v>43945</v>
      </c>
      <c r="I1899">
        <v>1644</v>
      </c>
      <c r="J1899">
        <v>13356</v>
      </c>
      <c r="K1899">
        <v>15000</v>
      </c>
      <c r="N1899">
        <v>33.333333333333329</v>
      </c>
      <c r="O1899">
        <v>4.0503</v>
      </c>
      <c r="P1899">
        <v>174</v>
      </c>
      <c r="Q1899">
        <v>4.45</v>
      </c>
      <c r="R1899">
        <v>3.75</v>
      </c>
      <c r="S1899">
        <v>4.75</v>
      </c>
      <c r="T1899">
        <v>98.976166000000006</v>
      </c>
      <c r="W1899" t="s">
        <v>497</v>
      </c>
    </row>
    <row r="1900" spans="1:23" x14ac:dyDescent="0.25">
      <c r="A1900" t="s">
        <v>2350</v>
      </c>
      <c r="B1900" t="str">
        <f t="shared" si="30"/>
        <v>GA1100001104</v>
      </c>
      <c r="C1900" t="s">
        <v>227</v>
      </c>
      <c r="D1900" t="s">
        <v>77</v>
      </c>
      <c r="E1900" t="s">
        <v>78</v>
      </c>
      <c r="F1900">
        <v>15000</v>
      </c>
      <c r="G1900" s="13">
        <v>43859.5</v>
      </c>
      <c r="H1900" s="13">
        <v>43952</v>
      </c>
      <c r="I1900">
        <v>3314</v>
      </c>
      <c r="J1900">
        <v>11686</v>
      </c>
      <c r="K1900">
        <v>15000</v>
      </c>
      <c r="N1900">
        <v>33.333333333333329</v>
      </c>
      <c r="O1900">
        <v>4.1666999999999996</v>
      </c>
      <c r="P1900">
        <v>173</v>
      </c>
      <c r="Q1900">
        <v>4.25</v>
      </c>
      <c r="R1900">
        <v>4</v>
      </c>
      <c r="S1900">
        <v>6.75</v>
      </c>
      <c r="T1900">
        <v>98.946759</v>
      </c>
      <c r="W1900" t="s">
        <v>497</v>
      </c>
    </row>
    <row r="1901" spans="1:23" x14ac:dyDescent="0.25">
      <c r="A1901" t="s">
        <v>2351</v>
      </c>
      <c r="B1901" t="str">
        <f t="shared" si="30"/>
        <v>GA1100001088</v>
      </c>
      <c r="C1901" t="s">
        <v>227</v>
      </c>
      <c r="D1901" t="s">
        <v>77</v>
      </c>
      <c r="E1901" t="s">
        <v>78</v>
      </c>
      <c r="F1901">
        <v>15000</v>
      </c>
      <c r="G1901" s="13">
        <v>43838.5625</v>
      </c>
      <c r="H1901" s="13">
        <v>43931</v>
      </c>
      <c r="I1901">
        <v>6000</v>
      </c>
      <c r="J1901">
        <v>9000</v>
      </c>
      <c r="K1901">
        <v>15000</v>
      </c>
      <c r="N1901">
        <v>27.777777777777779</v>
      </c>
      <c r="O1901">
        <v>4.0480999999999998</v>
      </c>
      <c r="P1901">
        <v>193.04</v>
      </c>
      <c r="Q1901">
        <v>4.45</v>
      </c>
      <c r="R1901">
        <v>3.7</v>
      </c>
      <c r="S1901">
        <v>5.25</v>
      </c>
      <c r="T1901">
        <v>98.976721999999995</v>
      </c>
      <c r="W1901" t="s">
        <v>497</v>
      </c>
    </row>
    <row r="1902" spans="1:23" x14ac:dyDescent="0.25">
      <c r="A1902" t="s">
        <v>2352</v>
      </c>
      <c r="B1902" t="str">
        <f t="shared" si="30"/>
        <v>TD1200000701</v>
      </c>
      <c r="C1902" t="s">
        <v>237</v>
      </c>
      <c r="D1902" t="s">
        <v>77</v>
      </c>
      <c r="E1902" t="s">
        <v>82</v>
      </c>
      <c r="F1902">
        <v>12045</v>
      </c>
      <c r="G1902" s="13">
        <v>43845.666666666664</v>
      </c>
      <c r="H1902" s="13">
        <v>44029</v>
      </c>
      <c r="I1902">
        <v>12045</v>
      </c>
      <c r="J1902">
        <v>0</v>
      </c>
      <c r="K1902">
        <v>12045</v>
      </c>
      <c r="N1902">
        <v>0</v>
      </c>
      <c r="O1902">
        <v>6.1047000000000002</v>
      </c>
      <c r="P1902">
        <v>126.6086</v>
      </c>
      <c r="Q1902">
        <v>6.25</v>
      </c>
      <c r="R1902">
        <v>6</v>
      </c>
      <c r="S1902">
        <v>6.25</v>
      </c>
      <c r="T1902">
        <v>96.913729000000004</v>
      </c>
      <c r="W1902" t="s">
        <v>497</v>
      </c>
    </row>
    <row r="1903" spans="1:23" x14ac:dyDescent="0.25">
      <c r="A1903" t="s">
        <v>2353</v>
      </c>
      <c r="B1903" t="str">
        <f t="shared" si="30"/>
        <v>TD1200000693</v>
      </c>
      <c r="C1903" t="s">
        <v>237</v>
      </c>
      <c r="D1903" t="s">
        <v>77</v>
      </c>
      <c r="E1903" t="s">
        <v>82</v>
      </c>
      <c r="F1903">
        <v>11391</v>
      </c>
      <c r="G1903" s="13">
        <v>43838.666666666664</v>
      </c>
      <c r="H1903" s="13">
        <v>44022</v>
      </c>
      <c r="I1903">
        <v>11391</v>
      </c>
      <c r="J1903">
        <v>0</v>
      </c>
      <c r="K1903">
        <v>11391</v>
      </c>
      <c r="N1903">
        <v>0</v>
      </c>
      <c r="O1903">
        <v>6.5</v>
      </c>
      <c r="P1903">
        <v>100</v>
      </c>
      <c r="Q1903">
        <v>6.5</v>
      </c>
      <c r="R1903">
        <v>6.5</v>
      </c>
      <c r="S1903">
        <v>6.5</v>
      </c>
      <c r="T1903">
        <v>96.713888999999995</v>
      </c>
      <c r="W1903" t="s">
        <v>497</v>
      </c>
    </row>
    <row r="1904" spans="1:23" x14ac:dyDescent="0.25">
      <c r="A1904" t="s">
        <v>2354</v>
      </c>
      <c r="B1904" t="str">
        <f t="shared" si="30"/>
        <v>GA1200000949</v>
      </c>
      <c r="C1904" t="s">
        <v>227</v>
      </c>
      <c r="D1904" t="s">
        <v>77</v>
      </c>
      <c r="E1904" t="s">
        <v>82</v>
      </c>
      <c r="F1904">
        <v>15000</v>
      </c>
      <c r="G1904" s="13">
        <v>43845.5</v>
      </c>
      <c r="H1904" s="13">
        <v>44029</v>
      </c>
      <c r="I1904">
        <v>1792</v>
      </c>
      <c r="J1904">
        <v>13208</v>
      </c>
      <c r="K1904">
        <v>15000</v>
      </c>
      <c r="N1904">
        <v>0</v>
      </c>
      <c r="O1904">
        <v>4.3766999999999996</v>
      </c>
      <c r="P1904">
        <v>215.33330000000001</v>
      </c>
      <c r="Q1904">
        <v>4.5</v>
      </c>
      <c r="R1904">
        <v>4.25</v>
      </c>
      <c r="S1904">
        <v>5.25</v>
      </c>
      <c r="T1904">
        <v>97.787300000000002</v>
      </c>
      <c r="W1904" t="s">
        <v>497</v>
      </c>
    </row>
    <row r="1905" spans="1:23" x14ac:dyDescent="0.25">
      <c r="A1905" t="s">
        <v>2355</v>
      </c>
      <c r="B1905" t="str">
        <f t="shared" si="30"/>
        <v>TD1200000719</v>
      </c>
      <c r="C1905" t="s">
        <v>237</v>
      </c>
      <c r="D1905" t="s">
        <v>77</v>
      </c>
      <c r="E1905" t="s">
        <v>82</v>
      </c>
      <c r="F1905">
        <v>4131</v>
      </c>
      <c r="G1905" s="13">
        <v>43852.666666666664</v>
      </c>
      <c r="H1905" s="13">
        <v>44036</v>
      </c>
      <c r="I1905">
        <v>4131</v>
      </c>
      <c r="J1905">
        <v>0</v>
      </c>
      <c r="K1905">
        <v>4131</v>
      </c>
      <c r="N1905">
        <v>0</v>
      </c>
      <c r="O1905">
        <v>6</v>
      </c>
      <c r="P1905">
        <v>311.3048</v>
      </c>
      <c r="Q1905">
        <v>6</v>
      </c>
      <c r="R1905">
        <v>6</v>
      </c>
      <c r="S1905">
        <v>6.5</v>
      </c>
      <c r="T1905">
        <v>96.966667000000001</v>
      </c>
      <c r="W1905" t="s">
        <v>497</v>
      </c>
    </row>
    <row r="1906" spans="1:23" x14ac:dyDescent="0.25">
      <c r="A1906" t="s">
        <v>2356</v>
      </c>
      <c r="B1906" t="str">
        <f t="shared" si="30"/>
        <v>TD1200000727</v>
      </c>
      <c r="C1906" t="s">
        <v>237</v>
      </c>
      <c r="D1906" t="s">
        <v>77</v>
      </c>
      <c r="E1906" t="s">
        <v>82</v>
      </c>
      <c r="F1906">
        <v>8055</v>
      </c>
      <c r="G1906" s="13">
        <v>43860.666666666664</v>
      </c>
      <c r="H1906" s="13">
        <v>44043</v>
      </c>
      <c r="I1906">
        <v>4592</v>
      </c>
      <c r="J1906">
        <v>3463</v>
      </c>
      <c r="K1906">
        <v>8055</v>
      </c>
      <c r="N1906">
        <v>0</v>
      </c>
      <c r="O1906">
        <v>6.1276000000000002</v>
      </c>
      <c r="P1906">
        <v>134.7362</v>
      </c>
      <c r="Q1906">
        <v>5.5</v>
      </c>
      <c r="R1906">
        <v>5.5</v>
      </c>
      <c r="S1906">
        <v>6.5</v>
      </c>
      <c r="T1906">
        <v>96.902178000000006</v>
      </c>
      <c r="W1906" t="s">
        <v>497</v>
      </c>
    </row>
    <row r="1907" spans="1:23" x14ac:dyDescent="0.25">
      <c r="A1907" t="s">
        <v>2357</v>
      </c>
      <c r="B1907" t="str">
        <f t="shared" si="30"/>
        <v>CM1200000840</v>
      </c>
      <c r="C1907" t="s">
        <v>225</v>
      </c>
      <c r="D1907" t="s">
        <v>77</v>
      </c>
      <c r="E1907" t="s">
        <v>82</v>
      </c>
      <c r="F1907">
        <v>20000</v>
      </c>
      <c r="G1907" s="13">
        <v>43838.520833333336</v>
      </c>
      <c r="H1907" s="13">
        <v>44022</v>
      </c>
      <c r="I1907">
        <v>20000</v>
      </c>
      <c r="J1907">
        <v>0</v>
      </c>
      <c r="K1907">
        <v>20000</v>
      </c>
      <c r="N1907">
        <v>28.571428571428569</v>
      </c>
      <c r="O1907">
        <v>2.1324999999999998</v>
      </c>
      <c r="P1907">
        <v>205.01499999999999</v>
      </c>
      <c r="Q1907">
        <v>2.2000000000000002</v>
      </c>
      <c r="R1907">
        <v>2.1</v>
      </c>
      <c r="S1907">
        <v>3.1</v>
      </c>
      <c r="T1907">
        <v>98.921903</v>
      </c>
      <c r="W1907" t="s">
        <v>497</v>
      </c>
    </row>
    <row r="1908" spans="1:23" x14ac:dyDescent="0.25">
      <c r="A1908" t="s">
        <v>2358</v>
      </c>
      <c r="B1908" t="str">
        <f t="shared" si="30"/>
        <v>CM1200000857</v>
      </c>
      <c r="C1908" t="s">
        <v>225</v>
      </c>
      <c r="D1908" t="s">
        <v>77</v>
      </c>
      <c r="E1908" t="s">
        <v>82</v>
      </c>
      <c r="F1908">
        <v>50000</v>
      </c>
      <c r="G1908" s="13">
        <v>43859.5</v>
      </c>
      <c r="H1908" s="13">
        <v>44043</v>
      </c>
      <c r="I1908">
        <v>39000</v>
      </c>
      <c r="J1908">
        <v>8000</v>
      </c>
      <c r="K1908">
        <v>47000</v>
      </c>
      <c r="N1908">
        <v>42.857142857142854</v>
      </c>
      <c r="O1908">
        <v>2.6920000000000002</v>
      </c>
      <c r="P1908">
        <v>106</v>
      </c>
      <c r="Q1908">
        <v>3</v>
      </c>
      <c r="R1908">
        <v>2.2000000000000002</v>
      </c>
      <c r="S1908">
        <v>3.5</v>
      </c>
      <c r="T1908">
        <v>98.639033999999995</v>
      </c>
      <c r="W1908" t="s">
        <v>497</v>
      </c>
    </row>
    <row r="1909" spans="1:23" x14ac:dyDescent="0.25">
      <c r="A1909" t="s">
        <v>2359</v>
      </c>
      <c r="B1909" t="str">
        <f t="shared" si="30"/>
        <v>GQ1300000742</v>
      </c>
      <c r="C1909" t="s">
        <v>528</v>
      </c>
      <c r="D1909" t="s">
        <v>77</v>
      </c>
      <c r="E1909" t="s">
        <v>287</v>
      </c>
      <c r="F1909">
        <v>15000</v>
      </c>
      <c r="G1909" s="13">
        <v>43852.5</v>
      </c>
      <c r="H1909" s="13">
        <v>44218</v>
      </c>
      <c r="I1909">
        <v>2650</v>
      </c>
      <c r="J1909">
        <v>7883</v>
      </c>
      <c r="K1909">
        <v>10533</v>
      </c>
      <c r="N1909">
        <v>50</v>
      </c>
      <c r="O1909">
        <v>8.0306999999999995</v>
      </c>
      <c r="P1909">
        <v>70.22</v>
      </c>
      <c r="Q1909">
        <v>9</v>
      </c>
      <c r="R1909">
        <v>3.7</v>
      </c>
      <c r="S1909">
        <v>9</v>
      </c>
      <c r="T1909">
        <v>91.88015</v>
      </c>
      <c r="W1909" t="s">
        <v>497</v>
      </c>
    </row>
    <row r="1910" spans="1:23" x14ac:dyDescent="0.25">
      <c r="A1910" t="s">
        <v>2360</v>
      </c>
      <c r="B1910" t="str">
        <f t="shared" si="30"/>
        <v>CM1300000468</v>
      </c>
      <c r="C1910" t="s">
        <v>225</v>
      </c>
      <c r="D1910" t="s">
        <v>77</v>
      </c>
      <c r="E1910" t="s">
        <v>287</v>
      </c>
      <c r="F1910">
        <v>10000</v>
      </c>
      <c r="G1910" s="13">
        <v>43845.5</v>
      </c>
      <c r="H1910" s="13">
        <v>44211</v>
      </c>
      <c r="I1910">
        <v>9000</v>
      </c>
      <c r="J1910">
        <v>1000</v>
      </c>
      <c r="K1910">
        <v>10000</v>
      </c>
      <c r="N1910">
        <v>19.047619047619047</v>
      </c>
      <c r="O1910">
        <v>2.6924999999999999</v>
      </c>
      <c r="P1910">
        <v>165</v>
      </c>
      <c r="Q1910">
        <v>2.85</v>
      </c>
      <c r="R1910">
        <v>2.5</v>
      </c>
      <c r="S1910">
        <v>3.75</v>
      </c>
      <c r="T1910">
        <v>97.277583000000007</v>
      </c>
      <c r="W1910" t="s">
        <v>497</v>
      </c>
    </row>
    <row r="1911" spans="1:23" x14ac:dyDescent="0.25">
      <c r="A1911" t="s">
        <v>2361</v>
      </c>
      <c r="B1911" t="str">
        <f t="shared" si="30"/>
        <v>CG1300000060</v>
      </c>
      <c r="C1911" t="s">
        <v>229</v>
      </c>
      <c r="D1911" t="s">
        <v>77</v>
      </c>
      <c r="E1911" t="s">
        <v>287</v>
      </c>
      <c r="F1911">
        <v>12000</v>
      </c>
      <c r="G1911" s="13">
        <v>43845.666666666664</v>
      </c>
      <c r="H1911" s="13">
        <v>44211</v>
      </c>
      <c r="I1911">
        <v>6000</v>
      </c>
      <c r="J1911">
        <v>3030</v>
      </c>
      <c r="K1911">
        <v>9030</v>
      </c>
      <c r="N1911">
        <v>13.043478260869565</v>
      </c>
      <c r="O1911">
        <v>6.5652999999999997</v>
      </c>
      <c r="P1911">
        <v>75.25</v>
      </c>
      <c r="Q1911">
        <v>7</v>
      </c>
      <c r="R1911">
        <v>5</v>
      </c>
      <c r="S1911">
        <v>7</v>
      </c>
      <c r="T1911">
        <v>93.361714000000006</v>
      </c>
      <c r="W1911" t="s">
        <v>497</v>
      </c>
    </row>
    <row r="1912" spans="1:23" x14ac:dyDescent="0.25">
      <c r="A1912" t="s">
        <v>2362</v>
      </c>
      <c r="B1912" t="str">
        <f t="shared" si="30"/>
        <v>GQ1300000734</v>
      </c>
      <c r="C1912" t="s">
        <v>528</v>
      </c>
      <c r="D1912" t="s">
        <v>77</v>
      </c>
      <c r="E1912" t="s">
        <v>287</v>
      </c>
      <c r="F1912">
        <v>15000</v>
      </c>
      <c r="G1912" s="13">
        <v>43838.625</v>
      </c>
      <c r="H1912" s="13">
        <v>44204</v>
      </c>
      <c r="I1912">
        <v>3000</v>
      </c>
      <c r="J1912">
        <v>0</v>
      </c>
      <c r="K1912">
        <v>3000</v>
      </c>
      <c r="N1912">
        <v>16.666666666666664</v>
      </c>
      <c r="O1912">
        <v>7.1666999999999996</v>
      </c>
      <c r="P1912">
        <v>22.666699999999999</v>
      </c>
      <c r="Q1912">
        <v>7.5</v>
      </c>
      <c r="R1912">
        <v>7</v>
      </c>
      <c r="S1912">
        <v>9</v>
      </c>
      <c r="T1912">
        <v>92.753703999999999</v>
      </c>
      <c r="W1912" t="s">
        <v>497</v>
      </c>
    </row>
    <row r="1913" spans="1:23" x14ac:dyDescent="0.25">
      <c r="A1913" t="s">
        <v>2363</v>
      </c>
      <c r="B1913" t="str">
        <f t="shared" si="30"/>
        <v>CG1200000301</v>
      </c>
      <c r="C1913" t="s">
        <v>229</v>
      </c>
      <c r="D1913" t="s">
        <v>77</v>
      </c>
      <c r="E1913" t="s">
        <v>82</v>
      </c>
      <c r="F1913">
        <v>10000</v>
      </c>
      <c r="G1913" s="13">
        <v>43880</v>
      </c>
      <c r="H1913" s="13">
        <v>44064</v>
      </c>
      <c r="I1913">
        <v>5063</v>
      </c>
      <c r="J1913">
        <v>4937</v>
      </c>
      <c r="K1913">
        <v>10000</v>
      </c>
      <c r="N1913">
        <v>39.130434782608695</v>
      </c>
      <c r="O1913">
        <v>6</v>
      </c>
      <c r="P1913">
        <v>408.02</v>
      </c>
      <c r="Q1913">
        <v>6</v>
      </c>
      <c r="R1913">
        <v>6</v>
      </c>
      <c r="S1913">
        <v>6</v>
      </c>
      <c r="T1913">
        <v>96.966667000000001</v>
      </c>
      <c r="W1913" t="s">
        <v>497</v>
      </c>
    </row>
    <row r="1914" spans="1:23" x14ac:dyDescent="0.25">
      <c r="A1914" t="s">
        <v>2364</v>
      </c>
      <c r="B1914" t="str">
        <f t="shared" si="30"/>
        <v>CM1200000865</v>
      </c>
      <c r="C1914" t="s">
        <v>225</v>
      </c>
      <c r="D1914" t="s">
        <v>77</v>
      </c>
      <c r="E1914" t="s">
        <v>82</v>
      </c>
      <c r="F1914">
        <v>20000</v>
      </c>
      <c r="G1914" s="13">
        <v>43873</v>
      </c>
      <c r="H1914" s="13">
        <v>44057</v>
      </c>
      <c r="I1914">
        <v>5000</v>
      </c>
      <c r="J1914">
        <v>200</v>
      </c>
      <c r="K1914">
        <v>5200</v>
      </c>
      <c r="N1914">
        <v>28.571428571428569</v>
      </c>
      <c r="O1914">
        <v>2.6692</v>
      </c>
      <c r="P1914">
        <v>94.5</v>
      </c>
      <c r="Q1914">
        <v>2.7</v>
      </c>
      <c r="R1914">
        <v>2.4</v>
      </c>
      <c r="S1914">
        <v>2.7</v>
      </c>
      <c r="T1914">
        <v>98.650555999999995</v>
      </c>
      <c r="W1914" t="s">
        <v>497</v>
      </c>
    </row>
    <row r="1915" spans="1:23" x14ac:dyDescent="0.25">
      <c r="A1915" t="s">
        <v>2365</v>
      </c>
      <c r="B1915" t="str">
        <f t="shared" si="30"/>
        <v>CM1300000476</v>
      </c>
      <c r="C1915" t="s">
        <v>225</v>
      </c>
      <c r="D1915" t="s">
        <v>77</v>
      </c>
      <c r="E1915" t="s">
        <v>287</v>
      </c>
      <c r="F1915">
        <v>20000</v>
      </c>
      <c r="G1915" s="13">
        <v>43880</v>
      </c>
      <c r="H1915" s="13">
        <v>44246</v>
      </c>
      <c r="I1915">
        <v>20000</v>
      </c>
      <c r="J1915">
        <v>0</v>
      </c>
      <c r="K1915">
        <v>20000</v>
      </c>
      <c r="N1915">
        <v>23.809523809523807</v>
      </c>
      <c r="O1915">
        <v>3.3519999999999999</v>
      </c>
      <c r="P1915">
        <v>153</v>
      </c>
      <c r="Q1915">
        <v>3.5</v>
      </c>
      <c r="R1915">
        <v>3</v>
      </c>
      <c r="S1915">
        <v>3.5</v>
      </c>
      <c r="T1915">
        <v>96.610755999999995</v>
      </c>
      <c r="W1915" t="s">
        <v>497</v>
      </c>
    </row>
    <row r="1916" spans="1:23" x14ac:dyDescent="0.25">
      <c r="A1916" t="s">
        <v>2366</v>
      </c>
      <c r="B1916" t="str">
        <f t="shared" si="30"/>
        <v>GA1100001112</v>
      </c>
      <c r="C1916" t="s">
        <v>227</v>
      </c>
      <c r="D1916" t="s">
        <v>77</v>
      </c>
      <c r="E1916" t="s">
        <v>78</v>
      </c>
      <c r="F1916">
        <v>15000</v>
      </c>
      <c r="G1916" s="13">
        <v>43880</v>
      </c>
      <c r="H1916" s="13">
        <v>43973</v>
      </c>
      <c r="I1916">
        <v>2284</v>
      </c>
      <c r="J1916">
        <v>12716</v>
      </c>
      <c r="K1916">
        <v>15000</v>
      </c>
      <c r="N1916">
        <v>38.888888888888893</v>
      </c>
      <c r="O1916">
        <v>4.0975999999999999</v>
      </c>
      <c r="P1916">
        <v>129.6867</v>
      </c>
      <c r="Q1916">
        <v>4.25</v>
      </c>
      <c r="R1916">
        <v>3.5</v>
      </c>
      <c r="S1916">
        <v>4.25</v>
      </c>
      <c r="T1916">
        <v>98.964222000000007</v>
      </c>
      <c r="W1916" t="s">
        <v>497</v>
      </c>
    </row>
    <row r="1917" spans="1:23" x14ac:dyDescent="0.25">
      <c r="A1917" t="s">
        <v>2367</v>
      </c>
      <c r="B1917" t="str">
        <f t="shared" si="30"/>
        <v>GA1100001120</v>
      </c>
      <c r="C1917" t="s">
        <v>227</v>
      </c>
      <c r="D1917" t="s">
        <v>77</v>
      </c>
      <c r="E1917" t="s">
        <v>78</v>
      </c>
      <c r="F1917">
        <v>15000</v>
      </c>
      <c r="G1917" s="13">
        <v>43887</v>
      </c>
      <c r="H1917" s="13">
        <v>43980</v>
      </c>
      <c r="I1917">
        <v>1000</v>
      </c>
      <c r="J1917">
        <v>14000</v>
      </c>
      <c r="K1917">
        <v>15000</v>
      </c>
      <c r="N1917">
        <v>38.888888888888893</v>
      </c>
      <c r="O1917">
        <v>4.1311</v>
      </c>
      <c r="P1917">
        <v>184.02670000000001</v>
      </c>
      <c r="Q1917">
        <v>4.25</v>
      </c>
      <c r="R1917">
        <v>4</v>
      </c>
      <c r="S1917">
        <v>4.25</v>
      </c>
      <c r="T1917">
        <v>98.955737999999997</v>
      </c>
      <c r="W1917" t="s">
        <v>497</v>
      </c>
    </row>
    <row r="1918" spans="1:23" x14ac:dyDescent="0.25">
      <c r="A1918" t="s">
        <v>2368</v>
      </c>
      <c r="B1918" t="str">
        <f t="shared" si="30"/>
        <v>GA1200000956</v>
      </c>
      <c r="C1918" t="s">
        <v>227</v>
      </c>
      <c r="D1918" t="s">
        <v>77</v>
      </c>
      <c r="E1918" t="s">
        <v>82</v>
      </c>
      <c r="F1918">
        <v>13000</v>
      </c>
      <c r="G1918" s="13">
        <v>43866</v>
      </c>
      <c r="H1918" s="13">
        <v>44050</v>
      </c>
      <c r="I1918">
        <v>0</v>
      </c>
      <c r="J1918">
        <v>13000</v>
      </c>
      <c r="K1918">
        <v>13000</v>
      </c>
      <c r="N1918">
        <v>0</v>
      </c>
      <c r="O1918">
        <v>4.1692</v>
      </c>
      <c r="P1918">
        <v>254.23079999999999</v>
      </c>
      <c r="Q1918">
        <v>4.25</v>
      </c>
      <c r="R1918">
        <v>4.0999999999999996</v>
      </c>
      <c r="S1918">
        <v>4.25</v>
      </c>
      <c r="T1918">
        <v>97.892222000000004</v>
      </c>
      <c r="W1918" t="s">
        <v>497</v>
      </c>
    </row>
    <row r="1919" spans="1:23" x14ac:dyDescent="0.25">
      <c r="A1919" t="s">
        <v>2369</v>
      </c>
      <c r="B1919" t="str">
        <f t="shared" si="30"/>
        <v>GA1200000964</v>
      </c>
      <c r="C1919" t="s">
        <v>227</v>
      </c>
      <c r="D1919" t="s">
        <v>77</v>
      </c>
      <c r="E1919" t="s">
        <v>82</v>
      </c>
      <c r="F1919">
        <v>12000</v>
      </c>
      <c r="G1919" s="13">
        <v>43862</v>
      </c>
      <c r="H1919" s="13">
        <v>44057</v>
      </c>
      <c r="I1919">
        <v>2184</v>
      </c>
      <c r="J1919">
        <v>9816</v>
      </c>
      <c r="K1919">
        <v>12000</v>
      </c>
      <c r="N1919">
        <v>0</v>
      </c>
      <c r="O1919">
        <v>4.1326999999999998</v>
      </c>
      <c r="P1919">
        <v>301.25</v>
      </c>
      <c r="Q1919">
        <v>4.25</v>
      </c>
      <c r="R1919">
        <v>4</v>
      </c>
      <c r="S1919">
        <v>4.25</v>
      </c>
      <c r="T1919">
        <v>97.910685999999998</v>
      </c>
      <c r="W1919" t="s">
        <v>497</v>
      </c>
    </row>
    <row r="1920" spans="1:23" x14ac:dyDescent="0.25">
      <c r="A1920" t="s">
        <v>2370</v>
      </c>
      <c r="B1920" t="str">
        <f t="shared" si="30"/>
        <v>GQ1200000032</v>
      </c>
      <c r="C1920" t="s">
        <v>528</v>
      </c>
      <c r="D1920" t="s">
        <v>77</v>
      </c>
      <c r="E1920" t="s">
        <v>82</v>
      </c>
      <c r="F1920">
        <v>15000</v>
      </c>
      <c r="G1920" s="13">
        <v>43887</v>
      </c>
      <c r="H1920" s="13">
        <v>44071</v>
      </c>
      <c r="I1920">
        <v>10000</v>
      </c>
      <c r="J1920">
        <v>2000</v>
      </c>
      <c r="K1920">
        <v>12000</v>
      </c>
      <c r="N1920">
        <v>50</v>
      </c>
      <c r="O1920">
        <v>6.4667000000000003</v>
      </c>
      <c r="P1920">
        <v>153.86670000000001</v>
      </c>
      <c r="Q1920">
        <v>7.3</v>
      </c>
      <c r="R1920">
        <v>6</v>
      </c>
      <c r="S1920">
        <v>7.3</v>
      </c>
      <c r="T1920">
        <v>96.730740999999995</v>
      </c>
      <c r="W1920" t="s">
        <v>497</v>
      </c>
    </row>
    <row r="1921" spans="1:23" x14ac:dyDescent="0.25">
      <c r="A1921" t="s">
        <v>2371</v>
      </c>
      <c r="B1921" t="str">
        <f t="shared" si="30"/>
        <v>GQ1300000759</v>
      </c>
      <c r="C1921" t="s">
        <v>528</v>
      </c>
      <c r="D1921" t="s">
        <v>77</v>
      </c>
      <c r="E1921" t="s">
        <v>287</v>
      </c>
      <c r="F1921">
        <v>15000</v>
      </c>
      <c r="G1921" s="13">
        <v>43866</v>
      </c>
      <c r="H1921" s="13">
        <v>44232</v>
      </c>
      <c r="I1921">
        <v>4000</v>
      </c>
      <c r="J1921">
        <v>8999</v>
      </c>
      <c r="K1921">
        <v>12999</v>
      </c>
      <c r="N1921">
        <v>25</v>
      </c>
      <c r="O1921">
        <v>7.9230999999999998</v>
      </c>
      <c r="P1921">
        <v>86.66</v>
      </c>
      <c r="Q1921">
        <v>9</v>
      </c>
      <c r="R1921">
        <v>7</v>
      </c>
      <c r="S1921">
        <v>9</v>
      </c>
      <c r="T1921">
        <v>91.988886399999998</v>
      </c>
      <c r="W1921" t="s">
        <v>497</v>
      </c>
    </row>
    <row r="1922" spans="1:23" x14ac:dyDescent="0.25">
      <c r="A1922" t="s">
        <v>2372</v>
      </c>
      <c r="B1922" t="str">
        <f t="shared" si="30"/>
        <v>TD1200000735</v>
      </c>
      <c r="C1922" t="s">
        <v>237</v>
      </c>
      <c r="D1922" t="s">
        <v>77</v>
      </c>
      <c r="E1922" t="s">
        <v>82</v>
      </c>
      <c r="F1922">
        <v>8262</v>
      </c>
      <c r="G1922" s="13">
        <v>43866</v>
      </c>
      <c r="H1922" s="13">
        <v>44050</v>
      </c>
      <c r="I1922">
        <v>8262</v>
      </c>
      <c r="J1922">
        <v>0</v>
      </c>
      <c r="K1922">
        <v>8262</v>
      </c>
      <c r="N1922">
        <v>0</v>
      </c>
      <c r="O1922">
        <v>6.2228000000000003</v>
      </c>
      <c r="P1922">
        <v>117.64700000000001</v>
      </c>
      <c r="Q1922">
        <v>6.25</v>
      </c>
      <c r="R1922">
        <v>6</v>
      </c>
      <c r="S1922">
        <v>6.25</v>
      </c>
      <c r="T1922">
        <v>96.854045999999997</v>
      </c>
      <c r="W1922" t="s">
        <v>497</v>
      </c>
    </row>
    <row r="1923" spans="1:23" x14ac:dyDescent="0.25">
      <c r="A1923" t="s">
        <v>2373</v>
      </c>
      <c r="B1923" t="str">
        <f t="shared" si="30"/>
        <v>TD1200000750</v>
      </c>
      <c r="C1923" t="s">
        <v>237</v>
      </c>
      <c r="D1923" t="s">
        <v>77</v>
      </c>
      <c r="E1923" t="s">
        <v>82</v>
      </c>
      <c r="F1923">
        <v>8636</v>
      </c>
      <c r="G1923" s="13">
        <v>43880</v>
      </c>
      <c r="H1923" s="13">
        <v>44064</v>
      </c>
      <c r="I1923">
        <v>7020</v>
      </c>
      <c r="J1923">
        <v>0</v>
      </c>
      <c r="K1923">
        <v>7020</v>
      </c>
      <c r="N1923">
        <v>0</v>
      </c>
      <c r="O1923">
        <v>6.2279</v>
      </c>
      <c r="P1923">
        <v>81.287599999999998</v>
      </c>
      <c r="Q1923">
        <v>6.25</v>
      </c>
      <c r="R1923">
        <v>6</v>
      </c>
      <c r="S1923">
        <v>6.25</v>
      </c>
      <c r="T1923">
        <v>96.851439999999997</v>
      </c>
      <c r="W1923" t="s">
        <v>497</v>
      </c>
    </row>
    <row r="1924" spans="1:23" x14ac:dyDescent="0.25">
      <c r="A1924" t="s">
        <v>2374</v>
      </c>
      <c r="B1924" t="str">
        <f t="shared" si="30"/>
        <v>TD1200000768</v>
      </c>
      <c r="C1924" t="s">
        <v>237</v>
      </c>
      <c r="D1924" t="s">
        <v>77</v>
      </c>
      <c r="E1924" t="s">
        <v>82</v>
      </c>
      <c r="F1924">
        <v>16111</v>
      </c>
      <c r="G1924" s="13">
        <v>43887</v>
      </c>
      <c r="H1924" s="13">
        <v>44071</v>
      </c>
      <c r="I1924">
        <v>3929</v>
      </c>
      <c r="J1924">
        <v>12182</v>
      </c>
      <c r="K1924">
        <v>16111</v>
      </c>
      <c r="N1924">
        <v>0</v>
      </c>
      <c r="O1924">
        <v>6.4223999999999997</v>
      </c>
      <c r="P1924">
        <v>105.58</v>
      </c>
      <c r="Q1924">
        <v>6.5</v>
      </c>
      <c r="R1924">
        <v>6</v>
      </c>
      <c r="S1924">
        <v>6.5</v>
      </c>
      <c r="T1924">
        <v>96.753112999999999</v>
      </c>
      <c r="W1924" t="s">
        <v>497</v>
      </c>
    </row>
    <row r="1925" spans="1:23" x14ac:dyDescent="0.25">
      <c r="A1925" t="s">
        <v>2375</v>
      </c>
      <c r="B1925" t="str">
        <f t="shared" si="30"/>
        <v>GQ1300000767</v>
      </c>
      <c r="C1925" t="s">
        <v>528</v>
      </c>
      <c r="D1925" t="s">
        <v>77</v>
      </c>
      <c r="E1925" t="s">
        <v>287</v>
      </c>
      <c r="F1925">
        <v>15000</v>
      </c>
      <c r="G1925" s="13">
        <v>43901.625</v>
      </c>
      <c r="H1925" s="13">
        <v>44267</v>
      </c>
      <c r="I1925">
        <v>15000</v>
      </c>
      <c r="J1925">
        <v>0</v>
      </c>
      <c r="K1925">
        <v>15000</v>
      </c>
      <c r="N1925">
        <v>41.666666666666671</v>
      </c>
      <c r="O1925">
        <v>7.6966999999999999</v>
      </c>
      <c r="P1925">
        <v>126.66670000000001</v>
      </c>
      <c r="Q1925">
        <v>8</v>
      </c>
      <c r="R1925">
        <v>7.2</v>
      </c>
      <c r="S1925">
        <v>8</v>
      </c>
      <c r="T1925">
        <v>92.217815000000002</v>
      </c>
      <c r="W1925" t="s">
        <v>497</v>
      </c>
    </row>
    <row r="1926" spans="1:23" x14ac:dyDescent="0.25">
      <c r="A1926" t="s">
        <v>2376</v>
      </c>
      <c r="B1926" t="str">
        <f t="shared" si="30"/>
        <v>TD1200000784</v>
      </c>
      <c r="C1926" t="s">
        <v>237</v>
      </c>
      <c r="D1926" t="s">
        <v>77</v>
      </c>
      <c r="E1926" t="s">
        <v>82</v>
      </c>
      <c r="F1926">
        <v>27256</v>
      </c>
      <c r="G1926" s="13">
        <v>43901.666666666664</v>
      </c>
      <c r="H1926" s="13">
        <v>44085</v>
      </c>
      <c r="I1926">
        <v>10291</v>
      </c>
      <c r="J1926">
        <v>16964</v>
      </c>
      <c r="K1926">
        <v>27255</v>
      </c>
      <c r="N1926">
        <v>0</v>
      </c>
      <c r="O1926">
        <v>6.4569000000000001</v>
      </c>
      <c r="P1926">
        <v>99.996300000000005</v>
      </c>
      <c r="Q1926">
        <v>6.5</v>
      </c>
      <c r="R1926">
        <v>6.25</v>
      </c>
      <c r="S1926">
        <v>6.5</v>
      </c>
      <c r="T1926">
        <v>96.735684000000006</v>
      </c>
      <c r="W1926" t="s">
        <v>497</v>
      </c>
    </row>
    <row r="1927" spans="1:23" x14ac:dyDescent="0.25">
      <c r="A1927" t="s">
        <v>2377</v>
      </c>
      <c r="B1927" t="str">
        <f t="shared" si="30"/>
        <v>GA1200000972</v>
      </c>
      <c r="C1927" t="s">
        <v>227</v>
      </c>
      <c r="D1927" t="s">
        <v>77</v>
      </c>
      <c r="E1927" t="s">
        <v>82</v>
      </c>
      <c r="F1927">
        <v>14500</v>
      </c>
      <c r="G1927" s="13">
        <v>43894.5</v>
      </c>
      <c r="H1927" s="13">
        <v>44078</v>
      </c>
      <c r="I1927">
        <v>5900</v>
      </c>
      <c r="J1927">
        <v>8600</v>
      </c>
      <c r="K1927">
        <v>14500</v>
      </c>
      <c r="N1927">
        <v>0</v>
      </c>
      <c r="O1927">
        <v>4.0928000000000004</v>
      </c>
      <c r="P1927">
        <v>206.89660000000001</v>
      </c>
      <c r="Q1927">
        <v>4.5</v>
      </c>
      <c r="R1927">
        <v>3.5</v>
      </c>
      <c r="S1927">
        <v>4.5</v>
      </c>
      <c r="T1927">
        <v>97.930882999999994</v>
      </c>
      <c r="W1927" t="s">
        <v>497</v>
      </c>
    </row>
    <row r="1928" spans="1:23" x14ac:dyDescent="0.25">
      <c r="A1928" t="s">
        <v>2378</v>
      </c>
      <c r="B1928" t="str">
        <f t="shared" si="30"/>
        <v>TD1200000776</v>
      </c>
      <c r="C1928" t="s">
        <v>237</v>
      </c>
      <c r="D1928" t="s">
        <v>77</v>
      </c>
      <c r="E1928" t="s">
        <v>82</v>
      </c>
      <c r="F1928">
        <v>13090</v>
      </c>
      <c r="G1928" s="13">
        <v>43895.666666666664</v>
      </c>
      <c r="H1928" s="13">
        <v>44078</v>
      </c>
      <c r="I1928">
        <v>3825</v>
      </c>
      <c r="J1928">
        <v>9265</v>
      </c>
      <c r="K1928">
        <v>13090</v>
      </c>
      <c r="N1928">
        <v>0</v>
      </c>
      <c r="O1928">
        <v>6.2774999999999999</v>
      </c>
      <c r="P1928">
        <v>119.4423</v>
      </c>
      <c r="Q1928">
        <v>6.5</v>
      </c>
      <c r="R1928">
        <v>6</v>
      </c>
      <c r="S1928">
        <v>6.5</v>
      </c>
      <c r="T1928">
        <v>96.826374000000001</v>
      </c>
      <c r="W1928" t="s">
        <v>497</v>
      </c>
    </row>
    <row r="1929" spans="1:23" x14ac:dyDescent="0.25">
      <c r="A1929" t="s">
        <v>2379</v>
      </c>
      <c r="B1929" t="str">
        <f t="shared" si="30"/>
        <v>CG1200000319</v>
      </c>
      <c r="C1929" t="s">
        <v>229</v>
      </c>
      <c r="D1929" t="s">
        <v>77</v>
      </c>
      <c r="E1929" t="s">
        <v>82</v>
      </c>
      <c r="F1929">
        <v>10000</v>
      </c>
      <c r="G1929" s="13">
        <v>43901.708333333336</v>
      </c>
      <c r="H1929" s="13">
        <v>44085</v>
      </c>
      <c r="I1929">
        <v>6024</v>
      </c>
      <c r="J1929">
        <v>3976</v>
      </c>
      <c r="K1929">
        <v>10000</v>
      </c>
      <c r="N1929">
        <v>34.782608695652172</v>
      </c>
      <c r="O1929">
        <v>5.91</v>
      </c>
      <c r="P1929">
        <v>198.04</v>
      </c>
      <c r="Q1929">
        <v>6</v>
      </c>
      <c r="R1929">
        <v>5.8</v>
      </c>
      <c r="S1929">
        <v>6</v>
      </c>
      <c r="T1929">
        <v>97.012200000000007</v>
      </c>
      <c r="W1929" t="s">
        <v>497</v>
      </c>
    </row>
    <row r="1930" spans="1:23" x14ac:dyDescent="0.25">
      <c r="A1930" t="s">
        <v>2380</v>
      </c>
      <c r="B1930" t="str">
        <f t="shared" si="30"/>
        <v>CM1200000873</v>
      </c>
      <c r="C1930" t="s">
        <v>225</v>
      </c>
      <c r="D1930" t="s">
        <v>77</v>
      </c>
      <c r="E1930" t="s">
        <v>82</v>
      </c>
      <c r="F1930">
        <v>20000</v>
      </c>
      <c r="G1930" s="13">
        <v>43894.5</v>
      </c>
      <c r="H1930" s="13">
        <v>44078</v>
      </c>
      <c r="I1930">
        <v>19900</v>
      </c>
      <c r="J1930">
        <v>100</v>
      </c>
      <c r="K1930">
        <v>20000</v>
      </c>
      <c r="N1930">
        <v>28.571428571428569</v>
      </c>
      <c r="O1930">
        <v>2.7397999999999998</v>
      </c>
      <c r="P1930">
        <v>163.5</v>
      </c>
      <c r="Q1930">
        <v>2.9</v>
      </c>
      <c r="R1930">
        <v>2.5499999999999998</v>
      </c>
      <c r="S1930">
        <v>2.9</v>
      </c>
      <c r="T1930">
        <v>98.614900000000006</v>
      </c>
      <c r="W1930" t="s">
        <v>497</v>
      </c>
    </row>
    <row r="1931" spans="1:23" x14ac:dyDescent="0.25">
      <c r="A1931" t="s">
        <v>2381</v>
      </c>
      <c r="B1931" t="str">
        <f t="shared" si="30"/>
        <v>GA1200000980</v>
      </c>
      <c r="C1931" t="s">
        <v>227</v>
      </c>
      <c r="D1931" t="s">
        <v>77</v>
      </c>
      <c r="E1931" t="s">
        <v>82</v>
      </c>
      <c r="F1931">
        <v>14500</v>
      </c>
      <c r="G1931" s="13">
        <v>43901.583333333336</v>
      </c>
      <c r="H1931" s="13">
        <v>44085</v>
      </c>
      <c r="I1931">
        <v>350</v>
      </c>
      <c r="J1931">
        <v>14150</v>
      </c>
      <c r="K1931">
        <v>14500</v>
      </c>
      <c r="N1931">
        <v>0</v>
      </c>
      <c r="O1931">
        <v>4.2573999999999996</v>
      </c>
      <c r="P1931">
        <v>216.20689999999999</v>
      </c>
      <c r="Q1931">
        <v>4.3499999999999996</v>
      </c>
      <c r="R1931">
        <v>4.2</v>
      </c>
      <c r="S1931">
        <v>4.3499999999999996</v>
      </c>
      <c r="T1931">
        <v>97.8476</v>
      </c>
      <c r="W1931" t="s">
        <v>497</v>
      </c>
    </row>
    <row r="1932" spans="1:23" x14ac:dyDescent="0.25">
      <c r="A1932" t="s">
        <v>2382</v>
      </c>
      <c r="B1932" t="str">
        <f t="shared" si="30"/>
        <v>TD1200000792</v>
      </c>
      <c r="C1932" t="s">
        <v>237</v>
      </c>
      <c r="D1932" t="s">
        <v>77</v>
      </c>
      <c r="E1932" t="s">
        <v>82</v>
      </c>
      <c r="F1932">
        <v>25500</v>
      </c>
      <c r="G1932" s="13">
        <v>43908.666666666664</v>
      </c>
      <c r="H1932" s="13">
        <v>44092</v>
      </c>
      <c r="I1932">
        <v>11179</v>
      </c>
      <c r="J1932">
        <v>14321</v>
      </c>
      <c r="K1932">
        <v>25500</v>
      </c>
      <c r="N1932">
        <v>0</v>
      </c>
      <c r="O1932">
        <v>6.5</v>
      </c>
      <c r="P1932">
        <v>102.64700000000001</v>
      </c>
      <c r="Q1932">
        <v>6.5</v>
      </c>
      <c r="R1932">
        <v>6.5</v>
      </c>
      <c r="S1932">
        <v>6.5</v>
      </c>
      <c r="T1932">
        <v>96.804670000000002</v>
      </c>
      <c r="W1932" t="s">
        <v>497</v>
      </c>
    </row>
    <row r="1933" spans="1:23" x14ac:dyDescent="0.25">
      <c r="A1933" t="s">
        <v>2383</v>
      </c>
      <c r="B1933" t="str">
        <f t="shared" si="30"/>
        <v>GA1100001138</v>
      </c>
      <c r="C1933" t="s">
        <v>227</v>
      </c>
      <c r="D1933" t="s">
        <v>77</v>
      </c>
      <c r="E1933" t="s">
        <v>78</v>
      </c>
      <c r="F1933">
        <v>15000</v>
      </c>
      <c r="G1933" s="13">
        <v>43908.625</v>
      </c>
      <c r="H1933" s="13">
        <v>44001</v>
      </c>
      <c r="I1933">
        <v>10000</v>
      </c>
      <c r="J1933">
        <v>5000</v>
      </c>
      <c r="K1933">
        <v>15000</v>
      </c>
      <c r="N1933">
        <v>38.888888888888893</v>
      </c>
      <c r="O1933">
        <v>3.879</v>
      </c>
      <c r="P1933">
        <v>174.66669999999999</v>
      </c>
      <c r="Q1933">
        <v>4.1900000000000004</v>
      </c>
      <c r="R1933">
        <v>3.5</v>
      </c>
      <c r="S1933">
        <v>4.1900000000000004</v>
      </c>
      <c r="T1933">
        <v>99.019400000000005</v>
      </c>
      <c r="W1933" t="s">
        <v>497</v>
      </c>
    </row>
    <row r="1934" spans="1:23" x14ac:dyDescent="0.25">
      <c r="A1934" t="s">
        <v>2384</v>
      </c>
      <c r="B1934" t="str">
        <f t="shared" si="30"/>
        <v>CF1200000369</v>
      </c>
      <c r="C1934" t="s">
        <v>634</v>
      </c>
      <c r="D1934" t="s">
        <v>77</v>
      </c>
      <c r="E1934" t="s">
        <v>82</v>
      </c>
      <c r="F1934">
        <v>5500</v>
      </c>
      <c r="G1934" s="13">
        <v>43915.583333333336</v>
      </c>
      <c r="H1934" s="13">
        <v>44099</v>
      </c>
      <c r="I1934">
        <v>5500</v>
      </c>
      <c r="J1934">
        <v>0</v>
      </c>
      <c r="K1934">
        <v>5500</v>
      </c>
      <c r="N1934">
        <v>33.333333333333329</v>
      </c>
      <c r="O1934">
        <v>5.4318</v>
      </c>
      <c r="P1934">
        <v>100</v>
      </c>
      <c r="Q1934">
        <v>5.5</v>
      </c>
      <c r="R1934">
        <v>5.25</v>
      </c>
      <c r="S1934">
        <v>5.5</v>
      </c>
      <c r="T1934">
        <v>97.253900000000002</v>
      </c>
      <c r="W1934" t="s">
        <v>497</v>
      </c>
    </row>
    <row r="1935" spans="1:23" x14ac:dyDescent="0.25">
      <c r="A1935" t="s">
        <v>2385</v>
      </c>
      <c r="B1935" t="str">
        <f t="shared" si="30"/>
        <v>CG1300000078</v>
      </c>
      <c r="C1935" t="s">
        <v>229</v>
      </c>
      <c r="D1935" t="s">
        <v>77</v>
      </c>
      <c r="E1935" t="s">
        <v>287</v>
      </c>
      <c r="F1935">
        <v>12000</v>
      </c>
      <c r="G1935" s="13">
        <v>43915.708333333336</v>
      </c>
      <c r="H1935" s="13">
        <v>44281</v>
      </c>
      <c r="I1935">
        <v>7000</v>
      </c>
      <c r="J1935">
        <v>5000</v>
      </c>
      <c r="K1935">
        <v>12000</v>
      </c>
      <c r="N1935">
        <v>8.695652173913043</v>
      </c>
      <c r="O1935">
        <v>5.9749999999999996</v>
      </c>
      <c r="P1935">
        <v>125</v>
      </c>
      <c r="Q1935">
        <v>6.1</v>
      </c>
      <c r="R1935">
        <v>5.8</v>
      </c>
      <c r="S1935">
        <v>6.1</v>
      </c>
      <c r="T1935">
        <v>93.958600000000004</v>
      </c>
      <c r="W1935" t="s">
        <v>497</v>
      </c>
    </row>
    <row r="1936" spans="1:23" x14ac:dyDescent="0.25">
      <c r="A1936" t="s">
        <v>2386</v>
      </c>
      <c r="B1936" t="str">
        <f t="shared" si="30"/>
        <v>GA1300000377</v>
      </c>
      <c r="C1936" t="s">
        <v>227</v>
      </c>
      <c r="D1936" t="s">
        <v>77</v>
      </c>
      <c r="E1936" t="s">
        <v>287</v>
      </c>
      <c r="F1936">
        <v>10000</v>
      </c>
      <c r="G1936" s="13">
        <v>43915.5</v>
      </c>
      <c r="H1936" s="13">
        <v>44281</v>
      </c>
      <c r="I1936">
        <v>5000</v>
      </c>
      <c r="J1936">
        <v>4000</v>
      </c>
      <c r="K1936">
        <v>9000</v>
      </c>
      <c r="N1936">
        <v>0</v>
      </c>
      <c r="O1936">
        <v>4.6388999999999996</v>
      </c>
      <c r="P1936">
        <v>112</v>
      </c>
      <c r="Q1936">
        <v>6</v>
      </c>
      <c r="R1936">
        <v>4</v>
      </c>
      <c r="S1936">
        <v>6</v>
      </c>
      <c r="T1936">
        <v>95.3095</v>
      </c>
      <c r="W1936" t="s">
        <v>497</v>
      </c>
    </row>
    <row r="1937" spans="1:23" x14ac:dyDescent="0.25">
      <c r="A1937" t="s">
        <v>2387</v>
      </c>
      <c r="B1937" t="str">
        <f t="shared" si="30"/>
        <v>CM1300000484</v>
      </c>
      <c r="C1937" t="s">
        <v>225</v>
      </c>
      <c r="D1937" t="s">
        <v>77</v>
      </c>
      <c r="E1937" t="s">
        <v>287</v>
      </c>
      <c r="F1937">
        <v>10000</v>
      </c>
      <c r="G1937" s="13">
        <v>43908.708333333336</v>
      </c>
      <c r="H1937" s="13">
        <v>44274</v>
      </c>
      <c r="I1937">
        <v>6018</v>
      </c>
      <c r="J1937">
        <v>1500</v>
      </c>
      <c r="K1937">
        <v>7518</v>
      </c>
      <c r="N1937">
        <v>23.809523809523807</v>
      </c>
      <c r="O1937">
        <v>3.4081999999999999</v>
      </c>
      <c r="P1937">
        <v>85.18</v>
      </c>
      <c r="Q1937">
        <v>3.6</v>
      </c>
      <c r="R1937">
        <v>3.15</v>
      </c>
      <c r="S1937">
        <v>3.6</v>
      </c>
      <c r="T1937">
        <v>96.553910999999999</v>
      </c>
      <c r="W1937" t="s">
        <v>497</v>
      </c>
    </row>
    <row r="1938" spans="1:23" x14ac:dyDescent="0.25">
      <c r="A1938" t="s">
        <v>2388</v>
      </c>
      <c r="B1938" t="str">
        <f t="shared" si="30"/>
        <v>GQ1300000775</v>
      </c>
      <c r="C1938" t="s">
        <v>528</v>
      </c>
      <c r="D1938" t="s">
        <v>77</v>
      </c>
      <c r="E1938" t="s">
        <v>287</v>
      </c>
      <c r="F1938">
        <v>15000</v>
      </c>
      <c r="G1938" s="13">
        <v>43915.5</v>
      </c>
      <c r="H1938" s="13">
        <v>44281</v>
      </c>
      <c r="I1938">
        <v>2000</v>
      </c>
      <c r="J1938">
        <v>5042</v>
      </c>
      <c r="K1938">
        <v>7042</v>
      </c>
      <c r="N1938">
        <v>33.333333333333329</v>
      </c>
      <c r="O1938">
        <v>8.0236000000000001</v>
      </c>
      <c r="P1938">
        <v>46.9467</v>
      </c>
      <c r="Q1938">
        <v>9</v>
      </c>
      <c r="R1938">
        <v>7.2</v>
      </c>
      <c r="S1938">
        <v>9</v>
      </c>
      <c r="T1938">
        <v>91.887219000000002</v>
      </c>
      <c r="W1938" t="s">
        <v>497</v>
      </c>
    </row>
    <row r="1939" spans="1:23" x14ac:dyDescent="0.25">
      <c r="A1939" t="s">
        <v>2389</v>
      </c>
      <c r="B1939" t="str">
        <f t="shared" si="30"/>
        <v>CG1300000078</v>
      </c>
      <c r="C1939" t="s">
        <v>229</v>
      </c>
      <c r="D1939" t="s">
        <v>77</v>
      </c>
      <c r="E1939" t="s">
        <v>287</v>
      </c>
      <c r="F1939">
        <v>3000</v>
      </c>
      <c r="G1939" s="13">
        <v>43922.5</v>
      </c>
      <c r="H1939" s="13">
        <v>44281</v>
      </c>
      <c r="I1939">
        <v>3000</v>
      </c>
      <c r="J1939">
        <v>0</v>
      </c>
      <c r="K1939">
        <v>3000</v>
      </c>
      <c r="N1939">
        <v>4.3478260869565215</v>
      </c>
      <c r="O1939">
        <v>6</v>
      </c>
      <c r="P1939">
        <v>100</v>
      </c>
      <c r="Q1939">
        <v>6</v>
      </c>
      <c r="R1939">
        <v>6</v>
      </c>
      <c r="S1939">
        <v>6</v>
      </c>
      <c r="T1939">
        <v>94.05</v>
      </c>
      <c r="W1939" t="s">
        <v>497</v>
      </c>
    </row>
    <row r="1940" spans="1:23" x14ac:dyDescent="0.25">
      <c r="A1940" t="s">
        <v>2390</v>
      </c>
      <c r="B1940" t="str">
        <f t="shared" si="30"/>
        <v>CM1200000881</v>
      </c>
      <c r="C1940" t="s">
        <v>225</v>
      </c>
      <c r="D1940" t="s">
        <v>77</v>
      </c>
      <c r="E1940" t="s">
        <v>82</v>
      </c>
      <c r="F1940">
        <v>10000</v>
      </c>
      <c r="G1940" s="13">
        <v>43922.5</v>
      </c>
      <c r="H1940" s="13">
        <v>44106</v>
      </c>
      <c r="I1940">
        <v>9417</v>
      </c>
      <c r="J1940">
        <v>583</v>
      </c>
      <c r="K1940">
        <v>10000</v>
      </c>
      <c r="N1940">
        <v>23.809523809523807</v>
      </c>
      <c r="O1940">
        <v>2.46</v>
      </c>
      <c r="P1940">
        <v>185.83</v>
      </c>
      <c r="Q1940">
        <v>3</v>
      </c>
      <c r="R1940">
        <v>2.2999999999999998</v>
      </c>
      <c r="S1940">
        <v>3</v>
      </c>
      <c r="T1940">
        <v>98.75</v>
      </c>
      <c r="W1940" t="s">
        <v>497</v>
      </c>
    </row>
    <row r="1941" spans="1:23" x14ac:dyDescent="0.25">
      <c r="A1941" t="s">
        <v>2391</v>
      </c>
      <c r="B1941" t="str">
        <f t="shared" si="30"/>
        <v>GA1100001146</v>
      </c>
      <c r="C1941" t="s">
        <v>227</v>
      </c>
      <c r="D1941" t="s">
        <v>77</v>
      </c>
      <c r="E1941" t="s">
        <v>78</v>
      </c>
      <c r="F1941">
        <v>12000</v>
      </c>
      <c r="G1941" s="13">
        <v>43922.5</v>
      </c>
      <c r="H1941" s="13">
        <v>44015</v>
      </c>
      <c r="I1941">
        <v>2400</v>
      </c>
      <c r="J1941">
        <v>9600</v>
      </c>
      <c r="K1941">
        <v>12000</v>
      </c>
      <c r="N1941">
        <v>22.222222222222221</v>
      </c>
      <c r="O1941">
        <v>3.92</v>
      </c>
      <c r="P1941">
        <v>197.5</v>
      </c>
      <c r="Q1941">
        <v>4.0999999999999996</v>
      </c>
      <c r="R1941">
        <v>3.75</v>
      </c>
      <c r="S1941">
        <v>4.0999999999999996</v>
      </c>
      <c r="T1941">
        <v>99</v>
      </c>
      <c r="W1941" t="s">
        <v>497</v>
      </c>
    </row>
    <row r="1942" spans="1:23" x14ac:dyDescent="0.25">
      <c r="A1942" t="s">
        <v>2392</v>
      </c>
      <c r="B1942" t="str">
        <f t="shared" si="30"/>
        <v>GQ1300000783</v>
      </c>
      <c r="C1942" t="s">
        <v>528</v>
      </c>
      <c r="D1942" t="s">
        <v>77</v>
      </c>
      <c r="E1942" t="s">
        <v>287</v>
      </c>
      <c r="F1942">
        <v>15000</v>
      </c>
      <c r="G1942" s="13">
        <v>43922.5</v>
      </c>
      <c r="H1942" s="13">
        <v>44288</v>
      </c>
      <c r="I1942">
        <v>14200</v>
      </c>
      <c r="J1942">
        <v>800</v>
      </c>
      <c r="K1942">
        <v>15000</v>
      </c>
      <c r="N1942">
        <v>25</v>
      </c>
      <c r="O1942">
        <v>8.9</v>
      </c>
      <c r="P1942">
        <v>132</v>
      </c>
      <c r="Q1942">
        <v>9.5</v>
      </c>
      <c r="R1942">
        <v>7.45</v>
      </c>
      <c r="S1942">
        <v>9.5</v>
      </c>
      <c r="T1942">
        <v>90.99</v>
      </c>
      <c r="W1942" t="s">
        <v>497</v>
      </c>
    </row>
    <row r="1943" spans="1:23" x14ac:dyDescent="0.25">
      <c r="A1943" t="s">
        <v>2393</v>
      </c>
      <c r="B1943" t="str">
        <f t="shared" si="30"/>
        <v>GA1100001153</v>
      </c>
      <c r="C1943" t="s">
        <v>227</v>
      </c>
      <c r="D1943" t="s">
        <v>77</v>
      </c>
      <c r="E1943" t="s">
        <v>78</v>
      </c>
      <c r="F1943">
        <v>14500</v>
      </c>
      <c r="G1943" s="13">
        <v>43929.5</v>
      </c>
      <c r="H1943" s="13">
        <v>44022</v>
      </c>
      <c r="I1943">
        <v>300</v>
      </c>
      <c r="J1943">
        <v>14200</v>
      </c>
      <c r="K1943">
        <v>14500</v>
      </c>
      <c r="N1943">
        <v>27.777777777777779</v>
      </c>
      <c r="O1943">
        <v>4.18</v>
      </c>
      <c r="P1943">
        <v>116.1379</v>
      </c>
      <c r="Q1943">
        <v>5</v>
      </c>
      <c r="R1943">
        <v>4</v>
      </c>
      <c r="S1943">
        <v>5</v>
      </c>
      <c r="T1943">
        <v>98.94</v>
      </c>
      <c r="W1943" t="s">
        <v>497</v>
      </c>
    </row>
    <row r="1944" spans="1:23" x14ac:dyDescent="0.25">
      <c r="A1944" t="s">
        <v>2394</v>
      </c>
      <c r="B1944" t="str">
        <f t="shared" si="30"/>
        <v>CG1300000086</v>
      </c>
      <c r="C1944" t="s">
        <v>229</v>
      </c>
      <c r="D1944" t="s">
        <v>77</v>
      </c>
      <c r="E1944" t="s">
        <v>287</v>
      </c>
      <c r="F1944">
        <v>10000</v>
      </c>
      <c r="G1944" s="13">
        <v>43936.5</v>
      </c>
      <c r="H1944" s="13">
        <v>44302</v>
      </c>
      <c r="I1944">
        <v>2000</v>
      </c>
      <c r="J1944">
        <v>0</v>
      </c>
      <c r="K1944">
        <v>2000</v>
      </c>
      <c r="N1944">
        <v>8.695652173913043</v>
      </c>
      <c r="O1944">
        <v>5.98</v>
      </c>
      <c r="P1944">
        <v>20.6</v>
      </c>
      <c r="Q1944">
        <v>6</v>
      </c>
      <c r="R1944">
        <v>5.75</v>
      </c>
      <c r="S1944">
        <v>6</v>
      </c>
      <c r="T1944">
        <v>93.94</v>
      </c>
      <c r="W1944" t="s">
        <v>497</v>
      </c>
    </row>
    <row r="1945" spans="1:23" x14ac:dyDescent="0.25">
      <c r="A1945" t="s">
        <v>2395</v>
      </c>
      <c r="B1945" t="str">
        <f t="shared" si="30"/>
        <v>GA1200000998</v>
      </c>
      <c r="C1945" t="s">
        <v>227</v>
      </c>
      <c r="D1945" t="s">
        <v>77</v>
      </c>
      <c r="E1945" t="s">
        <v>82</v>
      </c>
      <c r="F1945">
        <v>15000</v>
      </c>
      <c r="G1945" s="13">
        <v>43936.5</v>
      </c>
      <c r="H1945" s="13">
        <v>44120</v>
      </c>
      <c r="I1945">
        <v>3000</v>
      </c>
      <c r="J1945">
        <v>11775</v>
      </c>
      <c r="K1945">
        <v>14775</v>
      </c>
      <c r="N1945">
        <v>0</v>
      </c>
      <c r="O1945">
        <v>4.84</v>
      </c>
      <c r="P1945">
        <v>98.5</v>
      </c>
      <c r="Q1945">
        <v>5.3</v>
      </c>
      <c r="R1945">
        <v>4.0999999999999996</v>
      </c>
      <c r="S1945">
        <v>5.3</v>
      </c>
      <c r="T1945">
        <v>97.54</v>
      </c>
      <c r="W1945" t="s">
        <v>497</v>
      </c>
    </row>
    <row r="1946" spans="1:23" x14ac:dyDescent="0.25">
      <c r="A1946" t="s">
        <v>2396</v>
      </c>
      <c r="B1946" t="str">
        <f t="shared" si="30"/>
        <v>GQ1300000791</v>
      </c>
      <c r="C1946" t="s">
        <v>528</v>
      </c>
      <c r="D1946" t="s">
        <v>77</v>
      </c>
      <c r="E1946" t="s">
        <v>287</v>
      </c>
      <c r="F1946">
        <v>15000</v>
      </c>
      <c r="G1946" s="13">
        <v>43936.5</v>
      </c>
      <c r="H1946" s="13">
        <v>44302</v>
      </c>
      <c r="I1946">
        <v>12000</v>
      </c>
      <c r="J1946">
        <v>100</v>
      </c>
      <c r="K1946">
        <v>12100</v>
      </c>
      <c r="N1946">
        <v>25</v>
      </c>
      <c r="O1946">
        <v>7.93</v>
      </c>
      <c r="P1946">
        <v>80.66</v>
      </c>
      <c r="Q1946">
        <v>8</v>
      </c>
      <c r="R1946">
        <v>6.5</v>
      </c>
      <c r="S1946">
        <v>8</v>
      </c>
      <c r="T1946">
        <v>91.97</v>
      </c>
      <c r="W1946" t="s">
        <v>497</v>
      </c>
    </row>
    <row r="1947" spans="1:23" x14ac:dyDescent="0.25">
      <c r="A1947" t="s">
        <v>2397</v>
      </c>
      <c r="B1947" t="str">
        <f t="shared" ref="B1947:B2010" si="31">MID(A1947,1,12)</f>
        <v>TD1200000800</v>
      </c>
      <c r="C1947" t="s">
        <v>237</v>
      </c>
      <c r="D1947" t="s">
        <v>77</v>
      </c>
      <c r="E1947" t="s">
        <v>82</v>
      </c>
      <c r="F1947">
        <v>11120</v>
      </c>
      <c r="G1947" s="13">
        <v>43936.5</v>
      </c>
      <c r="H1947" s="13">
        <v>44120</v>
      </c>
      <c r="I1947">
        <v>6120</v>
      </c>
      <c r="J1947">
        <v>5000</v>
      </c>
      <c r="K1947">
        <v>11120</v>
      </c>
      <c r="N1947">
        <v>0</v>
      </c>
      <c r="O1947">
        <v>6.08</v>
      </c>
      <c r="P1947">
        <v>153.68709999999999</v>
      </c>
      <c r="Q1947">
        <v>6.25</v>
      </c>
      <c r="R1947">
        <v>6</v>
      </c>
      <c r="S1947">
        <v>6.25</v>
      </c>
      <c r="T1947">
        <v>96.92</v>
      </c>
      <c r="W1947" t="s">
        <v>497</v>
      </c>
    </row>
    <row r="1948" spans="1:23" x14ac:dyDescent="0.25">
      <c r="A1948" t="s">
        <v>2398</v>
      </c>
      <c r="B1948" t="str">
        <f t="shared" si="31"/>
        <v>GA1100001161</v>
      </c>
      <c r="C1948" t="s">
        <v>227</v>
      </c>
      <c r="D1948" t="s">
        <v>77</v>
      </c>
      <c r="E1948" t="s">
        <v>78</v>
      </c>
      <c r="F1948">
        <v>15000</v>
      </c>
      <c r="G1948" s="13">
        <v>43943.5</v>
      </c>
      <c r="H1948" s="13">
        <v>44036</v>
      </c>
      <c r="I1948">
        <v>3000</v>
      </c>
      <c r="J1948">
        <v>10852</v>
      </c>
      <c r="K1948">
        <v>13852</v>
      </c>
      <c r="N1948">
        <v>16.666666666666664</v>
      </c>
      <c r="O1948">
        <v>4.8099999999999996</v>
      </c>
      <c r="P1948">
        <v>93.013300000000001</v>
      </c>
      <c r="Q1948">
        <v>5</v>
      </c>
      <c r="R1948">
        <v>4.0999999999999996</v>
      </c>
      <c r="S1948">
        <v>5</v>
      </c>
      <c r="T1948">
        <v>98.78</v>
      </c>
      <c r="W1948" t="s">
        <v>497</v>
      </c>
    </row>
    <row r="1949" spans="1:23" x14ac:dyDescent="0.25">
      <c r="A1949" t="s">
        <v>2399</v>
      </c>
      <c r="B1949" t="str">
        <f t="shared" si="31"/>
        <v>GA1100001179</v>
      </c>
      <c r="C1949" t="s">
        <v>227</v>
      </c>
      <c r="D1949" t="s">
        <v>77</v>
      </c>
      <c r="E1949" t="s">
        <v>78</v>
      </c>
      <c r="F1949">
        <v>15000</v>
      </c>
      <c r="G1949" s="13">
        <v>43950.5</v>
      </c>
      <c r="H1949" s="13">
        <v>44043</v>
      </c>
      <c r="I1949">
        <v>7740</v>
      </c>
      <c r="J1949">
        <v>7260</v>
      </c>
      <c r="K1949">
        <v>15000</v>
      </c>
      <c r="N1949">
        <v>27.777777777777779</v>
      </c>
      <c r="O1949">
        <v>4.62</v>
      </c>
      <c r="P1949">
        <v>174.9333</v>
      </c>
      <c r="Q1949">
        <v>5</v>
      </c>
      <c r="R1949">
        <v>4.2</v>
      </c>
      <c r="S1949">
        <v>5</v>
      </c>
      <c r="T1949">
        <v>98.82</v>
      </c>
      <c r="W1949" t="s">
        <v>497</v>
      </c>
    </row>
    <row r="1950" spans="1:23" x14ac:dyDescent="0.25">
      <c r="A1950" t="s">
        <v>2400</v>
      </c>
      <c r="B1950" t="str">
        <f t="shared" si="31"/>
        <v>CM1200000899</v>
      </c>
      <c r="C1950" t="s">
        <v>225</v>
      </c>
      <c r="D1950" t="s">
        <v>77</v>
      </c>
      <c r="E1950" t="s">
        <v>82</v>
      </c>
      <c r="F1950">
        <v>20000</v>
      </c>
      <c r="G1950" s="13">
        <v>43957.5</v>
      </c>
      <c r="H1950" s="13">
        <v>44141</v>
      </c>
      <c r="I1950">
        <v>12600</v>
      </c>
      <c r="J1950">
        <v>7400</v>
      </c>
      <c r="K1950">
        <v>20000</v>
      </c>
      <c r="N1950">
        <v>33.333333333333329</v>
      </c>
      <c r="O1950">
        <v>2.62</v>
      </c>
      <c r="P1950">
        <v>174.5</v>
      </c>
      <c r="Q1950">
        <v>2.75</v>
      </c>
      <c r="R1950">
        <v>2.5</v>
      </c>
      <c r="S1950">
        <v>2.75</v>
      </c>
      <c r="T1950">
        <v>98.67</v>
      </c>
      <c r="W1950" t="s">
        <v>497</v>
      </c>
    </row>
    <row r="1951" spans="1:23" x14ac:dyDescent="0.25">
      <c r="A1951" t="s">
        <v>2401</v>
      </c>
      <c r="B1951" t="str">
        <f t="shared" si="31"/>
        <v>GQ1300000809</v>
      </c>
      <c r="C1951" t="s">
        <v>528</v>
      </c>
      <c r="D1951" t="s">
        <v>77</v>
      </c>
      <c r="E1951" t="s">
        <v>287</v>
      </c>
      <c r="F1951">
        <v>15000</v>
      </c>
      <c r="G1951" s="13">
        <v>43957.5</v>
      </c>
      <c r="H1951" s="13">
        <v>44323</v>
      </c>
      <c r="I1951">
        <v>10000</v>
      </c>
      <c r="J1951">
        <v>200</v>
      </c>
      <c r="K1951">
        <v>10200</v>
      </c>
      <c r="N1951">
        <v>33.333333333333329</v>
      </c>
      <c r="O1951">
        <v>7.99</v>
      </c>
      <c r="P1951">
        <v>104.66670000000001</v>
      </c>
      <c r="Q1951">
        <v>8.5</v>
      </c>
      <c r="R1951">
        <v>6.5</v>
      </c>
      <c r="S1951">
        <v>8.5</v>
      </c>
      <c r="T1951">
        <v>91.91</v>
      </c>
      <c r="W1951" t="s">
        <v>497</v>
      </c>
    </row>
    <row r="1952" spans="1:23" x14ac:dyDescent="0.25">
      <c r="A1952" t="s">
        <v>2402</v>
      </c>
      <c r="B1952" t="str">
        <f t="shared" si="31"/>
        <v>CM1200000907</v>
      </c>
      <c r="C1952" t="s">
        <v>225</v>
      </c>
      <c r="D1952" t="s">
        <v>77</v>
      </c>
      <c r="E1952" t="s">
        <v>82</v>
      </c>
      <c r="F1952">
        <v>20000</v>
      </c>
      <c r="G1952" s="13">
        <v>43964.5</v>
      </c>
      <c r="H1952" s="13">
        <v>44148</v>
      </c>
      <c r="I1952">
        <v>15000</v>
      </c>
      <c r="J1952">
        <v>4500</v>
      </c>
      <c r="K1952">
        <v>19500</v>
      </c>
      <c r="N1952">
        <v>38.095238095238095</v>
      </c>
      <c r="O1952">
        <v>2.68</v>
      </c>
      <c r="P1952">
        <v>125</v>
      </c>
      <c r="Q1952">
        <v>3</v>
      </c>
      <c r="R1952">
        <v>2.39</v>
      </c>
      <c r="S1952">
        <v>3</v>
      </c>
      <c r="T1952">
        <v>98.64</v>
      </c>
      <c r="W1952" t="s">
        <v>497</v>
      </c>
    </row>
    <row r="1953" spans="1:23" x14ac:dyDescent="0.25">
      <c r="A1953" t="s">
        <v>2403</v>
      </c>
      <c r="B1953" t="str">
        <f t="shared" si="31"/>
        <v>GA1200001004</v>
      </c>
      <c r="C1953" t="s">
        <v>227</v>
      </c>
      <c r="D1953" t="s">
        <v>77</v>
      </c>
      <c r="E1953" t="s">
        <v>287</v>
      </c>
      <c r="F1953">
        <v>14000</v>
      </c>
      <c r="G1953" s="13">
        <v>43964.5</v>
      </c>
      <c r="H1953" s="13">
        <v>44148</v>
      </c>
      <c r="I1953">
        <v>0</v>
      </c>
      <c r="J1953">
        <v>14000</v>
      </c>
      <c r="K1953">
        <v>14000</v>
      </c>
      <c r="N1953">
        <v>0</v>
      </c>
      <c r="O1953">
        <v>4.6900000000000004</v>
      </c>
      <c r="P1953">
        <v>213.32140000000001</v>
      </c>
      <c r="Q1953">
        <v>5</v>
      </c>
      <c r="R1953">
        <v>4.0999999999999996</v>
      </c>
      <c r="S1953">
        <v>5</v>
      </c>
      <c r="T1953">
        <v>97.62</v>
      </c>
      <c r="W1953" t="s">
        <v>497</v>
      </c>
    </row>
    <row r="1954" spans="1:23" x14ac:dyDescent="0.25">
      <c r="A1954" t="s">
        <v>2404</v>
      </c>
      <c r="B1954" t="str">
        <f t="shared" si="31"/>
        <v>TD1200000818</v>
      </c>
      <c r="C1954" t="s">
        <v>237</v>
      </c>
      <c r="D1954" t="s">
        <v>77</v>
      </c>
      <c r="E1954" t="s">
        <v>82</v>
      </c>
      <c r="F1954">
        <v>18225</v>
      </c>
      <c r="G1954" s="13">
        <v>43964.5</v>
      </c>
      <c r="H1954" s="13">
        <v>44148</v>
      </c>
      <c r="I1954">
        <v>11280</v>
      </c>
      <c r="J1954">
        <v>6945</v>
      </c>
      <c r="K1954">
        <v>18225</v>
      </c>
      <c r="N1954">
        <v>0</v>
      </c>
      <c r="O1954">
        <v>6.14</v>
      </c>
      <c r="P1954">
        <v>107.53360000000001</v>
      </c>
      <c r="Q1954">
        <v>6.5</v>
      </c>
      <c r="R1954">
        <v>5.75</v>
      </c>
      <c r="S1954">
        <v>6.5</v>
      </c>
      <c r="T1954">
        <v>96.89</v>
      </c>
      <c r="W1954" t="s">
        <v>497</v>
      </c>
    </row>
    <row r="1955" spans="1:23" x14ac:dyDescent="0.25">
      <c r="A1955" t="s">
        <v>2405</v>
      </c>
      <c r="B1955" t="str">
        <f t="shared" si="31"/>
        <v>CF1200000377</v>
      </c>
      <c r="C1955" t="s">
        <v>2406</v>
      </c>
      <c r="D1955" t="s">
        <v>77</v>
      </c>
      <c r="E1955" t="s">
        <v>82</v>
      </c>
      <c r="F1955">
        <v>4000</v>
      </c>
      <c r="G1955" s="13">
        <v>43971.5</v>
      </c>
      <c r="H1955" s="13">
        <v>44155</v>
      </c>
      <c r="I1955">
        <v>4000</v>
      </c>
      <c r="J1955">
        <v>0</v>
      </c>
      <c r="K1955">
        <v>4000</v>
      </c>
      <c r="N1955">
        <v>44.444444444444443</v>
      </c>
      <c r="O1955">
        <v>5.25</v>
      </c>
      <c r="P1955">
        <v>100</v>
      </c>
      <c r="Q1955">
        <v>5.5</v>
      </c>
      <c r="R1955">
        <v>5</v>
      </c>
      <c r="S1955">
        <v>5.5</v>
      </c>
      <c r="T1955">
        <v>97.34</v>
      </c>
      <c r="W1955" t="s">
        <v>497</v>
      </c>
    </row>
    <row r="1956" spans="1:23" x14ac:dyDescent="0.25">
      <c r="A1956" t="s">
        <v>2407</v>
      </c>
      <c r="B1956" t="str">
        <f t="shared" si="31"/>
        <v>CG1200000327</v>
      </c>
      <c r="C1956" t="s">
        <v>229</v>
      </c>
      <c r="D1956" t="s">
        <v>77</v>
      </c>
      <c r="E1956" t="s">
        <v>82</v>
      </c>
      <c r="F1956">
        <v>10000</v>
      </c>
      <c r="G1956" s="13">
        <v>43971.5</v>
      </c>
      <c r="H1956" s="13">
        <v>44155</v>
      </c>
      <c r="I1956">
        <v>6552</v>
      </c>
      <c r="J1956">
        <v>3448</v>
      </c>
      <c r="K1956">
        <v>10000</v>
      </c>
      <c r="N1956">
        <v>17.391304347826086</v>
      </c>
      <c r="O1956">
        <v>6</v>
      </c>
      <c r="P1956">
        <v>162</v>
      </c>
      <c r="Q1956">
        <v>6</v>
      </c>
      <c r="R1956">
        <v>6</v>
      </c>
      <c r="S1956">
        <v>6</v>
      </c>
      <c r="T1956">
        <v>96.96</v>
      </c>
      <c r="W1956" t="s">
        <v>497</v>
      </c>
    </row>
    <row r="1957" spans="1:23" x14ac:dyDescent="0.25">
      <c r="A1957" t="s">
        <v>2408</v>
      </c>
      <c r="B1957" t="str">
        <f t="shared" si="31"/>
        <v>GA1100001187</v>
      </c>
      <c r="C1957" t="s">
        <v>227</v>
      </c>
      <c r="D1957" t="s">
        <v>77</v>
      </c>
      <c r="E1957" t="s">
        <v>78</v>
      </c>
      <c r="F1957">
        <v>15000</v>
      </c>
      <c r="G1957" s="13">
        <v>43971.5</v>
      </c>
      <c r="H1957" s="13">
        <v>44064</v>
      </c>
      <c r="I1957">
        <v>3065</v>
      </c>
      <c r="J1957">
        <v>11935</v>
      </c>
      <c r="K1957">
        <v>15000</v>
      </c>
      <c r="N1957">
        <v>38.888888888888893</v>
      </c>
      <c r="O1957">
        <v>4.7699999999999996</v>
      </c>
      <c r="P1957">
        <v>210</v>
      </c>
      <c r="Q1957">
        <v>5</v>
      </c>
      <c r="R1957">
        <v>4.45</v>
      </c>
      <c r="S1957">
        <v>5</v>
      </c>
      <c r="T1957">
        <v>98.79</v>
      </c>
      <c r="W1957" t="s">
        <v>497</v>
      </c>
    </row>
    <row r="1958" spans="1:23" x14ac:dyDescent="0.25">
      <c r="A1958" t="s">
        <v>2409</v>
      </c>
      <c r="B1958" t="str">
        <f t="shared" si="31"/>
        <v>TD1200000826</v>
      </c>
      <c r="C1958" t="s">
        <v>237</v>
      </c>
      <c r="D1958" t="s">
        <v>77</v>
      </c>
      <c r="E1958" t="s">
        <v>82</v>
      </c>
      <c r="F1958">
        <v>15893</v>
      </c>
      <c r="G1958" s="13">
        <v>43971.5</v>
      </c>
      <c r="H1958" s="13">
        <v>44155</v>
      </c>
      <c r="I1958">
        <v>5200</v>
      </c>
      <c r="J1958">
        <v>10693</v>
      </c>
      <c r="K1958">
        <v>15893</v>
      </c>
      <c r="N1958">
        <v>0</v>
      </c>
      <c r="O1958">
        <v>6.37</v>
      </c>
      <c r="P1958">
        <v>100</v>
      </c>
      <c r="Q1958">
        <v>6.5</v>
      </c>
      <c r="R1958">
        <v>6</v>
      </c>
      <c r="S1958">
        <v>6.5</v>
      </c>
      <c r="T1958">
        <v>96.77</v>
      </c>
      <c r="W1958" t="s">
        <v>497</v>
      </c>
    </row>
    <row r="1959" spans="1:23" x14ac:dyDescent="0.25">
      <c r="A1959" t="s">
        <v>2410</v>
      </c>
      <c r="B1959" t="str">
        <f t="shared" si="31"/>
        <v>GA1100001195</v>
      </c>
      <c r="C1959" t="s">
        <v>227</v>
      </c>
      <c r="D1959" t="s">
        <v>77</v>
      </c>
      <c r="E1959" t="s">
        <v>78</v>
      </c>
      <c r="F1959">
        <v>14500</v>
      </c>
      <c r="G1959" s="13">
        <v>43978.5</v>
      </c>
      <c r="H1959" s="13">
        <v>44071</v>
      </c>
      <c r="I1959">
        <v>265</v>
      </c>
      <c r="J1959">
        <v>14235</v>
      </c>
      <c r="K1959">
        <v>14500</v>
      </c>
      <c r="N1959">
        <v>44.444444444444443</v>
      </c>
      <c r="O1959">
        <v>4.74</v>
      </c>
      <c r="P1959">
        <v>280.68970000000002</v>
      </c>
      <c r="Q1959">
        <v>4.75</v>
      </c>
      <c r="R1959">
        <v>4.6500000000000004</v>
      </c>
      <c r="S1959">
        <v>4.75</v>
      </c>
      <c r="T1959">
        <v>98.8</v>
      </c>
      <c r="W1959" t="s">
        <v>497</v>
      </c>
    </row>
    <row r="1960" spans="1:23" x14ac:dyDescent="0.25">
      <c r="A1960" t="s">
        <v>2411</v>
      </c>
      <c r="B1960" t="str">
        <f t="shared" si="31"/>
        <v>CM1300000492</v>
      </c>
      <c r="C1960" t="s">
        <v>225</v>
      </c>
      <c r="D1960" t="s">
        <v>77</v>
      </c>
      <c r="E1960" t="s">
        <v>287</v>
      </c>
      <c r="F1960">
        <v>20000</v>
      </c>
      <c r="G1960" s="13">
        <v>43985.5</v>
      </c>
      <c r="H1960" s="13">
        <v>44351</v>
      </c>
      <c r="I1960">
        <v>17000</v>
      </c>
      <c r="J1960">
        <v>200</v>
      </c>
      <c r="K1960">
        <v>17200</v>
      </c>
      <c r="N1960">
        <v>23.809523809523807</v>
      </c>
      <c r="O1960">
        <v>3.51</v>
      </c>
      <c r="P1960">
        <v>98</v>
      </c>
      <c r="Q1960">
        <v>3.8</v>
      </c>
      <c r="R1960">
        <v>3</v>
      </c>
      <c r="S1960">
        <v>3.8</v>
      </c>
      <c r="T1960">
        <v>96.44</v>
      </c>
      <c r="W1960" t="s">
        <v>497</v>
      </c>
    </row>
    <row r="1961" spans="1:23" x14ac:dyDescent="0.25">
      <c r="A1961" t="s">
        <v>2412</v>
      </c>
      <c r="B1961" t="str">
        <f t="shared" si="31"/>
        <v>TD1200000834</v>
      </c>
      <c r="C1961" t="s">
        <v>237</v>
      </c>
      <c r="D1961" t="s">
        <v>77</v>
      </c>
      <c r="E1961" t="s">
        <v>82</v>
      </c>
      <c r="F1961">
        <v>22780</v>
      </c>
      <c r="G1961" s="13">
        <v>43985.5</v>
      </c>
      <c r="H1961" s="13">
        <v>44169</v>
      </c>
      <c r="I1961">
        <v>17780</v>
      </c>
      <c r="J1961">
        <v>5000</v>
      </c>
      <c r="K1961">
        <v>22780</v>
      </c>
      <c r="N1961">
        <v>0</v>
      </c>
      <c r="O1961">
        <v>6.1</v>
      </c>
      <c r="P1961">
        <v>100</v>
      </c>
      <c r="Q1961">
        <v>6.5</v>
      </c>
      <c r="R1961">
        <v>6</v>
      </c>
      <c r="S1961">
        <v>6.5</v>
      </c>
      <c r="T1961">
        <v>96.91</v>
      </c>
      <c r="W1961" t="s">
        <v>497</v>
      </c>
    </row>
    <row r="1962" spans="1:23" x14ac:dyDescent="0.25">
      <c r="A1962" t="s">
        <v>2413</v>
      </c>
      <c r="B1962" t="str">
        <f t="shared" si="31"/>
        <v>GA1300000385</v>
      </c>
      <c r="C1962" t="s">
        <v>227</v>
      </c>
      <c r="D1962" t="s">
        <v>77</v>
      </c>
      <c r="E1962" t="s">
        <v>287</v>
      </c>
      <c r="F1962">
        <v>12000</v>
      </c>
      <c r="G1962" s="13">
        <v>43985.5</v>
      </c>
      <c r="H1962" s="13">
        <v>44351</v>
      </c>
      <c r="I1962">
        <v>2625</v>
      </c>
      <c r="J1962">
        <v>9375</v>
      </c>
      <c r="K1962">
        <v>12000</v>
      </c>
      <c r="N1962">
        <v>0</v>
      </c>
      <c r="O1962">
        <v>4.6399999999999997</v>
      </c>
      <c r="P1962">
        <v>216.66</v>
      </c>
      <c r="Q1962">
        <v>4.75</v>
      </c>
      <c r="R1962">
        <v>4.5</v>
      </c>
      <c r="S1962">
        <v>4.75</v>
      </c>
      <c r="T1962">
        <v>95.3</v>
      </c>
      <c r="W1962" t="s">
        <v>497</v>
      </c>
    </row>
    <row r="1963" spans="1:23" x14ac:dyDescent="0.25">
      <c r="A1963" t="s">
        <v>2414</v>
      </c>
      <c r="B1963" t="str">
        <f t="shared" si="31"/>
        <v>GA1200001012</v>
      </c>
      <c r="C1963" t="s">
        <v>227</v>
      </c>
      <c r="D1963" t="s">
        <v>77</v>
      </c>
      <c r="E1963" t="s">
        <v>82</v>
      </c>
      <c r="F1963">
        <v>14500</v>
      </c>
      <c r="G1963" s="13">
        <v>43992.5</v>
      </c>
      <c r="H1963" s="13">
        <v>44176</v>
      </c>
      <c r="I1963">
        <v>0</v>
      </c>
      <c r="J1963">
        <v>14500</v>
      </c>
      <c r="K1963">
        <v>14500</v>
      </c>
      <c r="N1963">
        <v>0</v>
      </c>
      <c r="O1963">
        <v>4.4800000000000004</v>
      </c>
      <c r="P1963">
        <v>220.22</v>
      </c>
      <c r="Q1963">
        <v>4.59</v>
      </c>
      <c r="R1963">
        <v>4.25</v>
      </c>
      <c r="S1963">
        <v>4.59</v>
      </c>
      <c r="T1963">
        <v>97.73</v>
      </c>
      <c r="W1963" t="s">
        <v>497</v>
      </c>
    </row>
    <row r="1964" spans="1:23" x14ac:dyDescent="0.25">
      <c r="A1964" t="s">
        <v>2415</v>
      </c>
      <c r="B1964" t="str">
        <f t="shared" si="31"/>
        <v>CG1200000335</v>
      </c>
      <c r="C1964" t="s">
        <v>229</v>
      </c>
      <c r="D1964" t="s">
        <v>77</v>
      </c>
      <c r="E1964" t="s">
        <v>82</v>
      </c>
      <c r="F1964">
        <v>12000</v>
      </c>
      <c r="G1964" s="13">
        <v>43992.5</v>
      </c>
      <c r="H1964" s="13">
        <v>44176</v>
      </c>
      <c r="I1964">
        <v>5545</v>
      </c>
      <c r="J1964">
        <v>6455</v>
      </c>
      <c r="K1964">
        <v>12000</v>
      </c>
      <c r="N1964">
        <v>39.130434782608695</v>
      </c>
      <c r="O1964">
        <v>5.99</v>
      </c>
      <c r="P1964">
        <v>197.49</v>
      </c>
      <c r="Q1964">
        <v>6</v>
      </c>
      <c r="R1964">
        <v>5</v>
      </c>
      <c r="S1964">
        <v>6</v>
      </c>
      <c r="T1964">
        <v>96.97</v>
      </c>
      <c r="W1964" t="s">
        <v>497</v>
      </c>
    </row>
    <row r="1965" spans="1:23" x14ac:dyDescent="0.25">
      <c r="A1965" t="s">
        <v>2416</v>
      </c>
      <c r="B1965" t="str">
        <f t="shared" si="31"/>
        <v>GA1300000393</v>
      </c>
      <c r="C1965" t="s">
        <v>227</v>
      </c>
      <c r="D1965" t="s">
        <v>77</v>
      </c>
      <c r="E1965" t="s">
        <v>287</v>
      </c>
      <c r="F1965">
        <v>15000</v>
      </c>
      <c r="G1965" s="13">
        <v>43999.5</v>
      </c>
      <c r="H1965" s="13">
        <v>44365</v>
      </c>
      <c r="I1965">
        <v>4913</v>
      </c>
      <c r="J1965">
        <v>10087</v>
      </c>
      <c r="K1965">
        <v>15000</v>
      </c>
      <c r="N1965">
        <v>0</v>
      </c>
      <c r="O1965">
        <v>4.41</v>
      </c>
      <c r="P1965">
        <v>240.35</v>
      </c>
      <c r="Q1965">
        <v>4.5</v>
      </c>
      <c r="R1965">
        <v>4.25</v>
      </c>
      <c r="S1965">
        <v>5.5</v>
      </c>
      <c r="T1965">
        <v>95.53</v>
      </c>
      <c r="W1965" t="s">
        <v>497</v>
      </c>
    </row>
    <row r="1966" spans="1:23" x14ac:dyDescent="0.25">
      <c r="A1966" t="s">
        <v>2417</v>
      </c>
      <c r="B1966" t="str">
        <f t="shared" si="31"/>
        <v>TD1200000842</v>
      </c>
      <c r="C1966" t="s">
        <v>237</v>
      </c>
      <c r="D1966" t="s">
        <v>77</v>
      </c>
      <c r="E1966" t="s">
        <v>82</v>
      </c>
      <c r="F1966">
        <v>36380</v>
      </c>
      <c r="G1966" s="13">
        <v>43999.5</v>
      </c>
      <c r="H1966" s="13">
        <v>44183</v>
      </c>
      <c r="I1966">
        <v>31883</v>
      </c>
      <c r="J1966">
        <v>4497</v>
      </c>
      <c r="K1966">
        <v>36380</v>
      </c>
      <c r="N1966">
        <v>0</v>
      </c>
      <c r="O1966">
        <v>6.08</v>
      </c>
      <c r="P1966">
        <v>10.130000000000001</v>
      </c>
      <c r="Q1966">
        <v>6.5</v>
      </c>
      <c r="R1966">
        <v>5.29</v>
      </c>
      <c r="S1966">
        <v>6.5</v>
      </c>
      <c r="T1966">
        <v>96.92</v>
      </c>
      <c r="W1966" t="s">
        <v>497</v>
      </c>
    </row>
    <row r="1967" spans="1:23" x14ac:dyDescent="0.25">
      <c r="A1967" t="s">
        <v>2418</v>
      </c>
      <c r="B1967" t="str">
        <f t="shared" si="31"/>
        <v>CM1200000915</v>
      </c>
      <c r="C1967" t="s">
        <v>225</v>
      </c>
      <c r="D1967" t="s">
        <v>77</v>
      </c>
      <c r="E1967" t="s">
        <v>82</v>
      </c>
      <c r="F1967">
        <v>25000</v>
      </c>
      <c r="G1967" s="13">
        <v>44006.5</v>
      </c>
      <c r="H1967" s="13">
        <v>44190</v>
      </c>
      <c r="I1967">
        <v>25000</v>
      </c>
      <c r="J1967">
        <v>0</v>
      </c>
      <c r="K1967">
        <v>25000</v>
      </c>
      <c r="N1967">
        <v>33.333333333333329</v>
      </c>
      <c r="O1967">
        <v>2.7</v>
      </c>
      <c r="P1967">
        <v>187.2</v>
      </c>
      <c r="Q1967">
        <v>2.85</v>
      </c>
      <c r="R1967">
        <v>2.5</v>
      </c>
      <c r="S1967">
        <v>2.85</v>
      </c>
      <c r="T1967">
        <v>98.63</v>
      </c>
      <c r="W1967" t="s">
        <v>497</v>
      </c>
    </row>
    <row r="1968" spans="1:23" x14ac:dyDescent="0.25">
      <c r="A1968" t="s">
        <v>2419</v>
      </c>
      <c r="B1968" t="str">
        <f t="shared" si="31"/>
        <v>GA1100001203</v>
      </c>
      <c r="C1968" t="s">
        <v>227</v>
      </c>
      <c r="D1968" t="s">
        <v>77</v>
      </c>
      <c r="E1968" t="s">
        <v>78</v>
      </c>
      <c r="F1968">
        <v>14500</v>
      </c>
      <c r="G1968" s="13">
        <v>44006.5</v>
      </c>
      <c r="H1968" s="13">
        <v>44099</v>
      </c>
      <c r="I1968">
        <v>6800</v>
      </c>
      <c r="J1968">
        <v>7700</v>
      </c>
      <c r="K1968">
        <v>14500</v>
      </c>
      <c r="N1968">
        <v>55.555555555555557</v>
      </c>
      <c r="O1968">
        <v>3.89</v>
      </c>
      <c r="P1968">
        <v>306.75</v>
      </c>
      <c r="Q1968">
        <v>4</v>
      </c>
      <c r="R1968">
        <v>3.5</v>
      </c>
      <c r="S1968">
        <v>4</v>
      </c>
      <c r="T1968">
        <v>99.01</v>
      </c>
      <c r="W1968" t="s">
        <v>497</v>
      </c>
    </row>
    <row r="1969" spans="1:23" x14ac:dyDescent="0.25">
      <c r="A1969" t="s">
        <v>2420</v>
      </c>
      <c r="B1969" t="str">
        <f t="shared" si="31"/>
        <v>TD1200000859</v>
      </c>
      <c r="C1969" t="s">
        <v>237</v>
      </c>
      <c r="D1969" t="s">
        <v>77</v>
      </c>
      <c r="E1969" t="s">
        <v>82</v>
      </c>
      <c r="F1969">
        <v>25313</v>
      </c>
      <c r="G1969" s="13">
        <v>44006.5</v>
      </c>
      <c r="H1969" s="13">
        <v>44190</v>
      </c>
      <c r="I1969">
        <v>21516</v>
      </c>
      <c r="J1969">
        <v>0</v>
      </c>
      <c r="K1969">
        <v>21516</v>
      </c>
      <c r="N1969">
        <v>0</v>
      </c>
      <c r="O1969">
        <v>5.75</v>
      </c>
      <c r="P1969">
        <v>84.99</v>
      </c>
      <c r="Q1969">
        <v>5.75</v>
      </c>
      <c r="R1969">
        <v>5.75</v>
      </c>
      <c r="S1969">
        <v>5.75</v>
      </c>
      <c r="T1969">
        <v>97.09</v>
      </c>
      <c r="W1969" t="s">
        <v>497</v>
      </c>
    </row>
    <row r="1970" spans="1:23" x14ac:dyDescent="0.25">
      <c r="A1970" t="s">
        <v>2421</v>
      </c>
      <c r="B1970" t="str">
        <f t="shared" si="31"/>
        <v>GA1100001211</v>
      </c>
      <c r="C1970" t="s">
        <v>227</v>
      </c>
      <c r="D1970" t="s">
        <v>77</v>
      </c>
      <c r="E1970" t="s">
        <v>78</v>
      </c>
      <c r="F1970">
        <v>12000</v>
      </c>
      <c r="G1970" s="13">
        <v>44013</v>
      </c>
      <c r="H1970" s="13">
        <v>44106</v>
      </c>
      <c r="I1970">
        <v>11600</v>
      </c>
      <c r="J1970">
        <v>400</v>
      </c>
      <c r="K1970">
        <v>12000</v>
      </c>
      <c r="N1970">
        <v>33.333333333333329</v>
      </c>
      <c r="O1970">
        <v>3.8342000000000001</v>
      </c>
      <c r="P1970">
        <v>234.2</v>
      </c>
      <c r="Q1970">
        <v>4</v>
      </c>
      <c r="R1970">
        <v>3.75</v>
      </c>
      <c r="S1970">
        <v>4</v>
      </c>
      <c r="T1970">
        <v>99.030807999999993</v>
      </c>
      <c r="W1970" t="s">
        <v>497</v>
      </c>
    </row>
    <row r="1971" spans="1:23" x14ac:dyDescent="0.25">
      <c r="A1971" t="s">
        <v>2422</v>
      </c>
      <c r="B1971" t="str">
        <f t="shared" si="31"/>
        <v>GQ1300000817</v>
      </c>
      <c r="C1971" t="s">
        <v>528</v>
      </c>
      <c r="D1971" t="s">
        <v>77</v>
      </c>
      <c r="E1971" t="s">
        <v>287</v>
      </c>
      <c r="F1971">
        <v>15000</v>
      </c>
      <c r="G1971" s="13">
        <v>44013</v>
      </c>
      <c r="H1971" s="13">
        <v>44379</v>
      </c>
      <c r="I1971">
        <v>4000</v>
      </c>
      <c r="J1971">
        <v>4000</v>
      </c>
      <c r="K1971">
        <v>8000</v>
      </c>
      <c r="N1971">
        <v>16.666666666666664</v>
      </c>
      <c r="O1971">
        <v>8.0250000000000004</v>
      </c>
      <c r="P1971">
        <v>53.332999999999998</v>
      </c>
      <c r="Q1971">
        <v>8.1999999999999993</v>
      </c>
      <c r="R1971">
        <v>8</v>
      </c>
      <c r="S1971">
        <v>8.1999999999999993</v>
      </c>
      <c r="T1971">
        <v>91.885832999999991</v>
      </c>
      <c r="W1971" t="s">
        <v>497</v>
      </c>
    </row>
    <row r="1972" spans="1:23" x14ac:dyDescent="0.25">
      <c r="A1972" t="s">
        <v>2423</v>
      </c>
      <c r="B1972" t="str">
        <f t="shared" si="31"/>
        <v>CM1100000833</v>
      </c>
      <c r="C1972" t="s">
        <v>225</v>
      </c>
      <c r="D1972" t="s">
        <v>77</v>
      </c>
      <c r="E1972" t="s">
        <v>78</v>
      </c>
      <c r="F1972">
        <v>25000</v>
      </c>
      <c r="G1972" s="13">
        <v>44020</v>
      </c>
      <c r="H1972" s="13">
        <v>44113</v>
      </c>
      <c r="I1972">
        <v>15857</v>
      </c>
      <c r="J1972">
        <v>4143</v>
      </c>
      <c r="K1972">
        <v>20000</v>
      </c>
      <c r="N1972">
        <v>33.333333333333329</v>
      </c>
      <c r="O1972">
        <v>2.3462999999999998</v>
      </c>
      <c r="P1972">
        <v>208.24</v>
      </c>
      <c r="Q1972">
        <v>2.4500000000000002</v>
      </c>
      <c r="R1972">
        <v>2.2999999999999998</v>
      </c>
      <c r="S1972">
        <v>2.4500000000000002</v>
      </c>
      <c r="T1972">
        <v>99.40692</v>
      </c>
      <c r="W1972" t="s">
        <v>497</v>
      </c>
    </row>
    <row r="1973" spans="1:23" x14ac:dyDescent="0.25">
      <c r="A1973" t="s">
        <v>2424</v>
      </c>
      <c r="B1973" t="str">
        <f t="shared" si="31"/>
        <v>GA1200001020</v>
      </c>
      <c r="C1973" t="s">
        <v>227</v>
      </c>
      <c r="D1973" t="s">
        <v>77</v>
      </c>
      <c r="E1973" t="s">
        <v>82</v>
      </c>
      <c r="F1973">
        <v>14000</v>
      </c>
      <c r="G1973" s="13">
        <v>44020</v>
      </c>
      <c r="H1973" s="13">
        <v>44204</v>
      </c>
      <c r="I1973">
        <v>10145</v>
      </c>
      <c r="J1973">
        <v>3855</v>
      </c>
      <c r="K1973">
        <v>14000</v>
      </c>
      <c r="N1973">
        <v>0</v>
      </c>
      <c r="O1973">
        <v>4.0191999999999997</v>
      </c>
      <c r="P1973">
        <v>274.45710000000003</v>
      </c>
      <c r="Q1973">
        <v>4.3499999999999996</v>
      </c>
      <c r="R1973">
        <v>3.8</v>
      </c>
      <c r="S1973">
        <v>4.3499999999999996</v>
      </c>
      <c r="T1973">
        <v>97.968074999999999</v>
      </c>
      <c r="W1973" t="s">
        <v>497</v>
      </c>
    </row>
    <row r="1974" spans="1:23" x14ac:dyDescent="0.25">
      <c r="A1974" t="s">
        <v>2425</v>
      </c>
      <c r="B1974" t="str">
        <f t="shared" si="31"/>
        <v>GQ1300000825</v>
      </c>
      <c r="C1974" t="s">
        <v>528</v>
      </c>
      <c r="D1974" t="s">
        <v>77</v>
      </c>
      <c r="E1974" t="s">
        <v>287</v>
      </c>
      <c r="F1974">
        <v>15000</v>
      </c>
      <c r="G1974" s="13">
        <v>44020</v>
      </c>
      <c r="H1974" s="13">
        <v>44386</v>
      </c>
      <c r="I1974">
        <v>4235</v>
      </c>
      <c r="J1974">
        <v>6700</v>
      </c>
      <c r="K1974">
        <v>10935</v>
      </c>
      <c r="N1974">
        <v>33.333333333333329</v>
      </c>
      <c r="O1974">
        <v>7.9008000000000003</v>
      </c>
      <c r="P1974">
        <v>79.566699999999997</v>
      </c>
      <c r="Q1974">
        <v>8</v>
      </c>
      <c r="R1974">
        <v>7</v>
      </c>
      <c r="S1974">
        <v>8</v>
      </c>
      <c r="T1974">
        <v>92.011459000000002</v>
      </c>
      <c r="W1974" t="s">
        <v>497</v>
      </c>
    </row>
    <row r="1975" spans="1:23" x14ac:dyDescent="0.25">
      <c r="A1975" t="s">
        <v>2426</v>
      </c>
      <c r="B1975" t="str">
        <f t="shared" si="31"/>
        <v>TD1200000867</v>
      </c>
      <c r="C1975" t="s">
        <v>237</v>
      </c>
      <c r="D1975" t="s">
        <v>77</v>
      </c>
      <c r="E1975" t="s">
        <v>82</v>
      </c>
      <c r="F1975">
        <v>11391</v>
      </c>
      <c r="G1975" s="13">
        <v>44020</v>
      </c>
      <c r="H1975" s="13">
        <v>44204</v>
      </c>
      <c r="I1975">
        <v>8543</v>
      </c>
      <c r="J1975">
        <v>0</v>
      </c>
      <c r="K1975">
        <v>8543</v>
      </c>
      <c r="N1975">
        <v>0</v>
      </c>
      <c r="O1975">
        <v>6</v>
      </c>
      <c r="P1975">
        <v>74.997799999999998</v>
      </c>
      <c r="Q1975">
        <v>6</v>
      </c>
      <c r="R1975">
        <v>6</v>
      </c>
      <c r="S1975">
        <v>6</v>
      </c>
      <c r="T1975">
        <v>96.966667000000001</v>
      </c>
      <c r="W1975" t="s">
        <v>497</v>
      </c>
    </row>
    <row r="1976" spans="1:23" x14ac:dyDescent="0.25">
      <c r="A1976" t="s">
        <v>2427</v>
      </c>
      <c r="B1976" t="str">
        <f t="shared" si="31"/>
        <v>CM1200000923</v>
      </c>
      <c r="C1976" t="s">
        <v>225</v>
      </c>
      <c r="D1976" t="s">
        <v>77</v>
      </c>
      <c r="E1976" t="s">
        <v>82</v>
      </c>
      <c r="F1976">
        <v>25000</v>
      </c>
      <c r="G1976" s="13">
        <v>44027</v>
      </c>
      <c r="H1976" s="13">
        <v>44211</v>
      </c>
      <c r="I1976">
        <v>14826</v>
      </c>
      <c r="J1976">
        <v>10174</v>
      </c>
      <c r="K1976">
        <v>25000</v>
      </c>
      <c r="N1976">
        <v>47.619047619047613</v>
      </c>
      <c r="O1976">
        <v>2.4954000000000001</v>
      </c>
      <c r="P1976">
        <v>244.24</v>
      </c>
      <c r="Q1976">
        <v>2.6</v>
      </c>
      <c r="R1976">
        <v>2.2999999999999998</v>
      </c>
      <c r="S1976">
        <v>2.6</v>
      </c>
      <c r="T1976">
        <v>98.738437000000005</v>
      </c>
      <c r="W1976" t="s">
        <v>497</v>
      </c>
    </row>
    <row r="1977" spans="1:23" x14ac:dyDescent="0.25">
      <c r="A1977" t="s">
        <v>2428</v>
      </c>
      <c r="B1977" t="str">
        <f t="shared" si="31"/>
        <v>GA1200001038</v>
      </c>
      <c r="C1977" t="s">
        <v>227</v>
      </c>
      <c r="D1977" t="s">
        <v>77</v>
      </c>
      <c r="E1977" t="s">
        <v>82</v>
      </c>
      <c r="F1977">
        <v>15000</v>
      </c>
      <c r="G1977" s="13">
        <v>44027</v>
      </c>
      <c r="H1977" s="13">
        <v>44211</v>
      </c>
      <c r="I1977">
        <v>1290</v>
      </c>
      <c r="J1977">
        <v>13710</v>
      </c>
      <c r="K1977">
        <v>15000</v>
      </c>
      <c r="N1977">
        <v>0</v>
      </c>
      <c r="O1977">
        <v>4.0618999999999996</v>
      </c>
      <c r="P1977">
        <v>245.5333</v>
      </c>
      <c r="Q1977">
        <v>4.25</v>
      </c>
      <c r="R1977">
        <v>3.9</v>
      </c>
      <c r="S1977">
        <v>4.25</v>
      </c>
      <c r="T1977">
        <v>97.946399999999997</v>
      </c>
      <c r="W1977" t="s">
        <v>497</v>
      </c>
    </row>
    <row r="1978" spans="1:23" x14ac:dyDescent="0.25">
      <c r="A1978" t="s">
        <v>2429</v>
      </c>
      <c r="B1978" t="str">
        <f t="shared" si="31"/>
        <v>TD1200000875</v>
      </c>
      <c r="C1978" t="s">
        <v>237</v>
      </c>
      <c r="D1978" t="s">
        <v>77</v>
      </c>
      <c r="E1978" t="s">
        <v>82</v>
      </c>
      <c r="F1978">
        <v>12045</v>
      </c>
      <c r="G1978" s="13">
        <v>44027</v>
      </c>
      <c r="H1978" s="13">
        <v>44211</v>
      </c>
      <c r="I1978">
        <v>12045</v>
      </c>
      <c r="J1978">
        <v>0</v>
      </c>
      <c r="K1978">
        <v>12045</v>
      </c>
      <c r="N1978">
        <v>0</v>
      </c>
      <c r="O1978">
        <v>5.9668000000000001</v>
      </c>
      <c r="P1978">
        <v>126.6086</v>
      </c>
      <c r="Q1978">
        <v>6</v>
      </c>
      <c r="R1978">
        <v>5.9</v>
      </c>
      <c r="S1978">
        <v>6</v>
      </c>
      <c r="T1978">
        <v>96.983456000000004</v>
      </c>
      <c r="W1978" t="s">
        <v>497</v>
      </c>
    </row>
    <row r="1979" spans="1:23" x14ac:dyDescent="0.25">
      <c r="A1979" t="s">
        <v>2430</v>
      </c>
      <c r="B1979" t="str">
        <f t="shared" si="31"/>
        <v>GA1100001229</v>
      </c>
      <c r="C1979" t="s">
        <v>227</v>
      </c>
      <c r="D1979" t="s">
        <v>77</v>
      </c>
      <c r="E1979" t="s">
        <v>78</v>
      </c>
      <c r="F1979">
        <v>15000</v>
      </c>
      <c r="G1979" s="13">
        <v>44034</v>
      </c>
      <c r="H1979" s="13">
        <v>44127</v>
      </c>
      <c r="I1979">
        <v>4944</v>
      </c>
      <c r="J1979">
        <v>10056</v>
      </c>
      <c r="K1979">
        <v>15000</v>
      </c>
      <c r="N1979">
        <v>33.333333333333329</v>
      </c>
      <c r="O1979">
        <v>3.4824999999999999</v>
      </c>
      <c r="P1979">
        <v>184.77330000000001</v>
      </c>
      <c r="Q1979">
        <v>3.8</v>
      </c>
      <c r="R1979">
        <v>3.25</v>
      </c>
      <c r="S1979">
        <v>3.8</v>
      </c>
      <c r="T1979">
        <v>99.119710999999995</v>
      </c>
      <c r="W1979" t="s">
        <v>497</v>
      </c>
    </row>
    <row r="1980" spans="1:23" x14ac:dyDescent="0.25">
      <c r="A1980" t="s">
        <v>2431</v>
      </c>
      <c r="B1980" t="str">
        <f t="shared" si="31"/>
        <v>TD1200000883</v>
      </c>
      <c r="C1980" t="s">
        <v>237</v>
      </c>
      <c r="D1980" t="s">
        <v>77</v>
      </c>
      <c r="E1980" t="s">
        <v>82</v>
      </c>
      <c r="F1980">
        <v>4131</v>
      </c>
      <c r="G1980" s="13">
        <v>44034</v>
      </c>
      <c r="H1980" s="13">
        <v>44218</v>
      </c>
      <c r="I1980">
        <v>4131</v>
      </c>
      <c r="J1980">
        <v>0</v>
      </c>
      <c r="K1980">
        <v>4131</v>
      </c>
      <c r="N1980">
        <v>0</v>
      </c>
      <c r="O1980">
        <v>6</v>
      </c>
      <c r="P1980">
        <v>193.65770000000001</v>
      </c>
      <c r="Q1980">
        <v>6</v>
      </c>
      <c r="R1980">
        <v>6</v>
      </c>
      <c r="S1980">
        <v>6</v>
      </c>
      <c r="T1980">
        <v>96.966667000000001</v>
      </c>
      <c r="W1980" t="s">
        <v>497</v>
      </c>
    </row>
    <row r="1981" spans="1:23" x14ac:dyDescent="0.25">
      <c r="A1981" t="s">
        <v>2432</v>
      </c>
      <c r="B1981" t="str">
        <f t="shared" si="31"/>
        <v>CM1300000500</v>
      </c>
      <c r="C1981" t="s">
        <v>225</v>
      </c>
      <c r="D1981" t="s">
        <v>77</v>
      </c>
      <c r="E1981" t="s">
        <v>287</v>
      </c>
      <c r="F1981">
        <v>15000</v>
      </c>
      <c r="G1981" s="13">
        <v>44041</v>
      </c>
      <c r="H1981" s="13">
        <v>44407</v>
      </c>
      <c r="I1981">
        <v>8000</v>
      </c>
      <c r="J1981">
        <v>7000</v>
      </c>
      <c r="K1981">
        <v>15000</v>
      </c>
      <c r="N1981">
        <v>28.571428571428569</v>
      </c>
      <c r="O1981">
        <v>2.4954000000000001</v>
      </c>
      <c r="P1981">
        <v>329.33</v>
      </c>
      <c r="Q1981">
        <v>2.9</v>
      </c>
      <c r="R1981">
        <v>2.6</v>
      </c>
      <c r="S1981">
        <v>2.9</v>
      </c>
      <c r="T1981">
        <v>97.224500000000006</v>
      </c>
      <c r="W1981" t="s">
        <v>497</v>
      </c>
    </row>
    <row r="1982" spans="1:23" x14ac:dyDescent="0.25">
      <c r="A1982" t="s">
        <v>2433</v>
      </c>
      <c r="B1982" t="str">
        <f t="shared" si="31"/>
        <v>GA1100001237</v>
      </c>
      <c r="C1982" t="s">
        <v>227</v>
      </c>
      <c r="D1982" t="s">
        <v>77</v>
      </c>
      <c r="E1982" t="s">
        <v>78</v>
      </c>
      <c r="F1982">
        <v>15000</v>
      </c>
      <c r="G1982" s="13">
        <v>44041</v>
      </c>
      <c r="H1982" s="13">
        <v>44134</v>
      </c>
      <c r="I1982">
        <v>15000</v>
      </c>
      <c r="J1982">
        <v>0</v>
      </c>
      <c r="K1982">
        <v>15000</v>
      </c>
      <c r="N1982">
        <v>33.333333333333329</v>
      </c>
      <c r="O1982">
        <v>3.375</v>
      </c>
      <c r="P1982">
        <v>266.66669999999999</v>
      </c>
      <c r="Q1982">
        <v>3.5</v>
      </c>
      <c r="R1982">
        <v>3.25</v>
      </c>
      <c r="S1982">
        <v>3.5</v>
      </c>
      <c r="T1982">
        <v>99.146874999999994</v>
      </c>
      <c r="W1982" t="s">
        <v>497</v>
      </c>
    </row>
    <row r="1983" spans="1:23" x14ac:dyDescent="0.25">
      <c r="A1983" t="s">
        <v>2434</v>
      </c>
      <c r="B1983" t="str">
        <f t="shared" si="31"/>
        <v>TD1200000891</v>
      </c>
      <c r="C1983" t="s">
        <v>237</v>
      </c>
      <c r="D1983" t="s">
        <v>77</v>
      </c>
      <c r="E1983" t="s">
        <v>82</v>
      </c>
      <c r="F1983">
        <v>8055</v>
      </c>
      <c r="G1983" s="13">
        <v>44041</v>
      </c>
      <c r="H1983" s="13">
        <v>44225</v>
      </c>
      <c r="I1983">
        <v>5592</v>
      </c>
      <c r="J1983">
        <v>2000</v>
      </c>
      <c r="K1983">
        <v>7592</v>
      </c>
      <c r="N1983">
        <v>0</v>
      </c>
      <c r="O1983">
        <v>6.1317000000000004</v>
      </c>
      <c r="P1983">
        <v>94.251999999999995</v>
      </c>
      <c r="Q1983">
        <v>6.5</v>
      </c>
      <c r="R1983">
        <v>6</v>
      </c>
      <c r="S1983">
        <v>6.5</v>
      </c>
      <c r="T1983">
        <v>96.900075999999999</v>
      </c>
      <c r="W1983" t="s">
        <v>497</v>
      </c>
    </row>
    <row r="1984" spans="1:23" x14ac:dyDescent="0.25">
      <c r="A1984" t="s">
        <v>2435</v>
      </c>
      <c r="B1984" t="str">
        <f t="shared" si="31"/>
        <v>CG1200000343</v>
      </c>
      <c r="C1984" t="s">
        <v>229</v>
      </c>
      <c r="D1984" t="s">
        <v>77</v>
      </c>
      <c r="E1984" t="s">
        <v>82</v>
      </c>
      <c r="F1984">
        <v>13000</v>
      </c>
      <c r="G1984" s="13">
        <v>44048</v>
      </c>
      <c r="H1984" s="13">
        <v>44232</v>
      </c>
      <c r="I1984">
        <v>3163</v>
      </c>
      <c r="J1984">
        <v>9837</v>
      </c>
      <c r="K1984">
        <v>13000</v>
      </c>
      <c r="N1984">
        <v>21.739130434782609</v>
      </c>
      <c r="O1984">
        <v>5.9875999999999996</v>
      </c>
      <c r="P1984">
        <v>110.1769</v>
      </c>
      <c r="Q1984">
        <v>6</v>
      </c>
      <c r="R1984">
        <v>5.85</v>
      </c>
      <c r="S1984">
        <v>6</v>
      </c>
      <c r="T1984">
        <v>96.972920000000002</v>
      </c>
      <c r="W1984" t="s">
        <v>497</v>
      </c>
    </row>
    <row r="1985" spans="1:23" x14ac:dyDescent="0.25">
      <c r="A1985" t="s">
        <v>2436</v>
      </c>
      <c r="B1985" t="str">
        <f t="shared" si="31"/>
        <v>CM1300000518</v>
      </c>
      <c r="C1985" t="s">
        <v>225</v>
      </c>
      <c r="D1985" t="s">
        <v>77</v>
      </c>
      <c r="E1985" t="s">
        <v>287</v>
      </c>
      <c r="F1985">
        <v>15000</v>
      </c>
      <c r="G1985" s="13">
        <v>44048</v>
      </c>
      <c r="H1985" s="13">
        <v>44414</v>
      </c>
      <c r="I1985">
        <v>9000</v>
      </c>
      <c r="J1985">
        <v>6000</v>
      </c>
      <c r="K1985">
        <v>15000</v>
      </c>
      <c r="N1985">
        <v>33.333333333333329</v>
      </c>
      <c r="O1985">
        <v>2.7202999999999999</v>
      </c>
      <c r="P1985">
        <v>246.66669999999999</v>
      </c>
      <c r="Q1985">
        <v>2.8</v>
      </c>
      <c r="R1985">
        <v>2.6</v>
      </c>
      <c r="S1985">
        <v>2.8</v>
      </c>
      <c r="T1985">
        <v>97.249441000000004</v>
      </c>
      <c r="W1985" t="s">
        <v>497</v>
      </c>
    </row>
    <row r="1986" spans="1:23" x14ac:dyDescent="0.25">
      <c r="A1986" t="s">
        <v>2437</v>
      </c>
      <c r="B1986" t="str">
        <f t="shared" si="31"/>
        <v>GA1200001046</v>
      </c>
      <c r="C1986" t="s">
        <v>227</v>
      </c>
      <c r="D1986" t="s">
        <v>77</v>
      </c>
      <c r="E1986" t="s">
        <v>82</v>
      </c>
      <c r="F1986">
        <v>12500</v>
      </c>
      <c r="G1986" s="13">
        <v>44048</v>
      </c>
      <c r="H1986" s="13">
        <v>44232</v>
      </c>
      <c r="I1986">
        <v>5513</v>
      </c>
      <c r="J1986">
        <v>6987</v>
      </c>
      <c r="K1986">
        <v>12500</v>
      </c>
      <c r="N1986">
        <v>0</v>
      </c>
      <c r="O1986">
        <v>3.7450000000000001</v>
      </c>
      <c r="P1986">
        <v>235.52</v>
      </c>
      <c r="Q1986">
        <v>3.95</v>
      </c>
      <c r="R1986">
        <v>3.25</v>
      </c>
      <c r="S1986">
        <v>3.95</v>
      </c>
      <c r="T1986">
        <v>98.106715000000008</v>
      </c>
      <c r="W1986" t="s">
        <v>497</v>
      </c>
    </row>
    <row r="1987" spans="1:23" x14ac:dyDescent="0.25">
      <c r="A1987" t="s">
        <v>2438</v>
      </c>
      <c r="B1987" t="str">
        <f t="shared" si="31"/>
        <v>GQ1300000833</v>
      </c>
      <c r="C1987" t="s">
        <v>528</v>
      </c>
      <c r="D1987" t="s">
        <v>77</v>
      </c>
      <c r="E1987" t="s">
        <v>287</v>
      </c>
      <c r="F1987">
        <v>15000</v>
      </c>
      <c r="G1987" s="13">
        <v>44048</v>
      </c>
      <c r="H1987" s="13">
        <v>44415</v>
      </c>
      <c r="I1987">
        <v>6287</v>
      </c>
      <c r="J1987">
        <v>8713</v>
      </c>
      <c r="K1987">
        <v>15000</v>
      </c>
      <c r="N1987">
        <v>41.666666666666671</v>
      </c>
      <c r="O1987">
        <v>7.9580000000000002</v>
      </c>
      <c r="P1987">
        <v>217.5333</v>
      </c>
      <c r="Q1987">
        <v>8</v>
      </c>
      <c r="R1987">
        <v>7</v>
      </c>
      <c r="S1987">
        <v>8</v>
      </c>
      <c r="T1987">
        <v>91.953578000000007</v>
      </c>
      <c r="W1987" t="s">
        <v>497</v>
      </c>
    </row>
    <row r="1988" spans="1:23" x14ac:dyDescent="0.25">
      <c r="A1988" t="s">
        <v>2439</v>
      </c>
      <c r="B1988" t="str">
        <f t="shared" si="31"/>
        <v>TD1200000909</v>
      </c>
      <c r="C1988" t="s">
        <v>237</v>
      </c>
      <c r="D1988" t="s">
        <v>77</v>
      </c>
      <c r="E1988" t="s">
        <v>82</v>
      </c>
      <c r="F1988">
        <v>8262</v>
      </c>
      <c r="G1988" s="13">
        <v>44048</v>
      </c>
      <c r="H1988" s="13">
        <v>44232</v>
      </c>
      <c r="I1988">
        <v>8262</v>
      </c>
      <c r="J1988">
        <v>0</v>
      </c>
      <c r="K1988">
        <v>8262</v>
      </c>
      <c r="N1988">
        <v>0</v>
      </c>
      <c r="O1988">
        <v>6</v>
      </c>
      <c r="P1988">
        <v>119.8257</v>
      </c>
      <c r="Q1988">
        <v>6</v>
      </c>
      <c r="R1988">
        <v>6</v>
      </c>
      <c r="S1988">
        <v>6</v>
      </c>
      <c r="T1988">
        <v>96.966667000000001</v>
      </c>
      <c r="W1988" t="s">
        <v>497</v>
      </c>
    </row>
    <row r="1989" spans="1:23" x14ac:dyDescent="0.25">
      <c r="A1989" t="s">
        <v>2440</v>
      </c>
      <c r="B1989" t="str">
        <f t="shared" si="31"/>
        <v>CG1200000350</v>
      </c>
      <c r="C1989" t="s">
        <v>229</v>
      </c>
      <c r="D1989" t="s">
        <v>77</v>
      </c>
      <c r="E1989" t="s">
        <v>82</v>
      </c>
      <c r="F1989">
        <v>15000</v>
      </c>
      <c r="G1989" s="13">
        <v>44055</v>
      </c>
      <c r="H1989" s="13">
        <v>44239</v>
      </c>
      <c r="I1989">
        <v>9174</v>
      </c>
      <c r="J1989">
        <v>5826</v>
      </c>
      <c r="K1989">
        <v>15000</v>
      </c>
      <c r="N1989">
        <v>21.739130434782609</v>
      </c>
      <c r="O1989">
        <v>5.9696999999999996</v>
      </c>
      <c r="P1989">
        <v>113.33329999999999</v>
      </c>
      <c r="Q1989">
        <v>6</v>
      </c>
      <c r="R1989">
        <v>5.9</v>
      </c>
      <c r="S1989">
        <v>6</v>
      </c>
      <c r="T1989">
        <v>96.981968000000009</v>
      </c>
      <c r="W1989" t="s">
        <v>497</v>
      </c>
    </row>
    <row r="1990" spans="1:23" x14ac:dyDescent="0.25">
      <c r="A1990" t="s">
        <v>2441</v>
      </c>
      <c r="B1990" t="str">
        <f t="shared" si="31"/>
        <v>CM1200000931</v>
      </c>
      <c r="C1990" t="s">
        <v>225</v>
      </c>
      <c r="D1990" t="s">
        <v>77</v>
      </c>
      <c r="E1990" t="s">
        <v>82</v>
      </c>
      <c r="F1990">
        <v>30000</v>
      </c>
      <c r="G1990" s="13">
        <v>44055</v>
      </c>
      <c r="H1990" s="13">
        <v>44239</v>
      </c>
      <c r="I1990">
        <v>28686</v>
      </c>
      <c r="J1990">
        <v>1314</v>
      </c>
      <c r="K1990">
        <v>30000</v>
      </c>
      <c r="N1990">
        <v>42.857142857142854</v>
      </c>
      <c r="O1990">
        <v>2.4758</v>
      </c>
      <c r="P1990">
        <v>158.26669999999999</v>
      </c>
      <c r="Q1990">
        <v>2.6</v>
      </c>
      <c r="R1990">
        <v>2.4</v>
      </c>
      <c r="S1990">
        <v>2.6</v>
      </c>
      <c r="T1990">
        <v>98.748328999999998</v>
      </c>
      <c r="W1990" t="s">
        <v>497</v>
      </c>
    </row>
    <row r="1991" spans="1:23" x14ac:dyDescent="0.25">
      <c r="A1991" t="s">
        <v>2442</v>
      </c>
      <c r="B1991" t="str">
        <f t="shared" si="31"/>
        <v>GA1200001053</v>
      </c>
      <c r="C1991" t="s">
        <v>227</v>
      </c>
      <c r="D1991" t="s">
        <v>77</v>
      </c>
      <c r="E1991" t="s">
        <v>82</v>
      </c>
      <c r="F1991">
        <v>12000</v>
      </c>
      <c r="G1991" s="13">
        <v>44055</v>
      </c>
      <c r="H1991" s="13">
        <v>44239</v>
      </c>
      <c r="I1991">
        <v>4487</v>
      </c>
      <c r="J1991">
        <v>7513</v>
      </c>
      <c r="K1991">
        <v>12000</v>
      </c>
      <c r="N1991">
        <v>0</v>
      </c>
      <c r="O1991">
        <v>3.7543000000000002</v>
      </c>
      <c r="P1991">
        <v>133.64169999999999</v>
      </c>
      <c r="Q1991">
        <v>3.9</v>
      </c>
      <c r="R1991">
        <v>3.5</v>
      </c>
      <c r="S1991">
        <v>3.9</v>
      </c>
      <c r="T1991">
        <v>98.102005000000005</v>
      </c>
      <c r="W1991" t="s">
        <v>497</v>
      </c>
    </row>
    <row r="1992" spans="1:23" x14ac:dyDescent="0.25">
      <c r="A1992" t="s">
        <v>2443</v>
      </c>
      <c r="B1992" t="str">
        <f t="shared" si="31"/>
        <v>GA1100001245</v>
      </c>
      <c r="C1992" t="s">
        <v>227</v>
      </c>
      <c r="D1992" t="s">
        <v>77</v>
      </c>
      <c r="E1992" t="s">
        <v>78</v>
      </c>
      <c r="F1992">
        <v>15000</v>
      </c>
      <c r="G1992" s="13">
        <v>44062</v>
      </c>
      <c r="H1992" s="13">
        <v>44155</v>
      </c>
      <c r="I1992">
        <v>8600</v>
      </c>
      <c r="J1992">
        <v>6150</v>
      </c>
      <c r="K1992">
        <v>14750</v>
      </c>
      <c r="N1992">
        <v>50</v>
      </c>
      <c r="O1992">
        <v>3.6212</v>
      </c>
      <c r="P1992">
        <v>100.64</v>
      </c>
      <c r="Q1992">
        <v>3.8</v>
      </c>
      <c r="R1992">
        <v>3.25</v>
      </c>
      <c r="S1992">
        <v>3.8</v>
      </c>
      <c r="T1992">
        <v>99.084599999999995</v>
      </c>
      <c r="W1992" t="s">
        <v>497</v>
      </c>
    </row>
    <row r="1993" spans="1:23" x14ac:dyDescent="0.25">
      <c r="A1993" t="s">
        <v>2444</v>
      </c>
      <c r="B1993" t="str">
        <f t="shared" si="31"/>
        <v>TD1200000917</v>
      </c>
      <c r="C1993" t="s">
        <v>237</v>
      </c>
      <c r="D1993" t="s">
        <v>77</v>
      </c>
      <c r="E1993" t="s">
        <v>82</v>
      </c>
      <c r="F1993">
        <v>7020</v>
      </c>
      <c r="G1993" s="13">
        <v>44062</v>
      </c>
      <c r="H1993" s="13">
        <v>44246</v>
      </c>
      <c r="I1993">
        <v>7020</v>
      </c>
      <c r="J1993">
        <v>0</v>
      </c>
      <c r="K1993">
        <v>7020</v>
      </c>
      <c r="N1993">
        <v>0</v>
      </c>
      <c r="O1993">
        <v>5.7739000000000003</v>
      </c>
      <c r="P1993">
        <v>134.40170000000001</v>
      </c>
      <c r="Q1993">
        <v>6</v>
      </c>
      <c r="R1993">
        <v>5.75</v>
      </c>
      <c r="S1993">
        <v>6</v>
      </c>
      <c r="T1993">
        <v>97.0809</v>
      </c>
      <c r="W1993" t="s">
        <v>497</v>
      </c>
    </row>
    <row r="1994" spans="1:23" x14ac:dyDescent="0.25">
      <c r="A1994" t="s">
        <v>2445</v>
      </c>
      <c r="B1994" t="str">
        <f t="shared" si="31"/>
        <v>TD1200000925</v>
      </c>
      <c r="C1994" t="s">
        <v>237</v>
      </c>
      <c r="D1994" t="s">
        <v>77</v>
      </c>
      <c r="E1994" t="s">
        <v>82</v>
      </c>
      <c r="F1994">
        <v>16111</v>
      </c>
      <c r="G1994" s="13">
        <v>44069</v>
      </c>
      <c r="H1994" s="13">
        <v>44253</v>
      </c>
      <c r="I1994">
        <v>3929</v>
      </c>
      <c r="J1994">
        <v>12182</v>
      </c>
      <c r="K1994">
        <v>16111</v>
      </c>
      <c r="N1994">
        <v>0</v>
      </c>
      <c r="O1994">
        <v>6.4223999999999997</v>
      </c>
      <c r="P1994">
        <v>100</v>
      </c>
      <c r="Q1994">
        <v>6.5</v>
      </c>
      <c r="R1994">
        <v>6.1820000000000004</v>
      </c>
      <c r="S1994">
        <v>6.5</v>
      </c>
      <c r="T1994">
        <v>96.75</v>
      </c>
      <c r="W1994" t="s">
        <v>497</v>
      </c>
    </row>
    <row r="1995" spans="1:23" x14ac:dyDescent="0.25">
      <c r="A1995" t="s">
        <v>2446</v>
      </c>
      <c r="B1995" t="str">
        <f t="shared" si="31"/>
        <v>GA1200001061</v>
      </c>
      <c r="C1995" t="s">
        <v>227</v>
      </c>
      <c r="D1995" t="s">
        <v>77</v>
      </c>
      <c r="E1995" t="s">
        <v>82</v>
      </c>
      <c r="F1995">
        <v>14000</v>
      </c>
      <c r="G1995" s="13">
        <v>44069</v>
      </c>
      <c r="H1995" s="13">
        <v>44253</v>
      </c>
      <c r="I1995">
        <v>6000</v>
      </c>
      <c r="J1995">
        <v>2746</v>
      </c>
      <c r="K1995">
        <v>8746</v>
      </c>
      <c r="N1995">
        <v>0</v>
      </c>
      <c r="O1995">
        <v>3.9119999999999999</v>
      </c>
      <c r="P1995">
        <v>63.185699999999997</v>
      </c>
      <c r="Q1995">
        <v>4.25</v>
      </c>
      <c r="R1995">
        <v>3.75</v>
      </c>
      <c r="S1995">
        <v>4.25</v>
      </c>
      <c r="T1995">
        <v>98.022000000000006</v>
      </c>
      <c r="W1995" t="s">
        <v>497</v>
      </c>
    </row>
    <row r="1996" spans="1:23" x14ac:dyDescent="0.25">
      <c r="A1996" t="s">
        <v>2447</v>
      </c>
      <c r="B1996" t="str">
        <f t="shared" si="31"/>
        <v>GQ1300000841</v>
      </c>
      <c r="C1996" t="s">
        <v>528</v>
      </c>
      <c r="D1996" t="s">
        <v>77</v>
      </c>
      <c r="E1996" t="s">
        <v>287</v>
      </c>
      <c r="F1996">
        <v>15000</v>
      </c>
      <c r="G1996" s="13">
        <v>44069</v>
      </c>
      <c r="H1996" s="13">
        <v>44435</v>
      </c>
      <c r="I1996">
        <v>12000</v>
      </c>
      <c r="J1996">
        <v>3000</v>
      </c>
      <c r="K1996">
        <v>15000</v>
      </c>
      <c r="N1996">
        <v>33.333333333333329</v>
      </c>
      <c r="O1996">
        <v>7.6623000000000001</v>
      </c>
      <c r="P1996">
        <v>133.53229999999999</v>
      </c>
      <c r="Q1996">
        <v>8.5</v>
      </c>
      <c r="R1996">
        <v>7</v>
      </c>
      <c r="S1996">
        <v>8.5</v>
      </c>
      <c r="T1996">
        <v>92.252499999999998</v>
      </c>
      <c r="W1996" t="s">
        <v>497</v>
      </c>
    </row>
    <row r="1997" spans="1:23" x14ac:dyDescent="0.25">
      <c r="A1997" t="s">
        <v>2448</v>
      </c>
      <c r="B1997" t="str">
        <f t="shared" si="31"/>
        <v>CM1200000949</v>
      </c>
      <c r="C1997" t="s">
        <v>225</v>
      </c>
      <c r="D1997" t="s">
        <v>77</v>
      </c>
      <c r="E1997" t="s">
        <v>82</v>
      </c>
      <c r="F1997">
        <v>20000</v>
      </c>
      <c r="G1997" s="13">
        <v>44076</v>
      </c>
      <c r="H1997" s="13">
        <v>44260</v>
      </c>
      <c r="I1997">
        <v>20000</v>
      </c>
      <c r="J1997">
        <v>0</v>
      </c>
      <c r="K1997">
        <v>20000</v>
      </c>
      <c r="N1997">
        <v>42.857142857142854</v>
      </c>
      <c r="O1997">
        <v>2.3188</v>
      </c>
      <c r="P1997">
        <v>283</v>
      </c>
      <c r="Q1997">
        <v>2.4</v>
      </c>
      <c r="R1997">
        <v>2.2000000000000002</v>
      </c>
      <c r="S1997">
        <v>2.4</v>
      </c>
      <c r="T1997">
        <v>98.83</v>
      </c>
      <c r="W1997" t="s">
        <v>497</v>
      </c>
    </row>
    <row r="1998" spans="1:23" x14ac:dyDescent="0.25">
      <c r="A1998" t="s">
        <v>2449</v>
      </c>
      <c r="B1998" t="str">
        <f t="shared" si="31"/>
        <v>GA1100001252</v>
      </c>
      <c r="C1998" t="s">
        <v>227</v>
      </c>
      <c r="D1998" t="s">
        <v>77</v>
      </c>
      <c r="E1998" t="s">
        <v>78</v>
      </c>
      <c r="F1998">
        <v>17500</v>
      </c>
      <c r="G1998" s="13">
        <v>44076</v>
      </c>
      <c r="H1998" s="13">
        <v>44169</v>
      </c>
      <c r="I1998">
        <v>9000</v>
      </c>
      <c r="J1998">
        <v>8500</v>
      </c>
      <c r="K1998">
        <v>17500</v>
      </c>
      <c r="N1998">
        <v>38.888888888888893</v>
      </c>
      <c r="O1998">
        <v>3.81</v>
      </c>
      <c r="P1998">
        <v>154.28569999999999</v>
      </c>
      <c r="Q1998">
        <v>4.25</v>
      </c>
      <c r="R1998">
        <v>3.6</v>
      </c>
      <c r="S1998">
        <v>4.25</v>
      </c>
      <c r="T1998">
        <v>99.036900000000003</v>
      </c>
      <c r="W1998" t="s">
        <v>497</v>
      </c>
    </row>
    <row r="1999" spans="1:23" x14ac:dyDescent="0.25">
      <c r="A1999" t="s">
        <v>2450</v>
      </c>
      <c r="B1999" t="str">
        <f t="shared" si="31"/>
        <v>GQ1300000858</v>
      </c>
      <c r="C1999" t="s">
        <v>528</v>
      </c>
      <c r="D1999" t="s">
        <v>77</v>
      </c>
      <c r="E1999" t="s">
        <v>287</v>
      </c>
      <c r="F1999">
        <v>20000</v>
      </c>
      <c r="G1999" s="13">
        <v>44076</v>
      </c>
      <c r="H1999" s="13">
        <v>44442</v>
      </c>
      <c r="I1999">
        <v>4000</v>
      </c>
      <c r="J1999">
        <v>11000</v>
      </c>
      <c r="K1999">
        <v>15000</v>
      </c>
      <c r="N1999">
        <v>33.333333333333329</v>
      </c>
      <c r="O1999">
        <v>7.9767000000000001</v>
      </c>
      <c r="P1999">
        <v>80</v>
      </c>
      <c r="Q1999">
        <v>8.5</v>
      </c>
      <c r="R1999">
        <v>7.6</v>
      </c>
      <c r="S1999">
        <v>8.5</v>
      </c>
      <c r="T1999">
        <v>91.934700000000007</v>
      </c>
      <c r="W1999" t="s">
        <v>497</v>
      </c>
    </row>
    <row r="2000" spans="1:23" x14ac:dyDescent="0.25">
      <c r="A2000" t="s">
        <v>2451</v>
      </c>
      <c r="B2000" t="str">
        <f t="shared" si="31"/>
        <v>TD1200000933</v>
      </c>
      <c r="C2000" t="s">
        <v>237</v>
      </c>
      <c r="D2000" t="s">
        <v>77</v>
      </c>
      <c r="E2000" t="s">
        <v>82</v>
      </c>
      <c r="F2000">
        <v>13090</v>
      </c>
      <c r="G2000" s="13">
        <v>44076</v>
      </c>
      <c r="H2000" s="13">
        <v>44260</v>
      </c>
      <c r="I2000">
        <v>3825</v>
      </c>
      <c r="J2000">
        <v>9265</v>
      </c>
      <c r="K2000">
        <v>13090</v>
      </c>
      <c r="N2000">
        <v>0</v>
      </c>
      <c r="O2000">
        <v>6.0617000000000001</v>
      </c>
      <c r="P2000">
        <v>130.55770000000001</v>
      </c>
      <c r="Q2000">
        <v>6.5</v>
      </c>
      <c r="R2000">
        <v>5</v>
      </c>
      <c r="S2000">
        <v>6.5</v>
      </c>
      <c r="T2000">
        <v>96.935479999999998</v>
      </c>
      <c r="W2000" t="s">
        <v>497</v>
      </c>
    </row>
    <row r="2001" spans="1:23" x14ac:dyDescent="0.25">
      <c r="A2001" t="s">
        <v>2452</v>
      </c>
      <c r="B2001" t="str">
        <f t="shared" si="31"/>
        <v>GA1200001079</v>
      </c>
      <c r="C2001" t="s">
        <v>227</v>
      </c>
      <c r="D2001" t="s">
        <v>77</v>
      </c>
      <c r="E2001" t="s">
        <v>82</v>
      </c>
      <c r="F2001">
        <v>14000</v>
      </c>
      <c r="G2001" s="13">
        <v>44083</v>
      </c>
      <c r="H2001" s="13">
        <v>44267</v>
      </c>
      <c r="I2001">
        <v>14000</v>
      </c>
      <c r="J2001" t="s">
        <v>285</v>
      </c>
      <c r="K2001">
        <v>14000</v>
      </c>
      <c r="N2001">
        <v>0</v>
      </c>
      <c r="O2001">
        <v>4.1679000000000004</v>
      </c>
      <c r="P2001">
        <v>160</v>
      </c>
      <c r="Q2001">
        <v>4.75</v>
      </c>
      <c r="R2001">
        <v>3.9</v>
      </c>
      <c r="S2001">
        <v>4.75</v>
      </c>
      <c r="T2001">
        <v>97.892916999999997</v>
      </c>
      <c r="W2001" t="s">
        <v>497</v>
      </c>
    </row>
    <row r="2002" spans="1:23" x14ac:dyDescent="0.25">
      <c r="A2002" t="s">
        <v>2453</v>
      </c>
      <c r="B2002" t="str">
        <f t="shared" si="31"/>
        <v>TD1200000941</v>
      </c>
      <c r="C2002" t="s">
        <v>237</v>
      </c>
      <c r="D2002" t="s">
        <v>77</v>
      </c>
      <c r="E2002" t="s">
        <v>82</v>
      </c>
      <c r="F2002">
        <v>27255</v>
      </c>
      <c r="G2002" s="13">
        <v>44083</v>
      </c>
      <c r="H2002" s="13">
        <v>44267</v>
      </c>
      <c r="I2002">
        <v>9544</v>
      </c>
      <c r="J2002">
        <v>16964</v>
      </c>
      <c r="K2002">
        <v>26508</v>
      </c>
      <c r="N2002">
        <v>0</v>
      </c>
      <c r="O2002">
        <v>6.4398</v>
      </c>
      <c r="P2002">
        <v>97.259200000000007</v>
      </c>
      <c r="Q2002">
        <v>6.5</v>
      </c>
      <c r="R2002">
        <v>6</v>
      </c>
      <c r="S2002">
        <v>6.5</v>
      </c>
      <c r="T2002">
        <v>96.744347000000005</v>
      </c>
      <c r="W2002" t="s">
        <v>497</v>
      </c>
    </row>
    <row r="2003" spans="1:23" x14ac:dyDescent="0.25">
      <c r="A2003" t="s">
        <v>2454</v>
      </c>
      <c r="B2003" t="str">
        <f t="shared" si="31"/>
        <v>CF1200000385</v>
      </c>
      <c r="C2003" t="s">
        <v>2406</v>
      </c>
      <c r="D2003" t="s">
        <v>77</v>
      </c>
      <c r="E2003" t="s">
        <v>82</v>
      </c>
      <c r="F2003">
        <v>5500</v>
      </c>
      <c r="G2003" s="13">
        <v>44090</v>
      </c>
      <c r="H2003" s="13">
        <v>44274</v>
      </c>
      <c r="I2003">
        <v>5500</v>
      </c>
      <c r="J2003">
        <v>0</v>
      </c>
      <c r="K2003">
        <v>5500</v>
      </c>
      <c r="N2003">
        <v>44.444444444444443</v>
      </c>
      <c r="O2003">
        <v>5.43</v>
      </c>
      <c r="P2003">
        <v>100</v>
      </c>
      <c r="Q2003">
        <v>5.5</v>
      </c>
      <c r="R2003">
        <v>5.25</v>
      </c>
      <c r="S2003">
        <v>5.5</v>
      </c>
      <c r="T2003">
        <v>97.253900000000002</v>
      </c>
      <c r="W2003" t="s">
        <v>497</v>
      </c>
    </row>
    <row r="2004" spans="1:23" x14ac:dyDescent="0.25">
      <c r="A2004" t="s">
        <v>2455</v>
      </c>
      <c r="B2004" t="str">
        <f t="shared" si="31"/>
        <v>GA1200001087</v>
      </c>
      <c r="C2004" t="s">
        <v>227</v>
      </c>
      <c r="D2004" t="s">
        <v>77</v>
      </c>
      <c r="E2004" t="s">
        <v>82</v>
      </c>
      <c r="F2004">
        <v>15000</v>
      </c>
      <c r="G2004" s="13">
        <v>44090</v>
      </c>
      <c r="H2004" s="13">
        <v>44274</v>
      </c>
      <c r="I2004">
        <v>5000</v>
      </c>
      <c r="J2004">
        <v>10000</v>
      </c>
      <c r="K2004">
        <v>15000</v>
      </c>
      <c r="N2004">
        <v>0</v>
      </c>
      <c r="O2004">
        <v>4.3022999999999998</v>
      </c>
      <c r="P2004">
        <v>139.33330000000001</v>
      </c>
      <c r="Q2004">
        <v>4.45</v>
      </c>
      <c r="R2004">
        <v>4.1500000000000004</v>
      </c>
      <c r="S2004">
        <v>4.45</v>
      </c>
      <c r="T2004">
        <v>97.824931000000007</v>
      </c>
      <c r="W2004" t="s">
        <v>497</v>
      </c>
    </row>
    <row r="2005" spans="1:23" x14ac:dyDescent="0.25">
      <c r="A2005" t="s">
        <v>2456</v>
      </c>
      <c r="B2005" t="str">
        <f t="shared" si="31"/>
        <v>TD1200000958</v>
      </c>
      <c r="C2005" t="s">
        <v>237</v>
      </c>
      <c r="D2005" t="s">
        <v>77</v>
      </c>
      <c r="E2005" t="s">
        <v>82</v>
      </c>
      <c r="F2005">
        <v>25500</v>
      </c>
      <c r="G2005" s="13">
        <v>44090</v>
      </c>
      <c r="H2005" s="13">
        <v>44274</v>
      </c>
      <c r="I2005">
        <v>7825</v>
      </c>
      <c r="J2005">
        <v>17675</v>
      </c>
      <c r="K2005">
        <v>25500</v>
      </c>
      <c r="N2005">
        <v>0</v>
      </c>
      <c r="O2005">
        <v>6.3465999999999996</v>
      </c>
      <c r="P2005">
        <v>126.06270000000001</v>
      </c>
      <c r="Q2005">
        <v>6.5</v>
      </c>
      <c r="R2005">
        <v>6</v>
      </c>
      <c r="S2005">
        <v>6.5</v>
      </c>
      <c r="T2005">
        <v>96.791399999999996</v>
      </c>
      <c r="W2005" t="s">
        <v>497</v>
      </c>
    </row>
    <row r="2006" spans="1:23" x14ac:dyDescent="0.25">
      <c r="A2006" t="s">
        <v>2457</v>
      </c>
      <c r="B2006" t="str">
        <f t="shared" si="31"/>
        <v>GQ1300000866</v>
      </c>
      <c r="C2006" t="s">
        <v>528</v>
      </c>
      <c r="D2006" t="s">
        <v>77</v>
      </c>
      <c r="E2006" t="s">
        <v>287</v>
      </c>
      <c r="F2006">
        <v>30000</v>
      </c>
      <c r="G2006" s="13">
        <v>44097</v>
      </c>
      <c r="H2006" s="13">
        <v>44463</v>
      </c>
      <c r="I2006">
        <v>13000</v>
      </c>
      <c r="J2006">
        <v>10182</v>
      </c>
      <c r="K2006">
        <v>23182</v>
      </c>
      <c r="N2006">
        <v>41.666666666666671</v>
      </c>
      <c r="O2006">
        <v>8.1053999999999995</v>
      </c>
      <c r="P2006">
        <v>77.273300000000006</v>
      </c>
      <c r="Q2006">
        <v>8.6999999999999993</v>
      </c>
      <c r="R2006">
        <v>7.5</v>
      </c>
      <c r="S2006">
        <v>8.6999999999999993</v>
      </c>
      <c r="T2006">
        <v>91.804536999999996</v>
      </c>
      <c r="W2006" t="s">
        <v>497</v>
      </c>
    </row>
    <row r="2007" spans="1:23" x14ac:dyDescent="0.25">
      <c r="A2007" t="s">
        <v>2458</v>
      </c>
      <c r="B2007" t="str">
        <f t="shared" si="31"/>
        <v>CG1100000179</v>
      </c>
      <c r="C2007" t="s">
        <v>229</v>
      </c>
      <c r="D2007" t="s">
        <v>77</v>
      </c>
      <c r="E2007" t="s">
        <v>78</v>
      </c>
      <c r="F2007">
        <v>12000</v>
      </c>
      <c r="G2007" s="13">
        <v>44097</v>
      </c>
      <c r="H2007" s="13">
        <v>44190</v>
      </c>
      <c r="I2007">
        <v>7107</v>
      </c>
      <c r="J2007">
        <v>4893</v>
      </c>
      <c r="K2007">
        <v>12000</v>
      </c>
      <c r="N2007">
        <v>43.478260869565219</v>
      </c>
      <c r="O2007">
        <v>5.2832999999999997</v>
      </c>
      <c r="P2007">
        <v>266.26670000000001</v>
      </c>
      <c r="Q2007">
        <v>5.5</v>
      </c>
      <c r="R2007">
        <v>5</v>
      </c>
      <c r="S2007">
        <v>5.5</v>
      </c>
      <c r="T2007">
        <v>98.664400000000001</v>
      </c>
      <c r="W2007" t="s">
        <v>497</v>
      </c>
    </row>
    <row r="2008" spans="1:23" x14ac:dyDescent="0.25">
      <c r="A2008" t="s">
        <v>2459</v>
      </c>
      <c r="B2008" t="str">
        <f t="shared" si="31"/>
        <v>TD1200000966</v>
      </c>
      <c r="C2008" t="s">
        <v>237</v>
      </c>
      <c r="D2008" t="s">
        <v>77</v>
      </c>
      <c r="E2008" t="s">
        <v>82</v>
      </c>
      <c r="F2008">
        <v>10000</v>
      </c>
      <c r="G2008" s="13">
        <v>44097</v>
      </c>
      <c r="H2008" s="13">
        <v>44281</v>
      </c>
      <c r="I2008">
        <v>0</v>
      </c>
      <c r="J2008">
        <v>10000</v>
      </c>
      <c r="K2008">
        <v>10000</v>
      </c>
      <c r="N2008">
        <v>0</v>
      </c>
      <c r="O2008">
        <v>6.3049999999999997</v>
      </c>
      <c r="P2008">
        <v>110</v>
      </c>
      <c r="Q2008">
        <v>6.5</v>
      </c>
      <c r="R2008">
        <v>5.85</v>
      </c>
      <c r="S2008">
        <v>6.5</v>
      </c>
      <c r="T2008">
        <v>96.812399999999997</v>
      </c>
      <c r="W2008" t="s">
        <v>497</v>
      </c>
    </row>
    <row r="2009" spans="1:23" x14ac:dyDescent="0.25">
      <c r="A2009" t="s">
        <v>2460</v>
      </c>
      <c r="B2009" t="str">
        <f t="shared" si="31"/>
        <v>GA1100001260</v>
      </c>
      <c r="C2009" t="s">
        <v>227</v>
      </c>
      <c r="D2009" t="s">
        <v>77</v>
      </c>
      <c r="E2009" t="s">
        <v>78</v>
      </c>
      <c r="F2009">
        <v>15000</v>
      </c>
      <c r="G2009" s="13">
        <v>44097</v>
      </c>
      <c r="H2009" s="13">
        <v>44190</v>
      </c>
      <c r="I2009">
        <v>11500</v>
      </c>
      <c r="J2009">
        <v>3500</v>
      </c>
      <c r="K2009">
        <v>15000</v>
      </c>
      <c r="N2009">
        <v>27.777777777777779</v>
      </c>
      <c r="O2009">
        <v>3.8679999999999999</v>
      </c>
      <c r="P2009">
        <v>126.2867</v>
      </c>
      <c r="Q2009">
        <v>4.05</v>
      </c>
      <c r="R2009">
        <v>3.5</v>
      </c>
      <c r="S2009">
        <v>4.05</v>
      </c>
      <c r="T2009">
        <v>99.022199999999998</v>
      </c>
      <c r="W2009" t="s">
        <v>497</v>
      </c>
    </row>
    <row r="2010" spans="1:23" x14ac:dyDescent="0.25">
      <c r="A2010" t="s">
        <v>2461</v>
      </c>
      <c r="B2010" t="str">
        <f t="shared" si="31"/>
        <v>CM120000956/</v>
      </c>
      <c r="C2010" t="s">
        <v>225</v>
      </c>
      <c r="D2010" t="s">
        <v>77</v>
      </c>
      <c r="E2010" t="s">
        <v>82</v>
      </c>
      <c r="F2010">
        <v>20000</v>
      </c>
      <c r="G2010" s="13">
        <v>44104</v>
      </c>
      <c r="H2010" s="13">
        <v>44288</v>
      </c>
      <c r="I2010">
        <v>20000</v>
      </c>
      <c r="J2010">
        <v>0</v>
      </c>
      <c r="K2010">
        <v>20000</v>
      </c>
      <c r="N2010">
        <v>28.571428571428569</v>
      </c>
      <c r="O2010">
        <v>2.2366000000000001</v>
      </c>
      <c r="P2010">
        <v>270.5</v>
      </c>
      <c r="Q2010">
        <v>2.29</v>
      </c>
      <c r="R2010">
        <v>2.2000000000000002</v>
      </c>
      <c r="S2010">
        <v>2.29</v>
      </c>
      <c r="T2010">
        <v>98.869248999999996</v>
      </c>
      <c r="W2010" t="s">
        <v>497</v>
      </c>
    </row>
    <row r="2011" spans="1:23" x14ac:dyDescent="0.25">
      <c r="A2011" t="s">
        <v>2462</v>
      </c>
      <c r="B2011" t="str">
        <f t="shared" ref="B2011:B2074" si="32">MID(A2011,1,12)</f>
        <v>CG1200000368</v>
      </c>
      <c r="C2011" t="s">
        <v>229</v>
      </c>
      <c r="D2011" t="s">
        <v>77</v>
      </c>
      <c r="E2011" t="s">
        <v>82</v>
      </c>
      <c r="F2011">
        <v>18000</v>
      </c>
      <c r="G2011" s="13">
        <v>44104</v>
      </c>
      <c r="H2011" s="13">
        <v>44288</v>
      </c>
      <c r="I2011">
        <v>5885</v>
      </c>
      <c r="J2011">
        <v>12115</v>
      </c>
      <c r="K2011">
        <v>18000</v>
      </c>
      <c r="N2011">
        <v>21.739130434782609</v>
      </c>
      <c r="O2011">
        <v>5.1544999999999996</v>
      </c>
      <c r="P2011">
        <v>118.2944</v>
      </c>
      <c r="Q2011">
        <v>5.8</v>
      </c>
      <c r="R2011">
        <v>4.25</v>
      </c>
      <c r="S2011">
        <v>5.8</v>
      </c>
      <c r="T2011">
        <v>97.394114000000002</v>
      </c>
      <c r="W2011" t="s">
        <v>497</v>
      </c>
    </row>
    <row r="2012" spans="1:23" x14ac:dyDescent="0.25">
      <c r="A2012" t="s">
        <v>2463</v>
      </c>
      <c r="B2012" t="str">
        <f t="shared" si="32"/>
        <v>GA1100001278</v>
      </c>
      <c r="C2012" t="s">
        <v>227</v>
      </c>
      <c r="D2012" t="s">
        <v>77</v>
      </c>
      <c r="E2012" t="s">
        <v>78</v>
      </c>
      <c r="F2012">
        <v>12000</v>
      </c>
      <c r="G2012" s="13">
        <v>44104</v>
      </c>
      <c r="H2012" s="13">
        <v>44197</v>
      </c>
      <c r="I2012">
        <v>5000</v>
      </c>
      <c r="J2012">
        <v>6060</v>
      </c>
      <c r="K2012">
        <v>11060</v>
      </c>
      <c r="N2012">
        <v>27.777777777777779</v>
      </c>
      <c r="O2012">
        <v>3.9016999999999999</v>
      </c>
      <c r="P2012">
        <v>92.166700000000006</v>
      </c>
      <c r="Q2012">
        <v>4.05</v>
      </c>
      <c r="R2012">
        <v>3.65</v>
      </c>
      <c r="S2012">
        <v>4.05</v>
      </c>
      <c r="T2012">
        <v>99.137439999999998</v>
      </c>
      <c r="W2012" t="s">
        <v>497</v>
      </c>
    </row>
    <row r="2013" spans="1:23" x14ac:dyDescent="0.25">
      <c r="A2013" t="s">
        <v>2464</v>
      </c>
      <c r="B2013" t="str">
        <f t="shared" si="32"/>
        <v>TD1200000974</v>
      </c>
      <c r="C2013" t="s">
        <v>237</v>
      </c>
      <c r="D2013" t="s">
        <v>77</v>
      </c>
      <c r="E2013" t="s">
        <v>82</v>
      </c>
      <c r="F2013">
        <v>10000</v>
      </c>
      <c r="G2013" s="13">
        <v>44104</v>
      </c>
      <c r="H2013" s="13">
        <v>44288</v>
      </c>
      <c r="I2013">
        <v>0</v>
      </c>
      <c r="J2013">
        <v>10000</v>
      </c>
      <c r="K2013">
        <v>10000</v>
      </c>
      <c r="N2013">
        <v>0</v>
      </c>
      <c r="O2013">
        <v>6.4290000000000003</v>
      </c>
      <c r="P2013">
        <v>154.5</v>
      </c>
      <c r="Q2013">
        <v>6.5</v>
      </c>
      <c r="R2013">
        <v>5.85</v>
      </c>
      <c r="S2013">
        <v>6.5</v>
      </c>
      <c r="T2013">
        <v>96.749782999999994</v>
      </c>
      <c r="W2013" t="s">
        <v>497</v>
      </c>
    </row>
    <row r="2014" spans="1:23" x14ac:dyDescent="0.25">
      <c r="A2014" t="s">
        <v>2465</v>
      </c>
      <c r="B2014" t="str">
        <f t="shared" si="32"/>
        <v>GA1300000401</v>
      </c>
      <c r="C2014" t="s">
        <v>227</v>
      </c>
      <c r="D2014" t="s">
        <v>77</v>
      </c>
      <c r="E2014" t="s">
        <v>287</v>
      </c>
      <c r="F2014">
        <v>11000</v>
      </c>
      <c r="G2014" s="13">
        <v>44111</v>
      </c>
      <c r="H2014" s="13">
        <v>44477</v>
      </c>
      <c r="J2014">
        <v>2700</v>
      </c>
      <c r="K2014">
        <v>2700</v>
      </c>
      <c r="N2014">
        <v>0</v>
      </c>
      <c r="O2014">
        <v>4.5758999999999999</v>
      </c>
      <c r="P2014">
        <v>25.818200000000001</v>
      </c>
      <c r="Q2014">
        <v>4.6500000000000004</v>
      </c>
      <c r="R2014">
        <v>4.55</v>
      </c>
      <c r="S2014">
        <v>4.6500000000000004</v>
      </c>
      <c r="T2014">
        <v>95.373199999999997</v>
      </c>
      <c r="W2014" t="s">
        <v>497</v>
      </c>
    </row>
    <row r="2015" spans="1:23" x14ac:dyDescent="0.25">
      <c r="A2015" t="s">
        <v>2466</v>
      </c>
      <c r="B2015" t="str">
        <f t="shared" si="32"/>
        <v>GQ1300000874</v>
      </c>
      <c r="C2015" t="s">
        <v>528</v>
      </c>
      <c r="D2015" t="s">
        <v>77</v>
      </c>
      <c r="E2015" t="s">
        <v>287</v>
      </c>
      <c r="F2015">
        <v>30000</v>
      </c>
      <c r="G2015" s="13">
        <v>44111</v>
      </c>
      <c r="H2015" s="13">
        <v>44477</v>
      </c>
      <c r="I2015">
        <v>21350</v>
      </c>
      <c r="J2015">
        <v>4100</v>
      </c>
      <c r="K2015">
        <v>25450</v>
      </c>
      <c r="N2015">
        <v>33.333333333333329</v>
      </c>
      <c r="O2015">
        <v>9.0579999999999998</v>
      </c>
      <c r="P2015">
        <v>84.833299999999994</v>
      </c>
      <c r="Q2015">
        <v>9.5</v>
      </c>
      <c r="R2015">
        <v>8</v>
      </c>
      <c r="S2015">
        <v>9.5</v>
      </c>
      <c r="T2015">
        <v>90.841398999999996</v>
      </c>
      <c r="W2015" t="s">
        <v>497</v>
      </c>
    </row>
    <row r="2016" spans="1:23" x14ac:dyDescent="0.25">
      <c r="A2016" t="s">
        <v>2467</v>
      </c>
      <c r="B2016" t="str">
        <f t="shared" si="32"/>
        <v>GA1200001095</v>
      </c>
      <c r="C2016" t="s">
        <v>227</v>
      </c>
      <c r="D2016" t="s">
        <v>77</v>
      </c>
      <c r="E2016" t="s">
        <v>82</v>
      </c>
      <c r="F2016">
        <v>16000</v>
      </c>
      <c r="G2016" s="13">
        <v>44118</v>
      </c>
      <c r="H2016" s="13">
        <v>44302</v>
      </c>
      <c r="I2016">
        <v>8000</v>
      </c>
      <c r="J2016">
        <v>8000</v>
      </c>
      <c r="K2016">
        <v>16000</v>
      </c>
      <c r="N2016">
        <v>0</v>
      </c>
      <c r="O2016">
        <v>4.0533000000000001</v>
      </c>
      <c r="P2016">
        <v>197.75</v>
      </c>
      <c r="Q2016">
        <v>4.3</v>
      </c>
      <c r="R2016">
        <v>4</v>
      </c>
      <c r="S2016">
        <v>4.3</v>
      </c>
      <c r="T2016">
        <v>97.950824999999995</v>
      </c>
      <c r="W2016" t="s">
        <v>497</v>
      </c>
    </row>
    <row r="2017" spans="1:23" x14ac:dyDescent="0.25">
      <c r="A2017" t="s">
        <v>2468</v>
      </c>
      <c r="B2017" t="str">
        <f t="shared" si="32"/>
        <v>GQ1300000882</v>
      </c>
      <c r="C2017" t="s">
        <v>528</v>
      </c>
      <c r="D2017" t="s">
        <v>77</v>
      </c>
      <c r="E2017" t="s">
        <v>287</v>
      </c>
      <c r="F2017">
        <v>15000</v>
      </c>
      <c r="G2017" s="13">
        <v>44118</v>
      </c>
      <c r="H2017" s="13">
        <v>44484</v>
      </c>
      <c r="J2017">
        <v>8200</v>
      </c>
      <c r="K2017">
        <v>8200</v>
      </c>
      <c r="N2017">
        <v>25</v>
      </c>
      <c r="O2017">
        <v>8.7469999999999999</v>
      </c>
      <c r="P2017">
        <v>55.333300000000001</v>
      </c>
      <c r="Q2017">
        <v>9.5</v>
      </c>
      <c r="R2017">
        <v>8.15</v>
      </c>
      <c r="S2017">
        <v>9.5</v>
      </c>
      <c r="T2017">
        <v>91.155860000000004</v>
      </c>
      <c r="W2017" t="s">
        <v>497</v>
      </c>
    </row>
    <row r="2018" spans="1:23" x14ac:dyDescent="0.25">
      <c r="A2018" t="s">
        <v>2469</v>
      </c>
      <c r="B2018" t="str">
        <f t="shared" si="32"/>
        <v>TD1200000982</v>
      </c>
      <c r="C2018" t="s">
        <v>237</v>
      </c>
      <c r="D2018" t="s">
        <v>77</v>
      </c>
      <c r="E2018" t="s">
        <v>82</v>
      </c>
      <c r="F2018">
        <v>11120</v>
      </c>
      <c r="G2018" s="13">
        <v>44118</v>
      </c>
      <c r="H2018" s="13">
        <v>44302</v>
      </c>
      <c r="I2018">
        <v>6809</v>
      </c>
      <c r="J2018">
        <v>4311</v>
      </c>
      <c r="K2018">
        <v>11120</v>
      </c>
      <c r="N2018">
        <v>0</v>
      </c>
      <c r="O2018">
        <v>6.3681999999999999</v>
      </c>
      <c r="P2018">
        <v>111.1601</v>
      </c>
      <c r="Q2018">
        <v>6.5</v>
      </c>
      <c r="R2018">
        <v>6</v>
      </c>
      <c r="S2018">
        <v>6.5</v>
      </c>
      <c r="T2018">
        <v>96.780500000000004</v>
      </c>
      <c r="W2018" t="s">
        <v>497</v>
      </c>
    </row>
    <row r="2019" spans="1:23" x14ac:dyDescent="0.25">
      <c r="A2019" t="s">
        <v>2470</v>
      </c>
      <c r="B2019" t="str">
        <f t="shared" si="32"/>
        <v>GA1100001286</v>
      </c>
      <c r="C2019" t="s">
        <v>227</v>
      </c>
      <c r="D2019" t="s">
        <v>77</v>
      </c>
      <c r="E2019" t="s">
        <v>78</v>
      </c>
      <c r="F2019">
        <v>15000</v>
      </c>
      <c r="G2019" s="13">
        <v>44125</v>
      </c>
      <c r="H2019" s="13">
        <v>44218</v>
      </c>
      <c r="I2019">
        <v>9208</v>
      </c>
      <c r="J2019">
        <v>5792</v>
      </c>
      <c r="K2019">
        <v>15000</v>
      </c>
      <c r="N2019">
        <v>22.222222222222221</v>
      </c>
      <c r="O2019">
        <v>3.9232999999999998</v>
      </c>
      <c r="P2019">
        <v>121.66670000000001</v>
      </c>
      <c r="Q2019">
        <v>4</v>
      </c>
      <c r="R2019">
        <v>3.8</v>
      </c>
      <c r="S2019">
        <v>4</v>
      </c>
      <c r="T2019">
        <v>99.008200000000002</v>
      </c>
      <c r="W2019" t="s">
        <v>497</v>
      </c>
    </row>
    <row r="2020" spans="1:23" x14ac:dyDescent="0.25">
      <c r="A2020" t="s">
        <v>2471</v>
      </c>
      <c r="B2020" t="str">
        <f t="shared" si="32"/>
        <v>CG1200000376</v>
      </c>
      <c r="C2020" t="s">
        <v>229</v>
      </c>
      <c r="D2020" t="s">
        <v>77</v>
      </c>
      <c r="E2020" t="s">
        <v>82</v>
      </c>
      <c r="F2020">
        <v>20000</v>
      </c>
      <c r="G2020" s="13">
        <v>44125</v>
      </c>
      <c r="H2020" s="13">
        <v>44309</v>
      </c>
      <c r="I2020">
        <v>4018</v>
      </c>
      <c r="J2020">
        <v>5560</v>
      </c>
      <c r="K2020">
        <v>9578</v>
      </c>
      <c r="N2020">
        <v>17.391304347826086</v>
      </c>
      <c r="O2020">
        <v>5.5682</v>
      </c>
      <c r="P2020">
        <v>47.89</v>
      </c>
      <c r="Q2020">
        <v>6.25</v>
      </c>
      <c r="R2020">
        <v>4.8</v>
      </c>
      <c r="S2020">
        <v>6.25</v>
      </c>
      <c r="T2020">
        <v>97.184899999999999</v>
      </c>
      <c r="W2020" t="s">
        <v>497</v>
      </c>
    </row>
    <row r="2021" spans="1:23" x14ac:dyDescent="0.25">
      <c r="A2021" t="s">
        <v>2472</v>
      </c>
      <c r="B2021" t="str">
        <f t="shared" si="32"/>
        <v>TD1200000990</v>
      </c>
      <c r="C2021" t="s">
        <v>237</v>
      </c>
      <c r="D2021" t="s">
        <v>77</v>
      </c>
      <c r="E2021" t="s">
        <v>82</v>
      </c>
      <c r="F2021">
        <v>15000</v>
      </c>
      <c r="G2021" s="13">
        <v>44132</v>
      </c>
      <c r="H2021" s="13">
        <v>44316</v>
      </c>
      <c r="J2021">
        <v>13500</v>
      </c>
      <c r="K2021">
        <v>13500</v>
      </c>
      <c r="N2021">
        <v>0</v>
      </c>
      <c r="O2021">
        <v>6.5</v>
      </c>
      <c r="P2021">
        <v>90</v>
      </c>
      <c r="Q2021">
        <v>6.5</v>
      </c>
      <c r="R2021">
        <v>6.5</v>
      </c>
      <c r="S2021">
        <v>6.5</v>
      </c>
      <c r="T2021">
        <v>96.713800000000006</v>
      </c>
      <c r="W2021" t="s">
        <v>497</v>
      </c>
    </row>
    <row r="2022" spans="1:23" x14ac:dyDescent="0.25">
      <c r="A2022" t="s">
        <v>2473</v>
      </c>
      <c r="B2022" t="str">
        <f t="shared" si="32"/>
        <v>GQ1300000890</v>
      </c>
      <c r="C2022" t="s">
        <v>528</v>
      </c>
      <c r="D2022" t="s">
        <v>77</v>
      </c>
      <c r="E2022" t="s">
        <v>287</v>
      </c>
      <c r="F2022">
        <v>20000</v>
      </c>
      <c r="G2022" s="13">
        <v>44132</v>
      </c>
      <c r="H2022" s="13">
        <v>44498</v>
      </c>
      <c r="I2022">
        <v>2500</v>
      </c>
      <c r="J2022">
        <v>100</v>
      </c>
      <c r="K2022">
        <v>2600</v>
      </c>
      <c r="N2022">
        <v>25</v>
      </c>
      <c r="O2022">
        <v>7.7308000000000003</v>
      </c>
      <c r="P2022">
        <v>13</v>
      </c>
      <c r="Q2022">
        <v>8</v>
      </c>
      <c r="R2022">
        <v>7.5</v>
      </c>
      <c r="S2022">
        <v>8</v>
      </c>
      <c r="T2022">
        <v>92.183333000000005</v>
      </c>
      <c r="W2022" t="s">
        <v>497</v>
      </c>
    </row>
    <row r="2023" spans="1:23" x14ac:dyDescent="0.25">
      <c r="A2023" t="s">
        <v>2474</v>
      </c>
      <c r="B2023" t="str">
        <f t="shared" si="32"/>
        <v>GA1200001103</v>
      </c>
      <c r="C2023" t="s">
        <v>227</v>
      </c>
      <c r="D2023" t="s">
        <v>77</v>
      </c>
      <c r="E2023" t="s">
        <v>82</v>
      </c>
      <c r="F2023">
        <v>15000</v>
      </c>
      <c r="G2023" s="13">
        <v>44132</v>
      </c>
      <c r="H2023" s="13">
        <v>44316</v>
      </c>
      <c r="I2023">
        <v>2000</v>
      </c>
      <c r="J2023">
        <v>12550</v>
      </c>
      <c r="K2023">
        <v>14550</v>
      </c>
      <c r="N2023">
        <v>0</v>
      </c>
      <c r="O2023">
        <v>4.5002000000000004</v>
      </c>
      <c r="P2023">
        <v>97.66</v>
      </c>
      <c r="Q2023">
        <v>5</v>
      </c>
      <c r="R2023">
        <v>4.05</v>
      </c>
      <c r="S2023">
        <v>5</v>
      </c>
      <c r="T2023">
        <v>97.722899999999996</v>
      </c>
      <c r="W2023" t="s">
        <v>497</v>
      </c>
    </row>
    <row r="2024" spans="1:23" x14ac:dyDescent="0.25">
      <c r="A2024" t="s">
        <v>2475</v>
      </c>
      <c r="B2024" t="str">
        <f t="shared" si="32"/>
        <v>GA1200001111</v>
      </c>
      <c r="C2024" t="s">
        <v>227</v>
      </c>
      <c r="D2024" t="s">
        <v>77</v>
      </c>
      <c r="E2024" t="s">
        <v>82</v>
      </c>
      <c r="F2024">
        <v>8000</v>
      </c>
      <c r="G2024" s="13">
        <v>44139</v>
      </c>
      <c r="H2024" s="13">
        <v>44323</v>
      </c>
      <c r="I2024">
        <v>2000</v>
      </c>
      <c r="J2024">
        <v>6000</v>
      </c>
      <c r="K2024">
        <v>8000</v>
      </c>
      <c r="N2024">
        <v>0</v>
      </c>
      <c r="O2024">
        <v>4.7847999999999997</v>
      </c>
      <c r="P2024">
        <v>101.9375</v>
      </c>
      <c r="Q2024">
        <v>4.9000000000000004</v>
      </c>
      <c r="R2024">
        <v>4.5</v>
      </c>
      <c r="S2024">
        <v>4.9000000000000004</v>
      </c>
      <c r="T2024">
        <v>97.581042999999994</v>
      </c>
      <c r="W2024" t="s">
        <v>497</v>
      </c>
    </row>
    <row r="2025" spans="1:23" x14ac:dyDescent="0.25">
      <c r="A2025" t="s">
        <v>2476</v>
      </c>
      <c r="B2025" t="str">
        <f t="shared" si="32"/>
        <v>CM120000964/</v>
      </c>
      <c r="C2025" t="s">
        <v>225</v>
      </c>
      <c r="D2025" t="s">
        <v>77</v>
      </c>
      <c r="E2025" t="s">
        <v>82</v>
      </c>
      <c r="F2025">
        <v>25000</v>
      </c>
      <c r="G2025" s="13">
        <v>44146</v>
      </c>
      <c r="H2025" s="13">
        <v>44330</v>
      </c>
      <c r="I2025">
        <v>10835</v>
      </c>
      <c r="J2025">
        <v>14165</v>
      </c>
      <c r="K2025">
        <v>25000</v>
      </c>
      <c r="N2025">
        <v>33.333333333333329</v>
      </c>
      <c r="O2025">
        <v>2.0489999999999999</v>
      </c>
      <c r="P2025">
        <v>259.60000000000002</v>
      </c>
      <c r="Q2025">
        <v>2.15</v>
      </c>
      <c r="R2025">
        <v>1.8</v>
      </c>
      <c r="S2025">
        <v>2.15</v>
      </c>
      <c r="T2025">
        <v>98.964117000000002</v>
      </c>
      <c r="W2025" t="s">
        <v>497</v>
      </c>
    </row>
    <row r="2026" spans="1:23" x14ac:dyDescent="0.25">
      <c r="A2026" t="s">
        <v>2477</v>
      </c>
      <c r="B2026" t="str">
        <f t="shared" si="32"/>
        <v>CF1200000393</v>
      </c>
      <c r="C2026" t="s">
        <v>2406</v>
      </c>
      <c r="D2026" t="s">
        <v>77</v>
      </c>
      <c r="E2026" t="s">
        <v>82</v>
      </c>
      <c r="F2026">
        <v>4000</v>
      </c>
      <c r="G2026" s="13">
        <v>44146</v>
      </c>
      <c r="H2026" s="13">
        <v>44330</v>
      </c>
      <c r="I2026">
        <v>4000</v>
      </c>
      <c r="J2026">
        <v>0</v>
      </c>
      <c r="K2026">
        <v>4000</v>
      </c>
      <c r="N2026">
        <v>33.333333333333329</v>
      </c>
      <c r="O2026">
        <v>5.25</v>
      </c>
      <c r="P2026">
        <v>100</v>
      </c>
      <c r="Q2026">
        <v>5.5</v>
      </c>
      <c r="R2026">
        <v>5</v>
      </c>
      <c r="S2026">
        <v>5.55</v>
      </c>
      <c r="T2026">
        <v>97.345832999999999</v>
      </c>
      <c r="W2026" t="s">
        <v>497</v>
      </c>
    </row>
    <row r="2027" spans="1:23" x14ac:dyDescent="0.25">
      <c r="A2027" t="s">
        <v>2478</v>
      </c>
      <c r="B2027" t="str">
        <f t="shared" si="32"/>
        <v>CG1200000384</v>
      </c>
      <c r="C2027" t="s">
        <v>229</v>
      </c>
      <c r="D2027" t="s">
        <v>77</v>
      </c>
      <c r="E2027" t="s">
        <v>82</v>
      </c>
      <c r="F2027">
        <v>12000</v>
      </c>
      <c r="G2027" s="13">
        <v>44146</v>
      </c>
      <c r="H2027" s="13">
        <v>44330</v>
      </c>
      <c r="I2027">
        <v>3150</v>
      </c>
      <c r="J2027">
        <v>3000</v>
      </c>
      <c r="K2027">
        <v>6150</v>
      </c>
      <c r="N2027">
        <v>21.739130434782609</v>
      </c>
      <c r="O2027">
        <v>6.1199000000000003</v>
      </c>
      <c r="P2027">
        <v>51.25</v>
      </c>
      <c r="Q2027">
        <v>6.25</v>
      </c>
      <c r="R2027">
        <v>5</v>
      </c>
      <c r="S2027">
        <v>6.25</v>
      </c>
      <c r="T2027">
        <v>96.906041000000002</v>
      </c>
      <c r="W2027" t="s">
        <v>497</v>
      </c>
    </row>
    <row r="2028" spans="1:23" x14ac:dyDescent="0.25">
      <c r="A2028" t="s">
        <v>2479</v>
      </c>
      <c r="B2028" t="str">
        <f t="shared" si="32"/>
        <v>GA1200001129</v>
      </c>
      <c r="C2028" t="s">
        <v>227</v>
      </c>
      <c r="D2028" t="s">
        <v>77</v>
      </c>
      <c r="E2028" t="s">
        <v>82</v>
      </c>
      <c r="F2028">
        <v>10000</v>
      </c>
      <c r="G2028" s="13">
        <v>44146</v>
      </c>
      <c r="H2028" s="13">
        <v>44330</v>
      </c>
      <c r="I2028">
        <v>0</v>
      </c>
      <c r="J2028">
        <v>10000</v>
      </c>
      <c r="K2028">
        <v>10000</v>
      </c>
      <c r="N2028">
        <v>0</v>
      </c>
      <c r="O2028">
        <v>4.375</v>
      </c>
      <c r="P2028">
        <v>191.3</v>
      </c>
      <c r="Q2028">
        <v>4.5</v>
      </c>
      <c r="R2028">
        <v>4.25</v>
      </c>
      <c r="S2028">
        <v>4.5</v>
      </c>
      <c r="T2028">
        <v>97.788194000000004</v>
      </c>
      <c r="W2028" t="s">
        <v>497</v>
      </c>
    </row>
    <row r="2029" spans="1:23" x14ac:dyDescent="0.25">
      <c r="A2029" t="s">
        <v>2480</v>
      </c>
      <c r="B2029" t="str">
        <f t="shared" si="32"/>
        <v>GQ1300000908</v>
      </c>
      <c r="C2029" t="s">
        <v>528</v>
      </c>
      <c r="D2029" t="s">
        <v>77</v>
      </c>
      <c r="E2029" t="s">
        <v>287</v>
      </c>
      <c r="F2029">
        <v>20000</v>
      </c>
      <c r="G2029" s="13">
        <v>44146</v>
      </c>
      <c r="H2029" s="13">
        <v>44512</v>
      </c>
      <c r="I2029">
        <v>1000</v>
      </c>
      <c r="J2029">
        <v>10191</v>
      </c>
      <c r="K2029">
        <v>11191</v>
      </c>
      <c r="N2029">
        <v>41.666666666666671</v>
      </c>
      <c r="O2029">
        <v>7.6810999999999998</v>
      </c>
      <c r="P2029">
        <v>55.954999999999998</v>
      </c>
      <c r="Q2029">
        <v>9</v>
      </c>
      <c r="R2029">
        <v>5.65</v>
      </c>
      <c r="S2029">
        <v>9</v>
      </c>
      <c r="T2029">
        <v>92.233525999999998</v>
      </c>
      <c r="W2029" t="s">
        <v>497</v>
      </c>
    </row>
    <row r="2030" spans="1:23" x14ac:dyDescent="0.25">
      <c r="A2030" t="s">
        <v>2481</v>
      </c>
      <c r="B2030" t="str">
        <f t="shared" si="32"/>
        <v>TD1200001006</v>
      </c>
      <c r="C2030" t="s">
        <v>237</v>
      </c>
      <c r="D2030" t="s">
        <v>77</v>
      </c>
      <c r="E2030" t="s">
        <v>82</v>
      </c>
      <c r="F2030">
        <v>18225</v>
      </c>
      <c r="G2030" s="13">
        <v>44146</v>
      </c>
      <c r="H2030" s="13">
        <v>44330</v>
      </c>
      <c r="I2030">
        <v>11272</v>
      </c>
      <c r="J2030">
        <v>6953</v>
      </c>
      <c r="K2030">
        <v>18225</v>
      </c>
      <c r="N2030">
        <v>0</v>
      </c>
      <c r="O2030">
        <v>6.3646000000000003</v>
      </c>
      <c r="P2030">
        <v>100.0823</v>
      </c>
      <c r="Q2030">
        <v>6.5</v>
      </c>
      <c r="R2030">
        <v>5.75</v>
      </c>
      <c r="S2030">
        <v>6.5</v>
      </c>
      <c r="T2030">
        <v>96.782336999999998</v>
      </c>
      <c r="W2030" t="s">
        <v>497</v>
      </c>
    </row>
    <row r="2031" spans="1:23" x14ac:dyDescent="0.25">
      <c r="A2031" t="s">
        <v>2482</v>
      </c>
      <c r="B2031" t="str">
        <f t="shared" si="32"/>
        <v>TD1200001014</v>
      </c>
      <c r="C2031" t="s">
        <v>237</v>
      </c>
      <c r="D2031" t="s">
        <v>77</v>
      </c>
      <c r="E2031" t="s">
        <v>82</v>
      </c>
      <c r="F2031">
        <v>15893</v>
      </c>
      <c r="G2031" s="13">
        <v>44153</v>
      </c>
      <c r="H2031" s="13">
        <v>44337</v>
      </c>
      <c r="I2031">
        <v>5200</v>
      </c>
      <c r="J2031">
        <v>10693</v>
      </c>
      <c r="K2031">
        <v>15893</v>
      </c>
      <c r="N2031">
        <v>0</v>
      </c>
      <c r="O2031">
        <v>6.3788999999999998</v>
      </c>
      <c r="P2031">
        <v>100.3775</v>
      </c>
      <c r="Q2031">
        <v>6.5</v>
      </c>
      <c r="R2031">
        <v>6</v>
      </c>
      <c r="S2031">
        <v>6.5</v>
      </c>
      <c r="T2031">
        <v>96.775122999999994</v>
      </c>
      <c r="W2031" t="s">
        <v>497</v>
      </c>
    </row>
    <row r="2032" spans="1:23" x14ac:dyDescent="0.25">
      <c r="A2032" t="s">
        <v>2483</v>
      </c>
      <c r="B2032" t="str">
        <f t="shared" si="32"/>
        <v>GA1100001294</v>
      </c>
      <c r="C2032" t="s">
        <v>227</v>
      </c>
      <c r="D2032" t="s">
        <v>77</v>
      </c>
      <c r="E2032" t="s">
        <v>78</v>
      </c>
      <c r="F2032">
        <v>15000</v>
      </c>
      <c r="G2032" s="13">
        <v>44153</v>
      </c>
      <c r="H2032" s="13">
        <v>44246</v>
      </c>
      <c r="I2032">
        <v>5500</v>
      </c>
      <c r="J2032">
        <v>9500</v>
      </c>
      <c r="K2032">
        <v>15000</v>
      </c>
      <c r="N2032">
        <v>27.777777777777779</v>
      </c>
      <c r="O2032">
        <v>3.7677</v>
      </c>
      <c r="P2032">
        <v>220.66669999999999</v>
      </c>
      <c r="Q2032">
        <v>3.9</v>
      </c>
      <c r="R2032">
        <v>3.6</v>
      </c>
      <c r="S2032">
        <v>3.9</v>
      </c>
      <c r="T2032">
        <v>99.047618</v>
      </c>
      <c r="W2032" t="s">
        <v>497</v>
      </c>
    </row>
    <row r="2033" spans="1:23" x14ac:dyDescent="0.25">
      <c r="A2033" t="s">
        <v>2484</v>
      </c>
      <c r="B2033" t="str">
        <f t="shared" si="32"/>
        <v>GA1200001137</v>
      </c>
      <c r="C2033" t="s">
        <v>227</v>
      </c>
      <c r="D2033" t="s">
        <v>77</v>
      </c>
      <c r="E2033" t="s">
        <v>82</v>
      </c>
      <c r="F2033">
        <v>10000</v>
      </c>
      <c r="G2033" s="13">
        <v>44160</v>
      </c>
      <c r="H2033" s="13">
        <v>44344</v>
      </c>
      <c r="I2033">
        <v>2788</v>
      </c>
      <c r="J2033">
        <v>7212</v>
      </c>
      <c r="K2033">
        <v>10000</v>
      </c>
      <c r="N2033">
        <v>0</v>
      </c>
      <c r="O2033">
        <v>4</v>
      </c>
      <c r="P2033">
        <v>282</v>
      </c>
      <c r="Q2033">
        <v>4</v>
      </c>
      <c r="R2033">
        <v>4</v>
      </c>
      <c r="S2033">
        <v>4</v>
      </c>
      <c r="T2033">
        <v>97.977778000000001</v>
      </c>
      <c r="W2033" t="s">
        <v>497</v>
      </c>
    </row>
    <row r="2034" spans="1:23" x14ac:dyDescent="0.25">
      <c r="A2034" t="s">
        <v>2485</v>
      </c>
      <c r="B2034" t="str">
        <f t="shared" si="32"/>
        <v>CG1200000392</v>
      </c>
      <c r="C2034" t="s">
        <v>229</v>
      </c>
      <c r="D2034" t="s">
        <v>77</v>
      </c>
      <c r="E2034" t="s">
        <v>82</v>
      </c>
      <c r="F2034">
        <v>12000</v>
      </c>
      <c r="G2034" s="13">
        <v>44160</v>
      </c>
      <c r="H2034" s="13">
        <v>44344</v>
      </c>
      <c r="I2034">
        <v>4692</v>
      </c>
      <c r="J2034">
        <v>3265</v>
      </c>
      <c r="K2034">
        <v>7957</v>
      </c>
      <c r="N2034">
        <v>26.086956521739129</v>
      </c>
      <c r="O2034">
        <v>5.9424999999999999</v>
      </c>
      <c r="P2034">
        <v>66.308300000000003</v>
      </c>
      <c r="Q2034">
        <v>6.3</v>
      </c>
      <c r="R2034">
        <v>5.5</v>
      </c>
      <c r="S2034">
        <v>6.3</v>
      </c>
      <c r="T2034">
        <v>96.995733999999999</v>
      </c>
      <c r="W2034" t="s">
        <v>497</v>
      </c>
    </row>
    <row r="2035" spans="1:23" x14ac:dyDescent="0.25">
      <c r="A2035" t="s">
        <v>2486</v>
      </c>
      <c r="B2035" t="str">
        <f t="shared" si="32"/>
        <v>GQ1300000916</v>
      </c>
      <c r="C2035" t="s">
        <v>528</v>
      </c>
      <c r="D2035" t="s">
        <v>77</v>
      </c>
      <c r="E2035" t="s">
        <v>287</v>
      </c>
      <c r="F2035">
        <v>30000</v>
      </c>
      <c r="G2035" s="13">
        <v>44160</v>
      </c>
      <c r="H2035" s="13">
        <v>44526</v>
      </c>
      <c r="I2035">
        <v>9000</v>
      </c>
      <c r="J2035">
        <v>228</v>
      </c>
      <c r="K2035">
        <v>9228</v>
      </c>
      <c r="N2035">
        <v>33.333333333333329</v>
      </c>
      <c r="O2035">
        <v>7.7657999999999996</v>
      </c>
      <c r="P2035">
        <v>30.76</v>
      </c>
      <c r="Q2035">
        <v>9</v>
      </c>
      <c r="R2035">
        <v>7.5</v>
      </c>
      <c r="S2035">
        <v>9</v>
      </c>
      <c r="T2035">
        <v>92.147891999999999</v>
      </c>
      <c r="W2035" t="s">
        <v>497</v>
      </c>
    </row>
    <row r="2036" spans="1:23" x14ac:dyDescent="0.25">
      <c r="A2036" t="s">
        <v>2487</v>
      </c>
      <c r="B2036" t="str">
        <f t="shared" si="32"/>
        <v>GA1100001302</v>
      </c>
      <c r="C2036" t="s">
        <v>227</v>
      </c>
      <c r="D2036" t="s">
        <v>77</v>
      </c>
      <c r="E2036" t="s">
        <v>78</v>
      </c>
      <c r="F2036">
        <v>10000</v>
      </c>
      <c r="G2036" s="13">
        <v>44167</v>
      </c>
      <c r="H2036" s="13">
        <v>44260</v>
      </c>
      <c r="I2036">
        <v>0</v>
      </c>
      <c r="J2036">
        <v>10000</v>
      </c>
      <c r="K2036">
        <v>10000</v>
      </c>
      <c r="N2036">
        <v>38.888888888888893</v>
      </c>
      <c r="O2036">
        <v>3.58</v>
      </c>
      <c r="P2036">
        <v>348</v>
      </c>
      <c r="Q2036">
        <v>3.7</v>
      </c>
      <c r="R2036">
        <v>3.1</v>
      </c>
      <c r="S2036">
        <v>3.7</v>
      </c>
      <c r="T2036">
        <v>99.095056</v>
      </c>
      <c r="W2036" t="s">
        <v>497</v>
      </c>
    </row>
    <row r="2037" spans="1:23" x14ac:dyDescent="0.25">
      <c r="A2037" t="s">
        <v>2488</v>
      </c>
      <c r="B2037" t="str">
        <f t="shared" si="32"/>
        <v>TD1200001022</v>
      </c>
      <c r="C2037" t="s">
        <v>237</v>
      </c>
      <c r="D2037" t="s">
        <v>77</v>
      </c>
      <c r="E2037" t="s">
        <v>82</v>
      </c>
      <c r="F2037">
        <v>22780</v>
      </c>
      <c r="G2037" s="13">
        <v>44167</v>
      </c>
      <c r="H2037" s="13">
        <v>44351</v>
      </c>
      <c r="I2037">
        <v>13335</v>
      </c>
      <c r="J2037">
        <v>5000</v>
      </c>
      <c r="K2037">
        <v>18335</v>
      </c>
      <c r="N2037">
        <v>0</v>
      </c>
      <c r="O2037">
        <v>6.1364000000000001</v>
      </c>
      <c r="P2037">
        <v>80.48</v>
      </c>
      <c r="Q2037">
        <v>6</v>
      </c>
      <c r="R2037">
        <v>6</v>
      </c>
      <c r="S2037">
        <v>6.5</v>
      </c>
      <c r="T2037">
        <v>96.897734</v>
      </c>
      <c r="W2037" t="s">
        <v>497</v>
      </c>
    </row>
    <row r="2038" spans="1:23" x14ac:dyDescent="0.25">
      <c r="A2038" t="s">
        <v>2489</v>
      </c>
      <c r="B2038" t="str">
        <f t="shared" si="32"/>
        <v>GA1200001145</v>
      </c>
      <c r="C2038" t="s">
        <v>227</v>
      </c>
      <c r="D2038" t="s">
        <v>77</v>
      </c>
      <c r="E2038" t="s">
        <v>82</v>
      </c>
      <c r="F2038">
        <v>15000</v>
      </c>
      <c r="G2038" s="13">
        <v>44174</v>
      </c>
      <c r="H2038" s="13">
        <v>44358</v>
      </c>
      <c r="I2038">
        <v>5600</v>
      </c>
      <c r="J2038">
        <v>4300</v>
      </c>
      <c r="K2038">
        <v>9900</v>
      </c>
      <c r="N2038">
        <v>0</v>
      </c>
      <c r="O2038">
        <v>3.9363999999999999</v>
      </c>
      <c r="P2038">
        <v>66</v>
      </c>
      <c r="Q2038">
        <v>4.3</v>
      </c>
      <c r="R2038">
        <v>3.48</v>
      </c>
      <c r="S2038">
        <v>4.3</v>
      </c>
      <c r="T2038">
        <v>98.089949000000004</v>
      </c>
      <c r="W2038" t="s">
        <v>497</v>
      </c>
    </row>
    <row r="2039" spans="1:23" x14ac:dyDescent="0.25">
      <c r="A2039" t="s">
        <v>2490</v>
      </c>
      <c r="B2039" t="str">
        <f t="shared" si="32"/>
        <v>GQ1300000924</v>
      </c>
      <c r="C2039" t="s">
        <v>528</v>
      </c>
      <c r="D2039" t="s">
        <v>77</v>
      </c>
      <c r="E2039" t="s">
        <v>287</v>
      </c>
      <c r="F2039">
        <v>20000</v>
      </c>
      <c r="G2039" s="13">
        <v>44174</v>
      </c>
      <c r="H2039" s="13">
        <v>44540</v>
      </c>
      <c r="I2039">
        <v>3000</v>
      </c>
      <c r="J2039">
        <v>6809</v>
      </c>
      <c r="K2039">
        <v>9809</v>
      </c>
      <c r="N2039">
        <v>33.333333333333329</v>
      </c>
      <c r="O2039">
        <v>8.4335000000000004</v>
      </c>
      <c r="P2039">
        <v>49.045000000000002</v>
      </c>
      <c r="Q2039">
        <v>8.75</v>
      </c>
      <c r="R2039">
        <v>8</v>
      </c>
      <c r="S2039">
        <v>8.75</v>
      </c>
      <c r="T2039">
        <v>91.472763999999998</v>
      </c>
      <c r="W2039" t="s">
        <v>497</v>
      </c>
    </row>
    <row r="2040" spans="1:23" x14ac:dyDescent="0.25">
      <c r="A2040" t="s">
        <v>2491</v>
      </c>
      <c r="B2040" t="str">
        <f t="shared" si="32"/>
        <v>TD1200001030</v>
      </c>
      <c r="C2040" t="s">
        <v>237</v>
      </c>
      <c r="D2040" t="s">
        <v>77</v>
      </c>
      <c r="E2040" t="s">
        <v>82</v>
      </c>
      <c r="F2040">
        <v>6035</v>
      </c>
      <c r="G2040" s="13">
        <v>44174</v>
      </c>
      <c r="H2040" s="13">
        <v>44358</v>
      </c>
      <c r="I2040">
        <v>3900</v>
      </c>
      <c r="J2040">
        <v>2135</v>
      </c>
      <c r="K2040">
        <v>6035</v>
      </c>
      <c r="N2040">
        <v>0</v>
      </c>
      <c r="O2040">
        <v>6.3384</v>
      </c>
      <c r="P2040">
        <v>139.18809999999999</v>
      </c>
      <c r="Q2040">
        <v>6.5</v>
      </c>
      <c r="R2040">
        <v>6.25</v>
      </c>
      <c r="S2040">
        <v>6.5</v>
      </c>
      <c r="T2040">
        <v>96.795564999999996</v>
      </c>
      <c r="W2040" t="s">
        <v>497</v>
      </c>
    </row>
    <row r="2041" spans="1:23" x14ac:dyDescent="0.25">
      <c r="A2041" t="s">
        <v>2492</v>
      </c>
      <c r="B2041" t="str">
        <f t="shared" si="32"/>
        <v>CG1100000187</v>
      </c>
      <c r="C2041" t="s">
        <v>229</v>
      </c>
      <c r="D2041" t="s">
        <v>77</v>
      </c>
      <c r="E2041" t="s">
        <v>78</v>
      </c>
      <c r="F2041">
        <v>12000</v>
      </c>
      <c r="G2041" s="13">
        <v>44181</v>
      </c>
      <c r="H2041" s="13">
        <v>44273</v>
      </c>
      <c r="I2041">
        <v>3007</v>
      </c>
      <c r="J2041">
        <v>8993</v>
      </c>
      <c r="K2041">
        <v>12000</v>
      </c>
      <c r="N2041">
        <v>21.739130434782609</v>
      </c>
      <c r="O2041">
        <v>5.7778999999999998</v>
      </c>
      <c r="P2041">
        <v>100.1083</v>
      </c>
      <c r="Q2041">
        <v>6</v>
      </c>
      <c r="R2041">
        <v>5.5</v>
      </c>
      <c r="S2041">
        <v>6</v>
      </c>
      <c r="T2041">
        <v>98.555533999999994</v>
      </c>
      <c r="W2041" t="s">
        <v>497</v>
      </c>
    </row>
    <row r="2042" spans="1:23" x14ac:dyDescent="0.25">
      <c r="A2042" t="s">
        <v>2493</v>
      </c>
      <c r="B2042" t="str">
        <f t="shared" si="32"/>
        <v>TD1200001048</v>
      </c>
      <c r="C2042" t="s">
        <v>237</v>
      </c>
      <c r="D2042" t="s">
        <v>77</v>
      </c>
      <c r="E2042" t="s">
        <v>82</v>
      </c>
      <c r="F2042">
        <v>36380</v>
      </c>
      <c r="G2042" s="13">
        <v>44181</v>
      </c>
      <c r="H2042" s="13">
        <v>44365</v>
      </c>
      <c r="I2042">
        <v>31883</v>
      </c>
      <c r="J2042">
        <v>4447</v>
      </c>
      <c r="K2042">
        <v>36330</v>
      </c>
      <c r="N2042">
        <v>0</v>
      </c>
      <c r="O2042">
        <v>6.2344999999999997</v>
      </c>
      <c r="P2042">
        <v>99.8626</v>
      </c>
      <c r="Q2042">
        <v>6.5</v>
      </c>
      <c r="R2042">
        <v>6</v>
      </c>
      <c r="S2042">
        <v>6.5</v>
      </c>
      <c r="T2042">
        <v>96.848105000000004</v>
      </c>
      <c r="W2042" t="s">
        <v>497</v>
      </c>
    </row>
    <row r="2043" spans="1:23" x14ac:dyDescent="0.25">
      <c r="A2043" t="s">
        <v>2494</v>
      </c>
      <c r="B2043" t="str">
        <f t="shared" si="32"/>
        <v>GA1300000419</v>
      </c>
      <c r="C2043" t="s">
        <v>227</v>
      </c>
      <c r="D2043" t="s">
        <v>77</v>
      </c>
      <c r="E2043" t="s">
        <v>287</v>
      </c>
      <c r="F2043">
        <v>15000</v>
      </c>
      <c r="G2043" s="13">
        <v>44181</v>
      </c>
      <c r="H2043" s="13">
        <v>44547</v>
      </c>
      <c r="I2043">
        <v>3000</v>
      </c>
      <c r="J2043">
        <v>3100</v>
      </c>
      <c r="K2043">
        <v>6100</v>
      </c>
      <c r="N2043">
        <v>0</v>
      </c>
      <c r="O2043">
        <v>4.9753999999999996</v>
      </c>
      <c r="P2043">
        <v>41.333300000000001</v>
      </c>
      <c r="Q2043">
        <v>5.95</v>
      </c>
      <c r="R2043">
        <v>4.5</v>
      </c>
      <c r="S2043">
        <v>5.95</v>
      </c>
      <c r="T2043">
        <v>94.969307999999998</v>
      </c>
      <c r="W2043" t="s">
        <v>497</v>
      </c>
    </row>
    <row r="2044" spans="1:23" x14ac:dyDescent="0.25">
      <c r="A2044" t="s">
        <v>2495</v>
      </c>
      <c r="B2044" t="str">
        <f t="shared" si="32"/>
        <v>GA1100001310</v>
      </c>
      <c r="C2044" t="s">
        <v>227</v>
      </c>
      <c r="D2044" t="s">
        <v>77</v>
      </c>
      <c r="E2044" t="s">
        <v>78</v>
      </c>
      <c r="F2044">
        <v>15000</v>
      </c>
      <c r="G2044" s="13">
        <v>44188</v>
      </c>
      <c r="H2044" s="13">
        <v>44281</v>
      </c>
      <c r="I2044">
        <v>13500</v>
      </c>
      <c r="J2044">
        <v>1500</v>
      </c>
      <c r="K2044">
        <v>15000</v>
      </c>
      <c r="N2044">
        <v>22.222222222222221</v>
      </c>
      <c r="O2044">
        <v>3.9142000000000001</v>
      </c>
      <c r="P2044">
        <v>103.33329999999999</v>
      </c>
      <c r="Q2044">
        <v>4.5</v>
      </c>
      <c r="R2044">
        <v>3.5</v>
      </c>
      <c r="S2044">
        <v>4.5</v>
      </c>
      <c r="T2044">
        <v>99.015860000000004</v>
      </c>
      <c r="W2044" t="s">
        <v>497</v>
      </c>
    </row>
    <row r="2045" spans="1:23" x14ac:dyDescent="0.25">
      <c r="A2045" t="s">
        <v>2496</v>
      </c>
      <c r="B2045" t="str">
        <f t="shared" si="32"/>
        <v>TD1200001055</v>
      </c>
      <c r="C2045" t="s">
        <v>237</v>
      </c>
      <c r="D2045" t="s">
        <v>77</v>
      </c>
      <c r="E2045" t="s">
        <v>82</v>
      </c>
      <c r="F2045">
        <v>21516</v>
      </c>
      <c r="G2045" s="13">
        <v>44188</v>
      </c>
      <c r="H2045" s="13">
        <v>44372</v>
      </c>
      <c r="I2045">
        <v>16866</v>
      </c>
      <c r="J2045">
        <v>4650</v>
      </c>
      <c r="K2045">
        <v>21516</v>
      </c>
      <c r="N2045">
        <v>0</v>
      </c>
      <c r="O2045">
        <v>6.5</v>
      </c>
      <c r="P2045">
        <v>107.5339</v>
      </c>
      <c r="Q2045">
        <v>6.5</v>
      </c>
      <c r="R2045">
        <v>6.6</v>
      </c>
      <c r="S2045">
        <v>6.5</v>
      </c>
      <c r="T2045">
        <v>96.713888999999995</v>
      </c>
      <c r="W2045" t="s">
        <v>497</v>
      </c>
    </row>
    <row r="2046" spans="1:23" x14ac:dyDescent="0.25">
      <c r="A2046" t="s">
        <v>2497</v>
      </c>
      <c r="B2046" t="str">
        <f t="shared" si="32"/>
        <v>CM1200000972</v>
      </c>
      <c r="C2046" t="s">
        <v>225</v>
      </c>
      <c r="D2046" t="s">
        <v>77</v>
      </c>
      <c r="E2046" t="s">
        <v>82</v>
      </c>
      <c r="F2046">
        <v>25000</v>
      </c>
      <c r="G2046" s="13">
        <v>44188</v>
      </c>
      <c r="H2046" s="13">
        <v>44372</v>
      </c>
      <c r="I2046">
        <v>18500</v>
      </c>
      <c r="J2046">
        <v>4000</v>
      </c>
      <c r="K2046">
        <v>22500</v>
      </c>
      <c r="N2046">
        <v>19.047619047619047</v>
      </c>
      <c r="O2046">
        <v>2.1278000000000001</v>
      </c>
      <c r="P2046">
        <v>94</v>
      </c>
      <c r="Q2046">
        <v>2.2000000000000002</v>
      </c>
      <c r="R2046">
        <v>2</v>
      </c>
      <c r="S2046">
        <v>2.2000000000000002</v>
      </c>
      <c r="T2046">
        <v>98.924289999999999</v>
      </c>
      <c r="W2046" t="s">
        <v>497</v>
      </c>
    </row>
    <row r="2047" spans="1:23" x14ac:dyDescent="0.25">
      <c r="A2047" t="s">
        <v>2498</v>
      </c>
      <c r="B2047" t="str">
        <f t="shared" si="32"/>
        <v>GA1100001328</v>
      </c>
      <c r="C2047" t="s">
        <v>227</v>
      </c>
      <c r="D2047" t="s">
        <v>77</v>
      </c>
      <c r="E2047" t="s">
        <v>78</v>
      </c>
      <c r="F2047">
        <v>12500</v>
      </c>
      <c r="G2047" s="13">
        <v>44195</v>
      </c>
      <c r="H2047" s="13">
        <v>44288</v>
      </c>
      <c r="I2047">
        <v>3908</v>
      </c>
      <c r="J2047">
        <v>2000</v>
      </c>
      <c r="K2047">
        <v>5908</v>
      </c>
      <c r="N2047">
        <v>22.222222222222221</v>
      </c>
      <c r="O2047">
        <v>4.0686999999999998</v>
      </c>
      <c r="P2047">
        <v>47.264000000000003</v>
      </c>
      <c r="Q2047">
        <v>4.75</v>
      </c>
      <c r="R2047">
        <v>3.6</v>
      </c>
      <c r="S2047">
        <v>4.75</v>
      </c>
      <c r="T2047">
        <v>98.971518000000003</v>
      </c>
      <c r="W2047" t="s">
        <v>497</v>
      </c>
    </row>
    <row r="2048" spans="1:23" x14ac:dyDescent="0.25">
      <c r="A2048" t="s">
        <v>2499</v>
      </c>
      <c r="B2048" t="str">
        <f t="shared" si="32"/>
        <v>CM1100000841</v>
      </c>
      <c r="C2048" t="s">
        <v>225</v>
      </c>
      <c r="D2048" t="s">
        <v>77</v>
      </c>
      <c r="E2048" t="s">
        <v>78</v>
      </c>
      <c r="F2048">
        <v>10000</v>
      </c>
      <c r="G2048" s="13">
        <v>44202</v>
      </c>
      <c r="H2048" s="13">
        <v>44295</v>
      </c>
      <c r="I2048">
        <v>7500</v>
      </c>
      <c r="J2048">
        <v>2500</v>
      </c>
      <c r="K2048">
        <v>10000</v>
      </c>
      <c r="N2048">
        <v>23.809523809523807</v>
      </c>
      <c r="O2048">
        <v>1.86</v>
      </c>
      <c r="P2048">
        <v>199.75</v>
      </c>
      <c r="Q2048">
        <v>2.1</v>
      </c>
      <c r="R2048">
        <v>1.5</v>
      </c>
      <c r="S2048">
        <v>2.1</v>
      </c>
      <c r="T2048">
        <v>99.529832999999996</v>
      </c>
      <c r="W2048" t="s">
        <v>497</v>
      </c>
    </row>
    <row r="2049" spans="1:23" x14ac:dyDescent="0.25">
      <c r="A2049" t="s">
        <v>2500</v>
      </c>
      <c r="B2049" t="str">
        <f t="shared" si="32"/>
        <v>CG1200000400</v>
      </c>
      <c r="C2049" t="s">
        <v>229</v>
      </c>
      <c r="D2049" t="s">
        <v>77</v>
      </c>
      <c r="E2049" t="s">
        <v>82</v>
      </c>
      <c r="F2049">
        <v>12000</v>
      </c>
      <c r="G2049" s="13">
        <v>44202</v>
      </c>
      <c r="H2049" s="13">
        <v>44386</v>
      </c>
      <c r="I2049">
        <v>5000</v>
      </c>
      <c r="J2049">
        <v>68</v>
      </c>
      <c r="K2049">
        <v>5068</v>
      </c>
      <c r="N2049">
        <v>13.043478260869565</v>
      </c>
      <c r="O2049">
        <v>5.9866000000000001</v>
      </c>
      <c r="P2049">
        <v>42.733330000000002</v>
      </c>
      <c r="Q2049">
        <v>6</v>
      </c>
      <c r="R2049">
        <v>5</v>
      </c>
      <c r="S2049">
        <v>6</v>
      </c>
      <c r="T2049">
        <v>96.97345</v>
      </c>
      <c r="W2049" t="s">
        <v>497</v>
      </c>
    </row>
    <row r="2050" spans="1:23" x14ac:dyDescent="0.25">
      <c r="A2050" t="s">
        <v>2501</v>
      </c>
      <c r="B2050" t="str">
        <f t="shared" si="32"/>
        <v>GA1100001328</v>
      </c>
      <c r="C2050" t="s">
        <v>227</v>
      </c>
      <c r="D2050" t="s">
        <v>77</v>
      </c>
      <c r="E2050" t="s">
        <v>78</v>
      </c>
      <c r="F2050">
        <v>6500</v>
      </c>
      <c r="G2050" s="13">
        <v>44202</v>
      </c>
      <c r="H2050" s="13">
        <v>44288</v>
      </c>
      <c r="I2050">
        <v>0</v>
      </c>
      <c r="J2050">
        <v>6500</v>
      </c>
      <c r="K2050">
        <v>6500</v>
      </c>
      <c r="N2050">
        <v>16.666666666666664</v>
      </c>
      <c r="O2050">
        <v>4.5</v>
      </c>
      <c r="P2050">
        <v>107.6923</v>
      </c>
      <c r="Q2050">
        <v>4.5</v>
      </c>
      <c r="R2050">
        <v>4.5</v>
      </c>
      <c r="S2050">
        <v>4.5</v>
      </c>
      <c r="T2050">
        <v>98.95</v>
      </c>
      <c r="W2050" t="s">
        <v>497</v>
      </c>
    </row>
    <row r="2051" spans="1:23" x14ac:dyDescent="0.25">
      <c r="A2051" t="s">
        <v>2502</v>
      </c>
      <c r="B2051" t="str">
        <f t="shared" si="32"/>
        <v>GA1200001152</v>
      </c>
      <c r="C2051" t="s">
        <v>227</v>
      </c>
      <c r="D2051" t="s">
        <v>77</v>
      </c>
      <c r="E2051" t="s">
        <v>82</v>
      </c>
      <c r="F2051">
        <v>12500</v>
      </c>
      <c r="G2051" s="13">
        <v>44202</v>
      </c>
      <c r="H2051" s="13">
        <v>44386</v>
      </c>
      <c r="I2051">
        <v>0</v>
      </c>
      <c r="J2051">
        <v>2000</v>
      </c>
      <c r="K2051">
        <v>2000</v>
      </c>
      <c r="N2051">
        <v>0</v>
      </c>
      <c r="O2051">
        <v>5</v>
      </c>
      <c r="P2051">
        <v>16</v>
      </c>
      <c r="Q2051">
        <v>5</v>
      </c>
      <c r="R2051">
        <v>5</v>
      </c>
      <c r="S2051">
        <v>5</v>
      </c>
      <c r="T2051">
        <v>97.472222000000002</v>
      </c>
      <c r="W2051" t="s">
        <v>497</v>
      </c>
    </row>
    <row r="2052" spans="1:23" x14ac:dyDescent="0.25">
      <c r="A2052" t="s">
        <v>2503</v>
      </c>
      <c r="B2052" t="str">
        <f t="shared" si="32"/>
        <v>TD1200001063</v>
      </c>
      <c r="C2052" t="s">
        <v>237</v>
      </c>
      <c r="D2052" t="s">
        <v>77</v>
      </c>
      <c r="E2052" t="s">
        <v>82</v>
      </c>
      <c r="F2052">
        <v>8543</v>
      </c>
      <c r="G2052" s="13">
        <v>44202</v>
      </c>
      <c r="H2052" s="13">
        <v>44386</v>
      </c>
      <c r="I2052">
        <v>4986</v>
      </c>
      <c r="J2052">
        <v>3557</v>
      </c>
      <c r="K2052">
        <v>8543</v>
      </c>
      <c r="N2052">
        <v>0</v>
      </c>
      <c r="O2052">
        <v>6.3829000000000002</v>
      </c>
      <c r="P2052">
        <v>121.819</v>
      </c>
      <c r="Q2052">
        <v>6.5</v>
      </c>
      <c r="R2052">
        <v>6</v>
      </c>
      <c r="S2052">
        <v>6.5</v>
      </c>
      <c r="T2052">
        <v>96.773066999999998</v>
      </c>
      <c r="W2052" t="s">
        <v>497</v>
      </c>
    </row>
    <row r="2053" spans="1:23" x14ac:dyDescent="0.25">
      <c r="A2053" t="s">
        <v>2504</v>
      </c>
      <c r="B2053" t="str">
        <f t="shared" si="32"/>
        <v>CM1200000980</v>
      </c>
      <c r="C2053" t="s">
        <v>225</v>
      </c>
      <c r="D2053" t="s">
        <v>77</v>
      </c>
      <c r="E2053" t="s">
        <v>82</v>
      </c>
      <c r="F2053">
        <v>20000</v>
      </c>
      <c r="G2053" s="13">
        <v>44209</v>
      </c>
      <c r="H2053" s="13">
        <v>44393</v>
      </c>
      <c r="I2053">
        <v>18400</v>
      </c>
      <c r="J2053">
        <v>1600</v>
      </c>
      <c r="K2053">
        <v>20000</v>
      </c>
      <c r="N2053">
        <v>23.809523809523807</v>
      </c>
      <c r="O2053">
        <v>2.1446999999999998</v>
      </c>
      <c r="P2053">
        <v>129</v>
      </c>
      <c r="Q2053">
        <v>2.2000000000000002</v>
      </c>
      <c r="R2053">
        <v>2.1</v>
      </c>
      <c r="S2053">
        <v>2.2000000000000002</v>
      </c>
      <c r="T2053">
        <v>98.915710000000004</v>
      </c>
      <c r="W2053" t="s">
        <v>497</v>
      </c>
    </row>
    <row r="2054" spans="1:23" x14ac:dyDescent="0.25">
      <c r="A2054" t="s">
        <v>2505</v>
      </c>
      <c r="B2054" t="str">
        <f t="shared" si="32"/>
        <v>GA1200001160</v>
      </c>
      <c r="C2054" t="s">
        <v>227</v>
      </c>
      <c r="D2054" t="s">
        <v>77</v>
      </c>
      <c r="E2054" t="s">
        <v>82</v>
      </c>
      <c r="F2054">
        <v>15000</v>
      </c>
      <c r="G2054" s="13">
        <v>44209</v>
      </c>
      <c r="H2054" s="13">
        <v>44393</v>
      </c>
      <c r="I2054">
        <v>12720</v>
      </c>
      <c r="J2054">
        <v>2280</v>
      </c>
      <c r="K2054">
        <v>15000</v>
      </c>
      <c r="N2054">
        <v>0</v>
      </c>
      <c r="O2054">
        <v>4.97</v>
      </c>
      <c r="P2054">
        <v>135.33330000000001</v>
      </c>
      <c r="Q2054">
        <v>5</v>
      </c>
      <c r="R2054">
        <v>4.2</v>
      </c>
      <c r="S2054">
        <v>5</v>
      </c>
      <c r="T2054">
        <v>97.487388999999993</v>
      </c>
      <c r="W2054" t="s">
        <v>497</v>
      </c>
    </row>
    <row r="2055" spans="1:23" x14ac:dyDescent="0.25">
      <c r="A2055" t="s">
        <v>2506</v>
      </c>
      <c r="B2055" t="str">
        <f t="shared" si="32"/>
        <v>TD1200001071</v>
      </c>
      <c r="C2055" t="s">
        <v>237</v>
      </c>
      <c r="D2055" t="s">
        <v>77</v>
      </c>
      <c r="E2055" t="s">
        <v>82</v>
      </c>
      <c r="F2055">
        <v>12045</v>
      </c>
      <c r="G2055" s="13">
        <v>44209</v>
      </c>
      <c r="H2055" s="13">
        <v>44393</v>
      </c>
      <c r="I2055">
        <v>2000</v>
      </c>
      <c r="J2055">
        <v>10045</v>
      </c>
      <c r="K2055">
        <v>12045</v>
      </c>
      <c r="N2055">
        <v>0</v>
      </c>
      <c r="O2055">
        <v>6.3703000000000003</v>
      </c>
      <c r="P2055">
        <v>116.6044</v>
      </c>
      <c r="Q2055">
        <v>6.5</v>
      </c>
      <c r="R2055">
        <v>6.25</v>
      </c>
      <c r="S2055">
        <v>6.25</v>
      </c>
      <c r="T2055">
        <v>96.779471000000001</v>
      </c>
      <c r="W2055" t="s">
        <v>497</v>
      </c>
    </row>
    <row r="2056" spans="1:23" x14ac:dyDescent="0.25">
      <c r="A2056" t="s">
        <v>2507</v>
      </c>
      <c r="B2056" t="str">
        <f t="shared" si="32"/>
        <v>GQ1300000932</v>
      </c>
      <c r="C2056" t="s">
        <v>528</v>
      </c>
      <c r="D2056" t="s">
        <v>77</v>
      </c>
      <c r="E2056" t="s">
        <v>287</v>
      </c>
      <c r="F2056">
        <v>15000</v>
      </c>
      <c r="G2056" s="13">
        <v>44216</v>
      </c>
      <c r="H2056" s="13">
        <v>44582</v>
      </c>
      <c r="I2056">
        <v>10000</v>
      </c>
      <c r="J2056">
        <v>5000</v>
      </c>
      <c r="K2056">
        <v>15000</v>
      </c>
      <c r="N2056">
        <v>50</v>
      </c>
      <c r="O2056">
        <v>8.3786000000000005</v>
      </c>
      <c r="P2056">
        <v>127.2067</v>
      </c>
      <c r="Q2056">
        <v>9</v>
      </c>
      <c r="R2056">
        <v>6</v>
      </c>
      <c r="S2056">
        <v>9</v>
      </c>
      <c r="T2056">
        <v>91.528271000000004</v>
      </c>
      <c r="W2056" t="s">
        <v>497</v>
      </c>
    </row>
    <row r="2057" spans="1:23" x14ac:dyDescent="0.25">
      <c r="A2057" t="s">
        <v>2508</v>
      </c>
      <c r="B2057" t="str">
        <f t="shared" si="32"/>
        <v>CG1200000418</v>
      </c>
      <c r="C2057" t="s">
        <v>229</v>
      </c>
      <c r="D2057" t="s">
        <v>77</v>
      </c>
      <c r="E2057" t="s">
        <v>82</v>
      </c>
      <c r="F2057">
        <v>15000</v>
      </c>
      <c r="G2057" s="13">
        <v>44216</v>
      </c>
      <c r="H2057" s="13">
        <v>44400</v>
      </c>
      <c r="I2057">
        <v>40</v>
      </c>
      <c r="J2057">
        <v>14960</v>
      </c>
      <c r="K2057">
        <v>15000</v>
      </c>
      <c r="N2057">
        <v>13.043478260869565</v>
      </c>
      <c r="O2057">
        <v>6.0987999999999998</v>
      </c>
      <c r="P2057">
        <v>115.4667</v>
      </c>
      <c r="Q2057">
        <v>6.25</v>
      </c>
      <c r="R2057">
        <v>5.0999999999999996</v>
      </c>
      <c r="S2057">
        <v>6.25</v>
      </c>
      <c r="T2057">
        <v>96.916701000000003</v>
      </c>
      <c r="W2057" t="s">
        <v>497</v>
      </c>
    </row>
    <row r="2058" spans="1:23" x14ac:dyDescent="0.25">
      <c r="A2058" t="s">
        <v>2509</v>
      </c>
      <c r="B2058" t="str">
        <f t="shared" si="32"/>
        <v>GA1100001336</v>
      </c>
      <c r="C2058" t="s">
        <v>227</v>
      </c>
      <c r="D2058" t="s">
        <v>77</v>
      </c>
      <c r="E2058" t="s">
        <v>78</v>
      </c>
      <c r="F2058">
        <v>15000</v>
      </c>
      <c r="G2058" s="13">
        <v>44216</v>
      </c>
      <c r="H2058" s="13">
        <v>44309</v>
      </c>
      <c r="I2058">
        <v>1500</v>
      </c>
      <c r="J2058">
        <v>9750</v>
      </c>
      <c r="K2058">
        <v>11250</v>
      </c>
      <c r="N2058">
        <v>22.222222222222221</v>
      </c>
      <c r="O2058">
        <v>4.5332999999999997</v>
      </c>
      <c r="P2058">
        <v>75</v>
      </c>
      <c r="Q2058">
        <v>5</v>
      </c>
      <c r="R2058">
        <v>3.65</v>
      </c>
      <c r="S2058">
        <v>5</v>
      </c>
      <c r="T2058">
        <v>98.854073999999997</v>
      </c>
      <c r="W2058" t="s">
        <v>497</v>
      </c>
    </row>
    <row r="2059" spans="1:23" x14ac:dyDescent="0.25">
      <c r="A2059" t="s">
        <v>2510</v>
      </c>
      <c r="B2059" t="str">
        <f t="shared" si="32"/>
        <v>GA1200001152</v>
      </c>
      <c r="C2059" t="s">
        <v>227</v>
      </c>
      <c r="D2059" t="s">
        <v>77</v>
      </c>
      <c r="E2059" t="s">
        <v>82</v>
      </c>
      <c r="F2059">
        <v>10000</v>
      </c>
      <c r="G2059" s="13">
        <v>44216</v>
      </c>
      <c r="H2059" s="13">
        <v>44386</v>
      </c>
      <c r="I2059">
        <v>3000</v>
      </c>
      <c r="J2059">
        <v>7000</v>
      </c>
      <c r="K2059">
        <v>10000</v>
      </c>
      <c r="N2059">
        <v>0</v>
      </c>
      <c r="O2059">
        <v>4.97</v>
      </c>
      <c r="P2059">
        <v>110</v>
      </c>
      <c r="Q2059">
        <v>5</v>
      </c>
      <c r="R2059">
        <v>4.8499999999999996</v>
      </c>
      <c r="S2059">
        <v>5</v>
      </c>
      <c r="T2059">
        <v>97.680667</v>
      </c>
      <c r="W2059" t="s">
        <v>497</v>
      </c>
    </row>
    <row r="2060" spans="1:23" x14ac:dyDescent="0.25">
      <c r="A2060" t="s">
        <v>2511</v>
      </c>
      <c r="B2060" t="str">
        <f t="shared" si="32"/>
        <v>TD1200001089</v>
      </c>
      <c r="C2060" t="s">
        <v>237</v>
      </c>
      <c r="D2060" t="s">
        <v>77</v>
      </c>
      <c r="E2060" t="s">
        <v>82</v>
      </c>
      <c r="F2060">
        <v>4131</v>
      </c>
      <c r="G2060" s="13">
        <v>44216</v>
      </c>
      <c r="H2060" s="13">
        <v>44400</v>
      </c>
      <c r="I2060">
        <v>2000</v>
      </c>
      <c r="J2060">
        <v>0</v>
      </c>
      <c r="K2060">
        <v>2000</v>
      </c>
      <c r="N2060">
        <v>0</v>
      </c>
      <c r="O2060">
        <v>6.5</v>
      </c>
      <c r="P2060">
        <v>48.414400000000001</v>
      </c>
      <c r="Q2060">
        <v>6.5</v>
      </c>
      <c r="R2060">
        <v>6.5</v>
      </c>
      <c r="S2060">
        <v>6.5</v>
      </c>
      <c r="T2060">
        <v>96.713888999999995</v>
      </c>
      <c r="W2060" t="s">
        <v>497</v>
      </c>
    </row>
    <row r="2061" spans="1:23" x14ac:dyDescent="0.25">
      <c r="A2061" t="s">
        <v>2512</v>
      </c>
      <c r="B2061" t="str">
        <f t="shared" si="32"/>
        <v>CM1300000526</v>
      </c>
      <c r="C2061" t="s">
        <v>225</v>
      </c>
      <c r="D2061" t="s">
        <v>77</v>
      </c>
      <c r="E2061" t="s">
        <v>287</v>
      </c>
      <c r="F2061">
        <v>15000</v>
      </c>
      <c r="G2061" s="13">
        <v>44223</v>
      </c>
      <c r="H2061" s="13">
        <v>44589</v>
      </c>
      <c r="I2061">
        <v>13400</v>
      </c>
      <c r="J2061">
        <v>1600</v>
      </c>
      <c r="K2061">
        <v>15000</v>
      </c>
      <c r="N2061">
        <v>38.095238095238095</v>
      </c>
      <c r="O2061">
        <v>2.6057000000000001</v>
      </c>
      <c r="P2061">
        <v>146</v>
      </c>
      <c r="Q2061">
        <v>2.8</v>
      </c>
      <c r="R2061">
        <v>2.2000000000000002</v>
      </c>
      <c r="S2061">
        <v>2.8</v>
      </c>
      <c r="T2061">
        <v>97.365380999999999</v>
      </c>
      <c r="W2061" t="s">
        <v>497</v>
      </c>
    </row>
    <row r="2062" spans="1:23" x14ac:dyDescent="0.25">
      <c r="A2062" t="s">
        <v>2513</v>
      </c>
      <c r="B2062" t="str">
        <f t="shared" si="32"/>
        <v>TD1200001097</v>
      </c>
      <c r="C2062" t="s">
        <v>237</v>
      </c>
      <c r="D2062" t="s">
        <v>77</v>
      </c>
      <c r="E2062" t="s">
        <v>82</v>
      </c>
      <c r="F2062">
        <v>7592</v>
      </c>
      <c r="G2062" s="13">
        <v>44223</v>
      </c>
      <c r="H2062" s="13">
        <v>44407</v>
      </c>
      <c r="I2062">
        <v>5592</v>
      </c>
      <c r="J2062">
        <v>2000</v>
      </c>
      <c r="K2062">
        <v>7592</v>
      </c>
      <c r="N2062">
        <v>0</v>
      </c>
      <c r="O2062">
        <v>6.2831999999999999</v>
      </c>
      <c r="P2062">
        <v>100</v>
      </c>
      <c r="Q2062">
        <v>7</v>
      </c>
      <c r="R2062">
        <v>6</v>
      </c>
      <c r="S2062">
        <v>7</v>
      </c>
      <c r="T2062">
        <v>96.823497000000003</v>
      </c>
      <c r="W2062" t="s">
        <v>497</v>
      </c>
    </row>
    <row r="2063" spans="1:23" x14ac:dyDescent="0.25">
      <c r="A2063" t="s">
        <v>2514</v>
      </c>
      <c r="B2063" t="str">
        <f t="shared" si="32"/>
        <v>CG1300000094</v>
      </c>
      <c r="C2063" t="s">
        <v>229</v>
      </c>
      <c r="D2063" t="s">
        <v>77</v>
      </c>
      <c r="E2063" t="s">
        <v>287</v>
      </c>
      <c r="F2063">
        <v>11000</v>
      </c>
      <c r="G2063" s="13">
        <v>44230</v>
      </c>
      <c r="H2063" s="13">
        <v>44596</v>
      </c>
      <c r="I2063">
        <v>5500</v>
      </c>
      <c r="J2063">
        <v>5</v>
      </c>
      <c r="K2063">
        <v>5505</v>
      </c>
      <c r="N2063">
        <v>8.695652173913043</v>
      </c>
      <c r="O2063">
        <v>6.1866000000000003</v>
      </c>
      <c r="P2063">
        <v>50.045499999999997</v>
      </c>
      <c r="Q2063">
        <v>6.2</v>
      </c>
      <c r="R2063">
        <v>5.5</v>
      </c>
      <c r="S2063">
        <v>6.2</v>
      </c>
      <c r="T2063">
        <v>93.744611000000006</v>
      </c>
      <c r="W2063" t="s">
        <v>497</v>
      </c>
    </row>
    <row r="2064" spans="1:23" x14ac:dyDescent="0.25">
      <c r="A2064" t="s">
        <v>2515</v>
      </c>
      <c r="B2064" t="str">
        <f t="shared" si="32"/>
        <v>GA1200001178</v>
      </c>
      <c r="C2064" t="s">
        <v>227</v>
      </c>
      <c r="D2064" t="s">
        <v>77</v>
      </c>
      <c r="E2064" t="s">
        <v>82</v>
      </c>
      <c r="F2064">
        <v>12000</v>
      </c>
      <c r="G2064" s="13">
        <v>44230</v>
      </c>
      <c r="H2064" s="13">
        <v>44414</v>
      </c>
      <c r="I2064">
        <v>3700</v>
      </c>
      <c r="J2064">
        <v>8300</v>
      </c>
      <c r="K2064">
        <v>12000</v>
      </c>
      <c r="N2064">
        <v>0</v>
      </c>
      <c r="O2064">
        <v>4.9020999999999999</v>
      </c>
      <c r="P2064">
        <v>132.4667</v>
      </c>
      <c r="Q2064">
        <v>5.5</v>
      </c>
      <c r="R2064">
        <v>4.5</v>
      </c>
      <c r="S2064">
        <v>5.5</v>
      </c>
      <c r="T2064">
        <v>97.521725000000004</v>
      </c>
      <c r="W2064" t="s">
        <v>497</v>
      </c>
    </row>
    <row r="2065" spans="1:23" x14ac:dyDescent="0.25">
      <c r="A2065" t="s">
        <v>2516</v>
      </c>
      <c r="B2065" t="str">
        <f t="shared" si="32"/>
        <v>GQ1300000940</v>
      </c>
      <c r="C2065" t="s">
        <v>528</v>
      </c>
      <c r="D2065" t="s">
        <v>77</v>
      </c>
      <c r="E2065" t="s">
        <v>287</v>
      </c>
      <c r="F2065">
        <v>15000</v>
      </c>
      <c r="G2065" s="13">
        <v>44230</v>
      </c>
      <c r="H2065" s="13">
        <v>44596</v>
      </c>
      <c r="I2065">
        <v>9222</v>
      </c>
      <c r="J2065">
        <v>5778</v>
      </c>
      <c r="K2065">
        <v>15000</v>
      </c>
      <c r="N2065">
        <v>33.333333333333329</v>
      </c>
      <c r="O2065">
        <v>8.2632999999999992</v>
      </c>
      <c r="P2065">
        <v>123.33329999999999</v>
      </c>
      <c r="Q2065">
        <v>8.5</v>
      </c>
      <c r="R2065">
        <v>8</v>
      </c>
      <c r="S2065">
        <v>8.5</v>
      </c>
      <c r="T2065">
        <v>91.644852</v>
      </c>
      <c r="W2065" t="s">
        <v>497</v>
      </c>
    </row>
    <row r="2066" spans="1:23" x14ac:dyDescent="0.25">
      <c r="A2066" t="s">
        <v>2517</v>
      </c>
      <c r="B2066" t="str">
        <f t="shared" si="32"/>
        <v>TD1200001105</v>
      </c>
      <c r="C2066" t="s">
        <v>237</v>
      </c>
      <c r="D2066" t="s">
        <v>77</v>
      </c>
      <c r="E2066" t="s">
        <v>82</v>
      </c>
      <c r="F2066">
        <v>8262</v>
      </c>
      <c r="G2066" s="13">
        <v>44230</v>
      </c>
      <c r="H2066" s="13">
        <v>44414</v>
      </c>
      <c r="I2066">
        <v>7262</v>
      </c>
      <c r="J2066">
        <v>1000</v>
      </c>
      <c r="K2066">
        <v>8262</v>
      </c>
      <c r="N2066">
        <v>0</v>
      </c>
      <c r="O2066">
        <v>6.4242999999999997</v>
      </c>
      <c r="P2066">
        <v>154.3331</v>
      </c>
      <c r="Q2066">
        <v>6.5</v>
      </c>
      <c r="R2066">
        <v>6</v>
      </c>
      <c r="S2066">
        <v>6.5</v>
      </c>
      <c r="T2066">
        <v>96.752163999999993</v>
      </c>
      <c r="W2066" t="s">
        <v>497</v>
      </c>
    </row>
    <row r="2067" spans="1:23" x14ac:dyDescent="0.25">
      <c r="A2067" t="s">
        <v>2518</v>
      </c>
      <c r="B2067" t="str">
        <f t="shared" si="32"/>
        <v>CM1200000998</v>
      </c>
      <c r="C2067" t="s">
        <v>225</v>
      </c>
      <c r="D2067" t="s">
        <v>77</v>
      </c>
      <c r="E2067" t="s">
        <v>82</v>
      </c>
      <c r="F2067">
        <v>20000</v>
      </c>
      <c r="G2067" s="13">
        <v>44230</v>
      </c>
      <c r="H2067" s="13">
        <v>44421</v>
      </c>
      <c r="I2067">
        <v>20000</v>
      </c>
      <c r="J2067">
        <v>0</v>
      </c>
      <c r="K2067">
        <v>20000</v>
      </c>
      <c r="N2067">
        <v>33.333333333333329</v>
      </c>
      <c r="O2067">
        <v>2.1604999999999999</v>
      </c>
      <c r="P2067">
        <v>190</v>
      </c>
      <c r="Q2067">
        <v>2.2000000000000002</v>
      </c>
      <c r="R2067">
        <v>2.1</v>
      </c>
      <c r="S2067">
        <v>2.2000000000000002</v>
      </c>
      <c r="T2067">
        <v>98.907747000000001</v>
      </c>
      <c r="W2067" t="s">
        <v>497</v>
      </c>
    </row>
    <row r="2068" spans="1:23" x14ac:dyDescent="0.25">
      <c r="A2068" t="s">
        <v>2519</v>
      </c>
      <c r="B2068" t="str">
        <f t="shared" si="32"/>
        <v>GA1200001186</v>
      </c>
      <c r="C2068" t="s">
        <v>227</v>
      </c>
      <c r="D2068" t="s">
        <v>77</v>
      </c>
      <c r="E2068" t="s">
        <v>82</v>
      </c>
      <c r="F2068">
        <v>14000</v>
      </c>
      <c r="G2068" s="13">
        <v>44237</v>
      </c>
      <c r="H2068" s="13">
        <v>44421</v>
      </c>
      <c r="I2068">
        <v>2000</v>
      </c>
      <c r="J2068">
        <v>10650</v>
      </c>
      <c r="K2068">
        <v>12650</v>
      </c>
      <c r="N2068">
        <v>0</v>
      </c>
      <c r="O2068">
        <v>5.2702</v>
      </c>
      <c r="P2068">
        <v>91.071399999999997</v>
      </c>
      <c r="Q2068">
        <v>5.5</v>
      </c>
      <c r="R2068">
        <v>4.95</v>
      </c>
      <c r="S2068">
        <v>5.5</v>
      </c>
      <c r="T2068">
        <v>97.335642000000007</v>
      </c>
      <c r="W2068" t="s">
        <v>497</v>
      </c>
    </row>
    <row r="2069" spans="1:23" x14ac:dyDescent="0.25">
      <c r="A2069" t="s">
        <v>2520</v>
      </c>
      <c r="B2069" t="str">
        <f t="shared" si="32"/>
        <v>CG1300000094</v>
      </c>
      <c r="C2069" t="s">
        <v>229</v>
      </c>
      <c r="D2069" t="s">
        <v>77</v>
      </c>
      <c r="E2069" t="s">
        <v>287</v>
      </c>
      <c r="F2069">
        <v>15000</v>
      </c>
      <c r="G2069" s="13">
        <v>44237</v>
      </c>
      <c r="H2069" s="13">
        <v>44596</v>
      </c>
      <c r="I2069">
        <v>120</v>
      </c>
      <c r="J2069">
        <v>1017</v>
      </c>
      <c r="K2069">
        <v>1137</v>
      </c>
      <c r="N2069">
        <v>13.043478260869565</v>
      </c>
      <c r="O2069">
        <v>6.4683000000000002</v>
      </c>
      <c r="P2069">
        <v>7.98</v>
      </c>
      <c r="Q2069">
        <v>6.5</v>
      </c>
      <c r="R2069">
        <v>6.2</v>
      </c>
      <c r="S2069">
        <v>6.5</v>
      </c>
      <c r="T2069">
        <v>93.585565000000003</v>
      </c>
      <c r="W2069" t="s">
        <v>497</v>
      </c>
    </row>
    <row r="2070" spans="1:23" x14ac:dyDescent="0.25">
      <c r="A2070" t="s">
        <v>2521</v>
      </c>
      <c r="B2070" t="str">
        <f t="shared" si="32"/>
        <v>CM1300000534</v>
      </c>
      <c r="C2070" t="s">
        <v>225</v>
      </c>
      <c r="D2070" t="s">
        <v>77</v>
      </c>
      <c r="E2070" t="s">
        <v>287</v>
      </c>
      <c r="F2070">
        <v>7000</v>
      </c>
      <c r="G2070" s="13">
        <v>44244</v>
      </c>
      <c r="H2070" s="13">
        <v>44610</v>
      </c>
      <c r="I2070">
        <v>7000</v>
      </c>
      <c r="J2070">
        <v>0</v>
      </c>
      <c r="K2070">
        <v>7000</v>
      </c>
      <c r="N2070">
        <v>23.809523809523807</v>
      </c>
      <c r="O2070">
        <v>2.7387000000000001</v>
      </c>
      <c r="P2070">
        <v>264.57139999999998</v>
      </c>
      <c r="Q2070">
        <v>2.8</v>
      </c>
      <c r="R2070">
        <v>2.6</v>
      </c>
      <c r="S2070">
        <v>2.8</v>
      </c>
      <c r="T2070">
        <v>97.230856000000003</v>
      </c>
      <c r="W2070" t="s">
        <v>497</v>
      </c>
    </row>
    <row r="2071" spans="1:23" x14ac:dyDescent="0.25">
      <c r="A2071" t="s">
        <v>2522</v>
      </c>
      <c r="B2071" t="str">
        <f t="shared" si="32"/>
        <v>CM1200001004</v>
      </c>
      <c r="C2071" t="s">
        <v>225</v>
      </c>
      <c r="D2071" t="s">
        <v>77</v>
      </c>
      <c r="E2071" t="s">
        <v>82</v>
      </c>
      <c r="F2071">
        <v>13000</v>
      </c>
      <c r="G2071" s="13">
        <v>44244</v>
      </c>
      <c r="H2071" s="13">
        <v>44428</v>
      </c>
      <c r="I2071">
        <v>3000</v>
      </c>
      <c r="J2071">
        <v>10000</v>
      </c>
      <c r="K2071">
        <v>13000</v>
      </c>
      <c r="N2071">
        <v>47.619047619047613</v>
      </c>
      <c r="O2071">
        <v>2</v>
      </c>
      <c r="P2071">
        <v>257.88459999999998</v>
      </c>
      <c r="Q2071">
        <v>2.1</v>
      </c>
      <c r="R2071">
        <v>1.95</v>
      </c>
      <c r="S2071">
        <v>2.1</v>
      </c>
      <c r="T2071">
        <v>98.988889</v>
      </c>
      <c r="W2071" t="s">
        <v>497</v>
      </c>
    </row>
    <row r="2072" spans="1:23" x14ac:dyDescent="0.25">
      <c r="A2072" t="s">
        <v>2523</v>
      </c>
      <c r="B2072" t="str">
        <f t="shared" si="32"/>
        <v>CG1200000426</v>
      </c>
      <c r="C2072" t="s">
        <v>229</v>
      </c>
      <c r="D2072" t="s">
        <v>77</v>
      </c>
      <c r="E2072" t="s">
        <v>82</v>
      </c>
      <c r="F2072">
        <v>15000</v>
      </c>
      <c r="G2072" s="13">
        <v>44244</v>
      </c>
      <c r="H2072" s="13">
        <v>44428</v>
      </c>
      <c r="I2072">
        <v>3643</v>
      </c>
      <c r="J2072">
        <v>7500</v>
      </c>
      <c r="K2072">
        <v>11143</v>
      </c>
      <c r="N2072">
        <v>17.391304347826086</v>
      </c>
      <c r="O2072">
        <v>6.3235000000000001</v>
      </c>
      <c r="P2072">
        <v>74.286699999999996</v>
      </c>
      <c r="Q2072">
        <v>6.5</v>
      </c>
      <c r="R2072">
        <v>5.85</v>
      </c>
      <c r="S2072">
        <v>6.5</v>
      </c>
      <c r="T2072">
        <v>96.803117999999998</v>
      </c>
      <c r="W2072" t="s">
        <v>497</v>
      </c>
    </row>
    <row r="2073" spans="1:23" x14ac:dyDescent="0.25">
      <c r="A2073" t="s">
        <v>2524</v>
      </c>
      <c r="B2073" t="str">
        <f t="shared" si="32"/>
        <v>GA1100001344</v>
      </c>
      <c r="C2073" t="s">
        <v>227</v>
      </c>
      <c r="D2073" t="s">
        <v>77</v>
      </c>
      <c r="E2073" t="s">
        <v>78</v>
      </c>
      <c r="F2073">
        <v>16000</v>
      </c>
      <c r="G2073" s="13">
        <v>44244</v>
      </c>
      <c r="H2073" s="13">
        <v>44337</v>
      </c>
      <c r="I2073">
        <v>6300</v>
      </c>
      <c r="J2073">
        <v>3500</v>
      </c>
      <c r="K2073">
        <v>9800</v>
      </c>
      <c r="N2073">
        <v>22.222222222222221</v>
      </c>
      <c r="O2073">
        <v>4.9301000000000004</v>
      </c>
      <c r="P2073">
        <v>61.25</v>
      </c>
      <c r="Q2073">
        <v>5.5</v>
      </c>
      <c r="R2073">
        <v>4.45</v>
      </c>
      <c r="S2073">
        <v>5.5</v>
      </c>
      <c r="T2073">
        <v>98.753780000000006</v>
      </c>
      <c r="W2073" t="s">
        <v>497</v>
      </c>
    </row>
    <row r="2074" spans="1:23" x14ac:dyDescent="0.25">
      <c r="A2074" t="s">
        <v>2525</v>
      </c>
      <c r="B2074" t="str">
        <f t="shared" si="32"/>
        <v>TD1200001113</v>
      </c>
      <c r="C2074" t="s">
        <v>237</v>
      </c>
      <c r="D2074" t="s">
        <v>77</v>
      </c>
      <c r="E2074" t="s">
        <v>82</v>
      </c>
      <c r="F2074">
        <v>7020</v>
      </c>
      <c r="G2074" s="13">
        <v>44244</v>
      </c>
      <c r="H2074" s="13">
        <v>44428</v>
      </c>
      <c r="I2074">
        <v>7020</v>
      </c>
      <c r="J2074">
        <v>0</v>
      </c>
      <c r="K2074">
        <v>7020</v>
      </c>
      <c r="N2074">
        <v>0</v>
      </c>
      <c r="O2074">
        <v>6.0896999999999997</v>
      </c>
      <c r="P2074">
        <v>157.0513</v>
      </c>
      <c r="Q2074">
        <v>6.25</v>
      </c>
      <c r="R2074">
        <v>6</v>
      </c>
      <c r="S2074">
        <v>6.25</v>
      </c>
      <c r="T2074">
        <v>96.921295999999998</v>
      </c>
      <c r="W2074" t="s">
        <v>497</v>
      </c>
    </row>
    <row r="2075" spans="1:23" x14ac:dyDescent="0.25">
      <c r="A2075" t="s">
        <v>2526</v>
      </c>
      <c r="B2075" t="str">
        <f t="shared" ref="B2075:B2138" si="33">MID(A2075,1,12)</f>
        <v>CG1300000102</v>
      </c>
      <c r="C2075" t="s">
        <v>229</v>
      </c>
      <c r="D2075" t="s">
        <v>77</v>
      </c>
      <c r="E2075" t="s">
        <v>287</v>
      </c>
      <c r="F2075">
        <v>11000</v>
      </c>
      <c r="G2075" s="13">
        <v>44251</v>
      </c>
      <c r="H2075" s="13">
        <v>44617</v>
      </c>
      <c r="I2075">
        <v>10600</v>
      </c>
      <c r="J2075">
        <v>45</v>
      </c>
      <c r="K2075">
        <v>10645</v>
      </c>
      <c r="N2075">
        <v>21.739130434782609</v>
      </c>
      <c r="O2075">
        <v>6.0011000000000001</v>
      </c>
      <c r="P2075">
        <v>97</v>
      </c>
      <c r="Q2075">
        <v>6.3</v>
      </c>
      <c r="R2075">
        <v>5.6</v>
      </c>
      <c r="S2075">
        <v>6.3</v>
      </c>
      <c r="T2075">
        <v>93.932193999999996</v>
      </c>
      <c r="W2075" t="s">
        <v>497</v>
      </c>
    </row>
    <row r="2076" spans="1:23" x14ac:dyDescent="0.25">
      <c r="A2076" t="s">
        <v>2527</v>
      </c>
      <c r="B2076" t="str">
        <f t="shared" si="33"/>
        <v>GA1100001344</v>
      </c>
      <c r="C2076" t="s">
        <v>227</v>
      </c>
      <c r="D2076" t="s">
        <v>77</v>
      </c>
      <c r="E2076" t="s">
        <v>78</v>
      </c>
      <c r="F2076">
        <v>8000</v>
      </c>
      <c r="G2076" s="13">
        <v>44251</v>
      </c>
      <c r="H2076" s="13">
        <v>44337</v>
      </c>
      <c r="I2076">
        <v>4000</v>
      </c>
      <c r="J2076">
        <v>4000</v>
      </c>
      <c r="K2076">
        <v>8000</v>
      </c>
      <c r="N2076">
        <v>22.222222222222221</v>
      </c>
      <c r="O2076">
        <v>4.8075999999999999</v>
      </c>
      <c r="P2076">
        <v>135</v>
      </c>
      <c r="Q2076">
        <v>5.05</v>
      </c>
      <c r="R2076">
        <v>4.5</v>
      </c>
      <c r="S2076">
        <v>5.05</v>
      </c>
      <c r="T2076">
        <v>98.878231999999997</v>
      </c>
      <c r="W2076" t="s">
        <v>497</v>
      </c>
    </row>
    <row r="2077" spans="1:23" x14ac:dyDescent="0.25">
      <c r="A2077" t="s">
        <v>2528</v>
      </c>
      <c r="B2077" t="str">
        <f t="shared" si="33"/>
        <v>GA1300000427</v>
      </c>
      <c r="C2077" t="s">
        <v>227</v>
      </c>
      <c r="D2077" t="s">
        <v>77</v>
      </c>
      <c r="E2077" t="s">
        <v>287</v>
      </c>
      <c r="F2077">
        <v>10000</v>
      </c>
      <c r="G2077" s="13">
        <v>44251</v>
      </c>
      <c r="H2077" s="13">
        <v>44617</v>
      </c>
      <c r="I2077">
        <v>1000</v>
      </c>
      <c r="J2077">
        <v>2815</v>
      </c>
      <c r="K2077">
        <v>3815</v>
      </c>
      <c r="N2077">
        <v>0</v>
      </c>
      <c r="O2077">
        <v>5.5387000000000004</v>
      </c>
      <c r="P2077">
        <v>41.78</v>
      </c>
      <c r="Q2077">
        <v>5.85</v>
      </c>
      <c r="R2077">
        <v>5</v>
      </c>
      <c r="S2077">
        <v>5.85</v>
      </c>
      <c r="T2077">
        <v>94.399795999999995</v>
      </c>
      <c r="W2077" t="s">
        <v>497</v>
      </c>
    </row>
    <row r="2078" spans="1:23" x14ac:dyDescent="0.25">
      <c r="A2078" t="s">
        <v>2529</v>
      </c>
      <c r="B2078" t="str">
        <f t="shared" si="33"/>
        <v>TD1200001121</v>
      </c>
      <c r="C2078" t="s">
        <v>237</v>
      </c>
      <c r="D2078" t="s">
        <v>77</v>
      </c>
      <c r="E2078" t="s">
        <v>82</v>
      </c>
      <c r="F2078">
        <v>16111</v>
      </c>
      <c r="G2078" s="13">
        <v>44251</v>
      </c>
      <c r="H2078" s="13">
        <v>44435</v>
      </c>
      <c r="I2078">
        <v>3929</v>
      </c>
      <c r="J2078">
        <v>10963</v>
      </c>
      <c r="K2078">
        <v>14892</v>
      </c>
      <c r="N2078">
        <v>0</v>
      </c>
      <c r="O2078">
        <v>6.4161000000000001</v>
      </c>
      <c r="P2078">
        <v>92.433700000000002</v>
      </c>
      <c r="Q2078">
        <v>6.5</v>
      </c>
      <c r="R2078">
        <v>6.1820000000000004</v>
      </c>
      <c r="S2078">
        <v>6.5</v>
      </c>
      <c r="T2078">
        <v>96.756304</v>
      </c>
      <c r="W2078" t="s">
        <v>497</v>
      </c>
    </row>
    <row r="2079" spans="1:23" x14ac:dyDescent="0.25">
      <c r="A2079" t="s">
        <v>2530</v>
      </c>
      <c r="B2079" t="str">
        <f t="shared" si="33"/>
        <v>CM1200001012</v>
      </c>
      <c r="C2079" t="s">
        <v>225</v>
      </c>
      <c r="D2079" t="s">
        <v>77</v>
      </c>
      <c r="E2079" t="s">
        <v>82</v>
      </c>
      <c r="F2079">
        <v>20000</v>
      </c>
      <c r="G2079" s="13">
        <v>44258</v>
      </c>
      <c r="H2079" s="13">
        <v>44442</v>
      </c>
      <c r="I2079">
        <v>15000</v>
      </c>
      <c r="J2079">
        <v>5000</v>
      </c>
      <c r="K2079">
        <v>20000</v>
      </c>
      <c r="N2079">
        <v>38.095238095238095</v>
      </c>
      <c r="O2079">
        <v>2.0625</v>
      </c>
      <c r="P2079">
        <v>195.125</v>
      </c>
      <c r="Q2079">
        <v>2.15</v>
      </c>
      <c r="R2079">
        <v>1.95</v>
      </c>
      <c r="S2079">
        <v>2.15</v>
      </c>
      <c r="T2079">
        <v>98.968035</v>
      </c>
      <c r="W2079" t="s">
        <v>497</v>
      </c>
    </row>
    <row r="2080" spans="1:23" x14ac:dyDescent="0.25">
      <c r="A2080" t="s">
        <v>2531</v>
      </c>
      <c r="B2080" t="str">
        <f t="shared" si="33"/>
        <v>CG1100000195</v>
      </c>
      <c r="C2080" t="s">
        <v>229</v>
      </c>
      <c r="D2080" t="s">
        <v>77</v>
      </c>
      <c r="E2080" t="s">
        <v>78</v>
      </c>
      <c r="F2080">
        <v>6000</v>
      </c>
      <c r="G2080" s="13">
        <v>44258</v>
      </c>
      <c r="H2080" s="13">
        <v>44351</v>
      </c>
      <c r="I2080">
        <v>3300</v>
      </c>
      <c r="J2080">
        <v>2500</v>
      </c>
      <c r="K2080">
        <v>5800</v>
      </c>
      <c r="N2080">
        <v>13.043478260869565</v>
      </c>
      <c r="O2080">
        <v>5.9733000000000001</v>
      </c>
      <c r="P2080">
        <v>96.666700000000006</v>
      </c>
      <c r="Q2080">
        <v>6.5</v>
      </c>
      <c r="R2080">
        <v>5.5</v>
      </c>
      <c r="S2080">
        <v>6.5</v>
      </c>
      <c r="T2080">
        <v>98.512534000000002</v>
      </c>
      <c r="W2080" t="s">
        <v>497</v>
      </c>
    </row>
    <row r="2081" spans="1:23" x14ac:dyDescent="0.25">
      <c r="A2081" t="s">
        <v>2532</v>
      </c>
      <c r="B2081" t="str">
        <f t="shared" si="33"/>
        <v>GA1200001194</v>
      </c>
      <c r="C2081" t="s">
        <v>227</v>
      </c>
      <c r="D2081" t="s">
        <v>77</v>
      </c>
      <c r="E2081" t="s">
        <v>82</v>
      </c>
      <c r="F2081">
        <v>12000</v>
      </c>
      <c r="G2081" s="13">
        <v>44258</v>
      </c>
      <c r="H2081" s="13">
        <v>44442</v>
      </c>
      <c r="I2081">
        <v>300</v>
      </c>
      <c r="J2081">
        <v>9835</v>
      </c>
      <c r="K2081">
        <v>10135</v>
      </c>
      <c r="N2081">
        <v>0</v>
      </c>
      <c r="O2081">
        <v>5.5045999999999999</v>
      </c>
      <c r="P2081">
        <v>85.290999999999997</v>
      </c>
      <c r="Q2081">
        <v>5.75</v>
      </c>
      <c r="R2081">
        <v>4.75</v>
      </c>
      <c r="S2081">
        <v>5.75</v>
      </c>
      <c r="T2081">
        <v>97.292484000000002</v>
      </c>
      <c r="W2081" t="s">
        <v>497</v>
      </c>
    </row>
    <row r="2082" spans="1:23" x14ac:dyDescent="0.25">
      <c r="A2082" t="s">
        <v>2533</v>
      </c>
      <c r="B2082" t="str">
        <f t="shared" si="33"/>
        <v>TD1200001139</v>
      </c>
      <c r="C2082" t="s">
        <v>237</v>
      </c>
      <c r="D2082" t="s">
        <v>77</v>
      </c>
      <c r="E2082" t="s">
        <v>82</v>
      </c>
      <c r="F2082">
        <v>13090</v>
      </c>
      <c r="G2082" s="13">
        <v>44258</v>
      </c>
      <c r="H2082" s="13">
        <v>44442</v>
      </c>
      <c r="I2082">
        <v>4000</v>
      </c>
      <c r="J2082">
        <v>8757</v>
      </c>
      <c r="K2082">
        <v>12757</v>
      </c>
      <c r="N2082">
        <v>0</v>
      </c>
      <c r="O2082">
        <v>6.7289000000000003</v>
      </c>
      <c r="P2082">
        <v>97.456100000000006</v>
      </c>
      <c r="Q2082">
        <v>7</v>
      </c>
      <c r="R2082">
        <v>6</v>
      </c>
      <c r="S2082">
        <v>7</v>
      </c>
      <c r="T2082">
        <v>96.710104000000001</v>
      </c>
      <c r="W2082" t="s">
        <v>497</v>
      </c>
    </row>
    <row r="2083" spans="1:23" x14ac:dyDescent="0.25">
      <c r="A2083" t="s">
        <v>2534</v>
      </c>
      <c r="B2083" t="str">
        <f t="shared" si="33"/>
        <v>CF1200000401</v>
      </c>
      <c r="C2083" t="s">
        <v>2406</v>
      </c>
      <c r="D2083" t="s">
        <v>77</v>
      </c>
      <c r="E2083" t="s">
        <v>82</v>
      </c>
      <c r="F2083">
        <v>5500</v>
      </c>
      <c r="G2083" s="13">
        <v>44265</v>
      </c>
      <c r="H2083" s="13">
        <v>44449</v>
      </c>
      <c r="I2083">
        <v>5500</v>
      </c>
      <c r="J2083">
        <v>0</v>
      </c>
      <c r="K2083">
        <v>5500</v>
      </c>
      <c r="N2083">
        <v>33.333333333333329</v>
      </c>
      <c r="O2083">
        <v>5.5852000000000004</v>
      </c>
      <c r="P2083">
        <v>100</v>
      </c>
      <c r="Q2083">
        <v>5.5</v>
      </c>
      <c r="R2083">
        <v>5.25</v>
      </c>
      <c r="S2083">
        <v>5.5</v>
      </c>
      <c r="T2083">
        <v>97.253913999999995</v>
      </c>
      <c r="W2083" t="s">
        <v>497</v>
      </c>
    </row>
    <row r="2084" spans="1:23" x14ac:dyDescent="0.25">
      <c r="A2084" t="s">
        <v>2535</v>
      </c>
      <c r="B2084" t="str">
        <f t="shared" si="33"/>
        <v>CG1200000434</v>
      </c>
      <c r="C2084" t="s">
        <v>229</v>
      </c>
      <c r="D2084" t="s">
        <v>77</v>
      </c>
      <c r="E2084" t="s">
        <v>82</v>
      </c>
      <c r="F2084">
        <v>15000</v>
      </c>
      <c r="G2084" s="13">
        <v>44265</v>
      </c>
      <c r="H2084" s="13">
        <v>44449</v>
      </c>
      <c r="I2084">
        <v>0</v>
      </c>
      <c r="J2084">
        <v>8000</v>
      </c>
      <c r="K2084">
        <v>8000</v>
      </c>
      <c r="N2084">
        <v>8.695652173913043</v>
      </c>
      <c r="O2084">
        <v>6.9215</v>
      </c>
      <c r="P2084">
        <v>53.333300000000001</v>
      </c>
      <c r="Q2084">
        <v>6.75</v>
      </c>
      <c r="R2084">
        <v>6.5</v>
      </c>
      <c r="S2084">
        <v>6.75</v>
      </c>
      <c r="T2084">
        <v>96.619096999999996</v>
      </c>
      <c r="W2084" t="s">
        <v>497</v>
      </c>
    </row>
    <row r="2085" spans="1:23" x14ac:dyDescent="0.25">
      <c r="A2085" t="s">
        <v>2536</v>
      </c>
      <c r="B2085" t="str">
        <f t="shared" si="33"/>
        <v>GA1200001202</v>
      </c>
      <c r="C2085" t="s">
        <v>227</v>
      </c>
      <c r="D2085" t="s">
        <v>77</v>
      </c>
      <c r="E2085" t="s">
        <v>82</v>
      </c>
      <c r="F2085">
        <v>14000</v>
      </c>
      <c r="G2085" s="13">
        <v>44265</v>
      </c>
      <c r="H2085" s="13">
        <v>44449</v>
      </c>
      <c r="I2085">
        <v>5000</v>
      </c>
      <c r="J2085">
        <v>9000</v>
      </c>
      <c r="K2085">
        <v>14000</v>
      </c>
      <c r="N2085">
        <v>0</v>
      </c>
      <c r="O2085">
        <v>5.5251000000000001</v>
      </c>
      <c r="P2085">
        <v>100.71429999999999</v>
      </c>
      <c r="Q2085">
        <v>6</v>
      </c>
      <c r="R2085">
        <v>4.9000000000000004</v>
      </c>
      <c r="S2085">
        <v>6</v>
      </c>
      <c r="T2085">
        <v>97.282639000000003</v>
      </c>
      <c r="W2085" t="s">
        <v>497</v>
      </c>
    </row>
    <row r="2086" spans="1:23" x14ac:dyDescent="0.25">
      <c r="A2086" t="s">
        <v>2537</v>
      </c>
      <c r="B2086" t="str">
        <f t="shared" si="33"/>
        <v>GQ1300000957</v>
      </c>
      <c r="C2086" t="s">
        <v>528</v>
      </c>
      <c r="D2086" t="s">
        <v>77</v>
      </c>
      <c r="E2086" t="s">
        <v>287</v>
      </c>
      <c r="F2086">
        <v>15000</v>
      </c>
      <c r="G2086" s="13">
        <v>44265</v>
      </c>
      <c r="H2086" s="13">
        <v>44631</v>
      </c>
      <c r="I2086">
        <v>7000</v>
      </c>
      <c r="J2086">
        <v>8000</v>
      </c>
      <c r="K2086">
        <v>15000</v>
      </c>
      <c r="N2086">
        <v>41.666666666666671</v>
      </c>
      <c r="O2086">
        <v>8.9102999999999994</v>
      </c>
      <c r="P2086">
        <v>115.5933</v>
      </c>
      <c r="Q2086">
        <v>9</v>
      </c>
      <c r="R2086">
        <v>5.7</v>
      </c>
      <c r="S2086">
        <v>9</v>
      </c>
      <c r="T2086">
        <v>91.735279000000006</v>
      </c>
      <c r="W2086" t="s">
        <v>497</v>
      </c>
    </row>
    <row r="2087" spans="1:23" x14ac:dyDescent="0.25">
      <c r="A2087" t="s">
        <v>2538</v>
      </c>
      <c r="B2087" t="str">
        <f t="shared" si="33"/>
        <v>TD1100000124</v>
      </c>
      <c r="C2087" t="s">
        <v>237</v>
      </c>
      <c r="D2087" t="s">
        <v>77</v>
      </c>
      <c r="E2087" t="s">
        <v>78</v>
      </c>
      <c r="F2087">
        <v>10000</v>
      </c>
      <c r="G2087" s="13">
        <v>44265</v>
      </c>
      <c r="H2087" s="13">
        <v>44358</v>
      </c>
      <c r="I2087">
        <v>0</v>
      </c>
      <c r="J2087">
        <v>5000</v>
      </c>
      <c r="K2087">
        <v>5000</v>
      </c>
      <c r="N2087">
        <v>0</v>
      </c>
      <c r="O2087">
        <v>6.0923999999999996</v>
      </c>
      <c r="P2087">
        <v>50</v>
      </c>
      <c r="Q2087">
        <v>6</v>
      </c>
      <c r="R2087">
        <v>6</v>
      </c>
      <c r="S2087">
        <v>6</v>
      </c>
      <c r="T2087">
        <v>98.483333000000002</v>
      </c>
      <c r="W2087" t="s">
        <v>497</v>
      </c>
    </row>
    <row r="2088" spans="1:23" x14ac:dyDescent="0.25">
      <c r="A2088" t="s">
        <v>2539</v>
      </c>
      <c r="B2088" t="str">
        <f t="shared" si="33"/>
        <v>TD1200001147</v>
      </c>
      <c r="C2088" t="s">
        <v>237</v>
      </c>
      <c r="D2088" t="s">
        <v>77</v>
      </c>
      <c r="E2088" t="s">
        <v>82</v>
      </c>
      <c r="F2088">
        <v>36508</v>
      </c>
      <c r="G2088" s="13">
        <v>44265</v>
      </c>
      <c r="H2088" s="13">
        <v>44449</v>
      </c>
      <c r="I2088">
        <v>8622</v>
      </c>
      <c r="J2088">
        <v>20464</v>
      </c>
      <c r="K2088">
        <v>29086</v>
      </c>
      <c r="N2088">
        <v>0</v>
      </c>
      <c r="O2088">
        <v>6.7370000000000001</v>
      </c>
      <c r="P2088">
        <v>19.670200000000001</v>
      </c>
      <c r="Q2088">
        <v>6.75</v>
      </c>
      <c r="R2088">
        <v>6.25</v>
      </c>
      <c r="S2088">
        <v>6.75</v>
      </c>
      <c r="T2088">
        <v>96.706266999999997</v>
      </c>
      <c r="W2088" t="s">
        <v>497</v>
      </c>
    </row>
    <row r="2089" spans="1:23" x14ac:dyDescent="0.25">
      <c r="A2089" t="s">
        <v>2540</v>
      </c>
      <c r="B2089" t="str">
        <f t="shared" si="33"/>
        <v>GA1300000427</v>
      </c>
      <c r="C2089" t="s">
        <v>227</v>
      </c>
      <c r="D2089" t="s">
        <v>77</v>
      </c>
      <c r="E2089" t="s">
        <v>287</v>
      </c>
      <c r="F2089">
        <v>10000</v>
      </c>
      <c r="G2089" s="13">
        <v>44272</v>
      </c>
      <c r="H2089" s="13">
        <v>44617</v>
      </c>
      <c r="I2089">
        <v>1998</v>
      </c>
      <c r="J2089">
        <v>8002</v>
      </c>
      <c r="K2089">
        <v>10000</v>
      </c>
      <c r="N2089">
        <v>0</v>
      </c>
      <c r="O2089">
        <v>5.8422000000000001</v>
      </c>
      <c r="P2089">
        <v>100</v>
      </c>
      <c r="Q2089">
        <v>6</v>
      </c>
      <c r="R2089">
        <v>5.5</v>
      </c>
      <c r="S2089">
        <v>6</v>
      </c>
      <c r="T2089">
        <v>94.433700999999999</v>
      </c>
      <c r="W2089" t="s">
        <v>497</v>
      </c>
    </row>
    <row r="2090" spans="1:23" x14ac:dyDescent="0.25">
      <c r="A2090" t="s">
        <v>2541</v>
      </c>
      <c r="B2090" t="str">
        <f t="shared" si="33"/>
        <v>GA1200001210</v>
      </c>
      <c r="C2090" t="s">
        <v>227</v>
      </c>
      <c r="D2090" t="s">
        <v>77</v>
      </c>
      <c r="E2090" t="s">
        <v>82</v>
      </c>
      <c r="F2090">
        <v>15000</v>
      </c>
      <c r="G2090" s="13">
        <v>44272</v>
      </c>
      <c r="H2090" s="13">
        <v>44456</v>
      </c>
      <c r="I2090">
        <v>5000</v>
      </c>
      <c r="J2090">
        <v>367</v>
      </c>
      <c r="K2090">
        <v>5367</v>
      </c>
      <c r="N2090">
        <v>0</v>
      </c>
      <c r="O2090">
        <v>5.4067999999999996</v>
      </c>
      <c r="P2090">
        <v>36.4467</v>
      </c>
      <c r="Q2090">
        <v>5.5</v>
      </c>
      <c r="R2090">
        <v>5.3</v>
      </c>
      <c r="S2090">
        <v>5.5</v>
      </c>
      <c r="T2090">
        <v>97.266542999999999</v>
      </c>
      <c r="W2090" t="s">
        <v>497</v>
      </c>
    </row>
    <row r="2091" spans="1:23" x14ac:dyDescent="0.25">
      <c r="A2091" t="s">
        <v>2542</v>
      </c>
      <c r="B2091" t="str">
        <f t="shared" si="33"/>
        <v>TD1200001154</v>
      </c>
      <c r="C2091" t="s">
        <v>237</v>
      </c>
      <c r="D2091" t="s">
        <v>77</v>
      </c>
      <c r="E2091" t="s">
        <v>82</v>
      </c>
      <c r="F2091">
        <v>30500</v>
      </c>
      <c r="G2091" s="13">
        <v>44272</v>
      </c>
      <c r="H2091" s="13">
        <v>44456</v>
      </c>
      <c r="I2091">
        <v>10825</v>
      </c>
      <c r="J2091">
        <v>13408</v>
      </c>
      <c r="K2091">
        <v>24233</v>
      </c>
      <c r="N2091">
        <v>0</v>
      </c>
      <c r="O2091">
        <v>6.4381000000000004</v>
      </c>
      <c r="P2091">
        <v>79.452500000000001</v>
      </c>
      <c r="Q2091">
        <v>6.5</v>
      </c>
      <c r="R2091">
        <v>6</v>
      </c>
      <c r="S2091">
        <v>6.5</v>
      </c>
      <c r="T2091">
        <v>96.745182</v>
      </c>
      <c r="W2091" t="s">
        <v>497</v>
      </c>
    </row>
    <row r="2092" spans="1:23" x14ac:dyDescent="0.25">
      <c r="A2092" t="s">
        <v>2543</v>
      </c>
      <c r="B2092" t="str">
        <f t="shared" si="33"/>
        <v>CG1200000442</v>
      </c>
      <c r="C2092" t="s">
        <v>229</v>
      </c>
      <c r="D2092" t="s">
        <v>77</v>
      </c>
      <c r="E2092" t="s">
        <v>82</v>
      </c>
      <c r="F2092">
        <v>12000</v>
      </c>
      <c r="G2092" s="13">
        <v>44279</v>
      </c>
      <c r="H2092" s="13">
        <v>44463</v>
      </c>
      <c r="I2092">
        <v>2000</v>
      </c>
      <c r="J2092">
        <v>6000</v>
      </c>
      <c r="K2092">
        <v>8000</v>
      </c>
      <c r="N2092">
        <v>13.043478260869565</v>
      </c>
      <c r="O2092">
        <v>6.125</v>
      </c>
      <c r="P2092">
        <v>66.666700000000006</v>
      </c>
      <c r="Q2092">
        <v>6.5</v>
      </c>
      <c r="R2092">
        <v>6</v>
      </c>
      <c r="S2092">
        <v>6.5</v>
      </c>
      <c r="T2092">
        <v>96.903471999999994</v>
      </c>
      <c r="W2092" t="s">
        <v>497</v>
      </c>
    </row>
    <row r="2093" spans="1:23" x14ac:dyDescent="0.25">
      <c r="A2093" t="s">
        <v>2544</v>
      </c>
      <c r="B2093" t="str">
        <f t="shared" si="33"/>
        <v>GA1300000435</v>
      </c>
      <c r="C2093" t="s">
        <v>227</v>
      </c>
      <c r="D2093" t="s">
        <v>77</v>
      </c>
      <c r="E2093" t="s">
        <v>287</v>
      </c>
      <c r="F2093">
        <v>10000</v>
      </c>
      <c r="G2093" s="13">
        <v>44279</v>
      </c>
      <c r="H2093" s="13">
        <v>44645</v>
      </c>
      <c r="I2093">
        <v>5500</v>
      </c>
      <c r="J2093">
        <v>4500</v>
      </c>
      <c r="K2093">
        <v>10000</v>
      </c>
      <c r="N2093">
        <v>0</v>
      </c>
      <c r="O2093">
        <v>5.9009999999999998</v>
      </c>
      <c r="P2093">
        <v>100</v>
      </c>
      <c r="Q2093">
        <v>6.15</v>
      </c>
      <c r="R2093">
        <v>5.5</v>
      </c>
      <c r="S2093">
        <v>6.15</v>
      </c>
      <c r="T2093">
        <v>94.033433000000002</v>
      </c>
      <c r="W2093" t="s">
        <v>497</v>
      </c>
    </row>
    <row r="2094" spans="1:23" x14ac:dyDescent="0.25">
      <c r="A2094" t="s">
        <v>2545</v>
      </c>
      <c r="B2094" t="str">
        <f t="shared" si="33"/>
        <v>GQ1300000965</v>
      </c>
      <c r="C2094" t="s">
        <v>528</v>
      </c>
      <c r="D2094" t="s">
        <v>77</v>
      </c>
      <c r="E2094" t="s">
        <v>287</v>
      </c>
      <c r="F2094">
        <v>10000</v>
      </c>
      <c r="G2094" s="13">
        <v>44279</v>
      </c>
      <c r="H2094" s="13">
        <v>44645</v>
      </c>
      <c r="I2094">
        <v>2500</v>
      </c>
      <c r="J2094">
        <v>6600</v>
      </c>
      <c r="K2094">
        <v>9100</v>
      </c>
      <c r="N2094">
        <v>50</v>
      </c>
      <c r="O2094">
        <v>8.4596999999999998</v>
      </c>
      <c r="P2094">
        <v>98</v>
      </c>
      <c r="Q2094">
        <v>8.9499999999999993</v>
      </c>
      <c r="R2094">
        <v>5</v>
      </c>
      <c r="S2094">
        <v>8.9499999999999993</v>
      </c>
      <c r="T2094">
        <v>91.446299999999994</v>
      </c>
      <c r="W2094" t="s">
        <v>497</v>
      </c>
    </row>
    <row r="2095" spans="1:23" x14ac:dyDescent="0.25">
      <c r="A2095" t="s">
        <v>2546</v>
      </c>
      <c r="B2095" t="str">
        <f t="shared" si="33"/>
        <v>TD1200001162</v>
      </c>
      <c r="C2095" t="s">
        <v>237</v>
      </c>
      <c r="D2095" t="s">
        <v>77</v>
      </c>
      <c r="E2095" t="s">
        <v>82</v>
      </c>
      <c r="F2095">
        <v>10000</v>
      </c>
      <c r="G2095" s="13">
        <v>44279</v>
      </c>
      <c r="H2095" s="13">
        <v>44828</v>
      </c>
      <c r="I2095">
        <v>0</v>
      </c>
      <c r="J2095">
        <v>0</v>
      </c>
      <c r="K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W2095" t="s">
        <v>497</v>
      </c>
    </row>
    <row r="2096" spans="1:23" x14ac:dyDescent="0.25">
      <c r="A2096" t="s">
        <v>2547</v>
      </c>
      <c r="B2096" t="str">
        <f t="shared" si="33"/>
        <v>TD1300000411</v>
      </c>
      <c r="C2096" t="s">
        <v>237</v>
      </c>
      <c r="D2096" t="s">
        <v>77</v>
      </c>
      <c r="E2096" t="s">
        <v>287</v>
      </c>
      <c r="F2096">
        <v>25000</v>
      </c>
      <c r="G2096" s="13">
        <v>44279</v>
      </c>
      <c r="H2096" s="13">
        <v>44645</v>
      </c>
      <c r="I2096">
        <v>4500</v>
      </c>
      <c r="J2096">
        <v>16750</v>
      </c>
      <c r="K2096">
        <v>21250</v>
      </c>
      <c r="N2096">
        <v>0</v>
      </c>
      <c r="O2096">
        <v>6.4450000000000003</v>
      </c>
      <c r="P2096">
        <v>85</v>
      </c>
      <c r="Q2096">
        <v>6.6</v>
      </c>
      <c r="R2096">
        <v>6</v>
      </c>
      <c r="S2096">
        <v>6.6</v>
      </c>
      <c r="T2096">
        <v>93.483389000000003</v>
      </c>
      <c r="W2096" t="s">
        <v>497</v>
      </c>
    </row>
    <row r="2097" spans="1:23" x14ac:dyDescent="0.25">
      <c r="A2097" t="s">
        <v>2548</v>
      </c>
      <c r="B2097" t="str">
        <f t="shared" si="33"/>
        <v>CM1200001020</v>
      </c>
      <c r="C2097" t="s">
        <v>225</v>
      </c>
      <c r="D2097" t="s">
        <v>77</v>
      </c>
      <c r="E2097" t="s">
        <v>82</v>
      </c>
      <c r="F2097">
        <v>20000</v>
      </c>
      <c r="G2097" s="13">
        <v>44286</v>
      </c>
      <c r="H2097" s="13">
        <v>44470</v>
      </c>
      <c r="I2097">
        <v>20000</v>
      </c>
      <c r="J2097">
        <v>0</v>
      </c>
      <c r="K2097">
        <v>20000</v>
      </c>
      <c r="N2097">
        <v>23.809523809523807</v>
      </c>
      <c r="O2097">
        <v>2.0499999999999998</v>
      </c>
      <c r="P2097">
        <v>197.5</v>
      </c>
      <c r="Q2097">
        <v>2.0499999999999998</v>
      </c>
      <c r="R2097">
        <v>2.0499999999999998</v>
      </c>
      <c r="S2097">
        <v>2.0499999999999998</v>
      </c>
      <c r="T2097">
        <v>98.963611</v>
      </c>
      <c r="W2097" t="s">
        <v>497</v>
      </c>
    </row>
    <row r="2098" spans="1:23" x14ac:dyDescent="0.25">
      <c r="A2098" t="s">
        <v>2549</v>
      </c>
      <c r="B2098" t="str">
        <f t="shared" si="33"/>
        <v>CG1100000203</v>
      </c>
      <c r="C2098" t="s">
        <v>229</v>
      </c>
      <c r="D2098" t="s">
        <v>77</v>
      </c>
      <c r="E2098" t="s">
        <v>78</v>
      </c>
      <c r="F2098">
        <v>10000</v>
      </c>
      <c r="G2098" s="13">
        <v>44286</v>
      </c>
      <c r="H2098" s="13">
        <v>44379</v>
      </c>
      <c r="I2098">
        <v>10000</v>
      </c>
      <c r="J2098">
        <v>0</v>
      </c>
      <c r="K2098">
        <v>10000</v>
      </c>
      <c r="N2098">
        <v>17.391304347826086</v>
      </c>
      <c r="O2098">
        <v>5.85</v>
      </c>
      <c r="P2098">
        <v>133.49</v>
      </c>
      <c r="Q2098">
        <v>5.85</v>
      </c>
      <c r="R2098">
        <v>5.85</v>
      </c>
      <c r="S2098">
        <v>8.85</v>
      </c>
      <c r="T2098">
        <v>98.521249999999995</v>
      </c>
      <c r="W2098" t="s">
        <v>497</v>
      </c>
    </row>
    <row r="2099" spans="1:23" x14ac:dyDescent="0.25">
      <c r="A2099" t="s">
        <v>2550</v>
      </c>
      <c r="B2099" t="str">
        <f t="shared" si="33"/>
        <v>CG1300000110</v>
      </c>
      <c r="C2099" t="s">
        <v>229</v>
      </c>
      <c r="D2099" t="s">
        <v>77</v>
      </c>
      <c r="E2099" t="s">
        <v>287</v>
      </c>
      <c r="F2099">
        <v>20000</v>
      </c>
      <c r="G2099" s="13">
        <v>44286</v>
      </c>
      <c r="H2099" s="13">
        <v>44652</v>
      </c>
      <c r="I2099">
        <v>13640</v>
      </c>
      <c r="J2099">
        <v>6000</v>
      </c>
      <c r="K2099">
        <v>19640</v>
      </c>
      <c r="N2099">
        <v>21.739130434782609</v>
      </c>
      <c r="O2099">
        <v>6.3365999999999998</v>
      </c>
      <c r="P2099">
        <v>98.2</v>
      </c>
      <c r="Q2099">
        <v>6.75</v>
      </c>
      <c r="R2099">
        <v>6</v>
      </c>
      <c r="S2099">
        <v>6.75</v>
      </c>
      <c r="T2099">
        <v>93.593035999999998</v>
      </c>
      <c r="W2099" t="s">
        <v>497</v>
      </c>
    </row>
    <row r="2100" spans="1:23" x14ac:dyDescent="0.25">
      <c r="A2100" t="s">
        <v>2551</v>
      </c>
      <c r="B2100" t="str">
        <f t="shared" si="33"/>
        <v>GA1200001210</v>
      </c>
      <c r="C2100" t="s">
        <v>227</v>
      </c>
      <c r="D2100" t="s">
        <v>77</v>
      </c>
      <c r="E2100" t="s">
        <v>82</v>
      </c>
      <c r="F2100">
        <v>10000</v>
      </c>
      <c r="G2100" s="13">
        <v>44286</v>
      </c>
      <c r="H2100" s="13">
        <v>44456</v>
      </c>
      <c r="I2100">
        <v>1000</v>
      </c>
      <c r="J2100">
        <v>5000</v>
      </c>
      <c r="K2100">
        <v>6000</v>
      </c>
      <c r="N2100">
        <v>0</v>
      </c>
      <c r="O2100">
        <v>5.3333000000000004</v>
      </c>
      <c r="P2100">
        <v>60</v>
      </c>
      <c r="Q2100">
        <v>5.75</v>
      </c>
      <c r="R2100">
        <v>5</v>
      </c>
      <c r="S2100">
        <v>5.75</v>
      </c>
      <c r="T2100">
        <v>97.511111</v>
      </c>
      <c r="W2100" t="s">
        <v>497</v>
      </c>
    </row>
    <row r="2101" spans="1:23" x14ac:dyDescent="0.25">
      <c r="A2101" t="s">
        <v>2552</v>
      </c>
      <c r="B2101" t="str">
        <f t="shared" si="33"/>
        <v>GA1300000443</v>
      </c>
      <c r="C2101" t="s">
        <v>227</v>
      </c>
      <c r="D2101" t="s">
        <v>77</v>
      </c>
      <c r="E2101" t="s">
        <v>287</v>
      </c>
      <c r="F2101">
        <v>15000</v>
      </c>
      <c r="G2101" s="13">
        <v>44286</v>
      </c>
      <c r="H2101" s="13">
        <v>44652</v>
      </c>
      <c r="I2101">
        <v>5200</v>
      </c>
      <c r="J2101">
        <v>7200</v>
      </c>
      <c r="K2101">
        <v>12400</v>
      </c>
      <c r="N2101">
        <v>0</v>
      </c>
      <c r="O2101">
        <v>5.9547999999999996</v>
      </c>
      <c r="P2101">
        <v>82.666700000000006</v>
      </c>
      <c r="Q2101">
        <v>6.5</v>
      </c>
      <c r="R2101">
        <v>5.75</v>
      </c>
      <c r="S2101">
        <v>6.5</v>
      </c>
      <c r="T2101">
        <v>93.978995999999995</v>
      </c>
      <c r="W2101" t="s">
        <v>497</v>
      </c>
    </row>
    <row r="2102" spans="1:23" x14ac:dyDescent="0.25">
      <c r="A2102" t="s">
        <v>2553</v>
      </c>
      <c r="B2102" t="str">
        <f t="shared" si="33"/>
        <v>GQ1300000973</v>
      </c>
      <c r="C2102" t="s">
        <v>528</v>
      </c>
      <c r="D2102" t="s">
        <v>77</v>
      </c>
      <c r="E2102" t="s">
        <v>287</v>
      </c>
      <c r="F2102">
        <v>20000</v>
      </c>
      <c r="G2102" s="13">
        <v>44286</v>
      </c>
      <c r="H2102" s="13">
        <v>44652</v>
      </c>
      <c r="I2102">
        <v>10000</v>
      </c>
      <c r="J2102">
        <v>3435</v>
      </c>
      <c r="K2102">
        <v>13435</v>
      </c>
      <c r="N2102">
        <v>33.333333333333329</v>
      </c>
      <c r="O2102">
        <v>8.4383999999999997</v>
      </c>
      <c r="P2102">
        <v>67.174999999999997</v>
      </c>
      <c r="Q2102">
        <v>9.5</v>
      </c>
      <c r="R2102">
        <v>8</v>
      </c>
      <c r="S2102">
        <v>9.5</v>
      </c>
      <c r="T2102">
        <v>91.467832999999999</v>
      </c>
      <c r="W2102" t="s">
        <v>497</v>
      </c>
    </row>
    <row r="2103" spans="1:23" x14ac:dyDescent="0.25">
      <c r="A2103" t="s">
        <v>2554</v>
      </c>
      <c r="B2103" t="str">
        <f t="shared" si="33"/>
        <v>TD1200001170</v>
      </c>
      <c r="C2103" t="s">
        <v>237</v>
      </c>
      <c r="D2103" t="s">
        <v>77</v>
      </c>
      <c r="E2103" t="s">
        <v>82</v>
      </c>
      <c r="F2103">
        <v>10000</v>
      </c>
      <c r="G2103" s="13">
        <v>44286</v>
      </c>
      <c r="H2103" s="13">
        <v>44470</v>
      </c>
      <c r="I2103">
        <v>500</v>
      </c>
      <c r="J2103">
        <v>1000</v>
      </c>
      <c r="K2103">
        <v>1500</v>
      </c>
      <c r="N2103">
        <v>0</v>
      </c>
      <c r="O2103">
        <v>6.5</v>
      </c>
      <c r="P2103">
        <v>15</v>
      </c>
      <c r="Q2103">
        <v>6.5</v>
      </c>
      <c r="R2103">
        <v>6.5</v>
      </c>
      <c r="S2103">
        <v>6.5</v>
      </c>
      <c r="T2103">
        <v>96.713888999999995</v>
      </c>
      <c r="W2103" t="s">
        <v>497</v>
      </c>
    </row>
    <row r="2104" spans="1:23" x14ac:dyDescent="0.25">
      <c r="A2104" t="s">
        <v>2555</v>
      </c>
      <c r="B2104" t="str">
        <f t="shared" si="33"/>
        <v>CM1300000542</v>
      </c>
      <c r="C2104" t="s">
        <v>225</v>
      </c>
      <c r="D2104" t="s">
        <v>77</v>
      </c>
      <c r="E2104" t="s">
        <v>287</v>
      </c>
      <c r="F2104">
        <v>10000</v>
      </c>
      <c r="G2104" s="13">
        <v>44293</v>
      </c>
      <c r="H2104" s="13">
        <v>44659</v>
      </c>
      <c r="I2104">
        <v>10000</v>
      </c>
      <c r="J2104">
        <v>0</v>
      </c>
      <c r="K2104">
        <v>10000</v>
      </c>
      <c r="N2104">
        <v>23.809523809523807</v>
      </c>
      <c r="O2104">
        <v>2.9737</v>
      </c>
      <c r="P2104">
        <v>129</v>
      </c>
      <c r="Q2104">
        <v>3.5</v>
      </c>
      <c r="R2104">
        <v>2.69</v>
      </c>
      <c r="S2104">
        <v>3.5</v>
      </c>
      <c r="T2104">
        <v>96.993258999999995</v>
      </c>
      <c r="W2104" t="s">
        <v>497</v>
      </c>
    </row>
    <row r="2105" spans="1:23" x14ac:dyDescent="0.25">
      <c r="A2105" t="s">
        <v>2556</v>
      </c>
      <c r="B2105" t="str">
        <f t="shared" si="33"/>
        <v>CG1200000459</v>
      </c>
      <c r="C2105" t="s">
        <v>229</v>
      </c>
      <c r="D2105" t="s">
        <v>77</v>
      </c>
      <c r="E2105" t="s">
        <v>82</v>
      </c>
      <c r="F2105">
        <v>13000</v>
      </c>
      <c r="G2105" s="13">
        <v>44293</v>
      </c>
      <c r="H2105" s="13">
        <v>44477</v>
      </c>
      <c r="I2105">
        <v>10672</v>
      </c>
      <c r="J2105">
        <v>2328</v>
      </c>
      <c r="K2105">
        <v>13000</v>
      </c>
      <c r="N2105">
        <v>26.086956521739129</v>
      </c>
      <c r="O2105">
        <v>6.0747</v>
      </c>
      <c r="P2105">
        <v>133.4385</v>
      </c>
      <c r="Q2105">
        <v>6.5</v>
      </c>
      <c r="R2105">
        <v>5.5</v>
      </c>
      <c r="S2105">
        <v>6.5</v>
      </c>
      <c r="T2105">
        <v>96.928886000000006</v>
      </c>
      <c r="W2105" t="s">
        <v>497</v>
      </c>
    </row>
    <row r="2106" spans="1:23" x14ac:dyDescent="0.25">
      <c r="A2106" t="s">
        <v>2557</v>
      </c>
      <c r="B2106" t="str">
        <f t="shared" si="33"/>
        <v>GA1100001351</v>
      </c>
      <c r="C2106" t="s">
        <v>227</v>
      </c>
      <c r="D2106" t="s">
        <v>77</v>
      </c>
      <c r="E2106" t="s">
        <v>78</v>
      </c>
      <c r="F2106">
        <v>10000</v>
      </c>
      <c r="G2106" s="13">
        <v>44293</v>
      </c>
      <c r="H2106" s="13">
        <v>44386</v>
      </c>
      <c r="I2106">
        <v>408</v>
      </c>
      <c r="J2106">
        <v>9592</v>
      </c>
      <c r="K2106">
        <v>10000</v>
      </c>
      <c r="N2106">
        <v>33.333333333333329</v>
      </c>
      <c r="O2106">
        <v>5.0098000000000003</v>
      </c>
      <c r="P2106">
        <v>246.08</v>
      </c>
      <c r="Q2106">
        <v>5.25</v>
      </c>
      <c r="R2106">
        <v>4.75</v>
      </c>
      <c r="S2106">
        <v>5.25</v>
      </c>
      <c r="T2106">
        <v>98.733633999999995</v>
      </c>
      <c r="W2106" t="s">
        <v>497</v>
      </c>
    </row>
    <row r="2107" spans="1:23" x14ac:dyDescent="0.25">
      <c r="A2107" t="s">
        <v>2558</v>
      </c>
      <c r="B2107" t="str">
        <f t="shared" si="33"/>
        <v>CG1200000467</v>
      </c>
      <c r="C2107" t="s">
        <v>229</v>
      </c>
      <c r="D2107" t="s">
        <v>77</v>
      </c>
      <c r="E2107" t="s">
        <v>82</v>
      </c>
      <c r="F2107">
        <v>12000</v>
      </c>
      <c r="G2107" s="13">
        <v>44300</v>
      </c>
      <c r="H2107" s="13">
        <v>44484</v>
      </c>
      <c r="I2107">
        <v>4027</v>
      </c>
      <c r="J2107">
        <v>7973</v>
      </c>
      <c r="K2107">
        <v>12000</v>
      </c>
      <c r="N2107">
        <v>26.086956521739129</v>
      </c>
      <c r="O2107">
        <v>6.4317000000000002</v>
      </c>
      <c r="P2107">
        <v>100.325</v>
      </c>
      <c r="Q2107">
        <v>6.5</v>
      </c>
      <c r="R2107">
        <v>5.5</v>
      </c>
      <c r="S2107">
        <v>6.5</v>
      </c>
      <c r="T2107">
        <v>96.748435000000001</v>
      </c>
      <c r="W2107" t="s">
        <v>497</v>
      </c>
    </row>
    <row r="2108" spans="1:23" x14ac:dyDescent="0.25">
      <c r="A2108" t="s">
        <v>2559</v>
      </c>
      <c r="B2108" t="str">
        <f t="shared" si="33"/>
        <v>GA1300000450</v>
      </c>
      <c r="C2108" t="s">
        <v>227</v>
      </c>
      <c r="D2108" t="s">
        <v>77</v>
      </c>
      <c r="E2108" t="s">
        <v>287</v>
      </c>
      <c r="F2108">
        <v>10000</v>
      </c>
      <c r="G2108" s="13">
        <v>44300</v>
      </c>
      <c r="H2108" s="13">
        <v>44666</v>
      </c>
      <c r="I2108">
        <v>635</v>
      </c>
      <c r="J2108">
        <v>9365</v>
      </c>
      <c r="K2108">
        <v>10000</v>
      </c>
      <c r="N2108">
        <v>0</v>
      </c>
      <c r="O2108">
        <v>5.8250000000000002</v>
      </c>
      <c r="P2108">
        <v>208</v>
      </c>
      <c r="Q2108">
        <v>6</v>
      </c>
      <c r="R2108">
        <v>5.5</v>
      </c>
      <c r="S2108">
        <v>6</v>
      </c>
      <c r="T2108">
        <v>94.110277999999994</v>
      </c>
      <c r="W2108" t="s">
        <v>497</v>
      </c>
    </row>
    <row r="2109" spans="1:23" x14ac:dyDescent="0.25">
      <c r="A2109" t="s">
        <v>2560</v>
      </c>
      <c r="B2109" t="str">
        <f t="shared" si="33"/>
        <v>GQ1300000981</v>
      </c>
      <c r="C2109" t="s">
        <v>528</v>
      </c>
      <c r="D2109" t="s">
        <v>77</v>
      </c>
      <c r="E2109" t="s">
        <v>287</v>
      </c>
      <c r="F2109">
        <v>15000</v>
      </c>
      <c r="G2109" s="13">
        <v>44300</v>
      </c>
      <c r="H2109" s="13">
        <v>44666</v>
      </c>
      <c r="I2109">
        <v>10000</v>
      </c>
      <c r="J2109">
        <v>5000</v>
      </c>
      <c r="K2109">
        <v>15000</v>
      </c>
      <c r="N2109">
        <v>25</v>
      </c>
      <c r="O2109">
        <v>8.3249999999999993</v>
      </c>
      <c r="P2109">
        <v>155.5933</v>
      </c>
      <c r="Q2109">
        <v>8.75</v>
      </c>
      <c r="R2109">
        <v>8</v>
      </c>
      <c r="S2109">
        <v>8.75</v>
      </c>
      <c r="T2109">
        <v>91.582499999999996</v>
      </c>
      <c r="W2109" t="s">
        <v>497</v>
      </c>
    </row>
    <row r="2110" spans="1:23" x14ac:dyDescent="0.25">
      <c r="A2110" t="s">
        <v>2561</v>
      </c>
      <c r="B2110" t="str">
        <f t="shared" si="33"/>
        <v>TD1200001188</v>
      </c>
      <c r="C2110" t="s">
        <v>237</v>
      </c>
      <c r="D2110" t="s">
        <v>77</v>
      </c>
      <c r="E2110" t="s">
        <v>82</v>
      </c>
      <c r="F2110">
        <v>11120</v>
      </c>
      <c r="G2110" s="13">
        <v>44300</v>
      </c>
      <c r="H2110" s="13">
        <v>44484</v>
      </c>
      <c r="I2110">
        <v>6809</v>
      </c>
      <c r="J2110">
        <v>3000</v>
      </c>
      <c r="K2110">
        <v>9809</v>
      </c>
      <c r="N2110">
        <v>0</v>
      </c>
      <c r="O2110">
        <v>6.3800999999999997</v>
      </c>
      <c r="P2110">
        <v>88.210400000000007</v>
      </c>
      <c r="Q2110">
        <v>6.5</v>
      </c>
      <c r="R2110">
        <v>6.15</v>
      </c>
      <c r="S2110">
        <v>6.5</v>
      </c>
      <c r="T2110">
        <v>96.774518</v>
      </c>
      <c r="W2110" t="s">
        <v>497</v>
      </c>
    </row>
    <row r="2111" spans="1:23" x14ac:dyDescent="0.25">
      <c r="A2111" t="s">
        <v>2562</v>
      </c>
      <c r="B2111" t="str">
        <f t="shared" si="33"/>
        <v>TD1300000429</v>
      </c>
      <c r="C2111" t="s">
        <v>237</v>
      </c>
      <c r="D2111" t="s">
        <v>77</v>
      </c>
      <c r="E2111" t="s">
        <v>287</v>
      </c>
      <c r="F2111">
        <v>10000</v>
      </c>
      <c r="G2111" s="13">
        <v>44300</v>
      </c>
      <c r="H2111" s="13"/>
      <c r="J2111">
        <v>0</v>
      </c>
      <c r="K2111">
        <v>0</v>
      </c>
      <c r="N2111">
        <v>0</v>
      </c>
      <c r="Q2111">
        <v>0</v>
      </c>
      <c r="T2111" t="s">
        <v>643</v>
      </c>
      <c r="W2111" t="s">
        <v>497</v>
      </c>
    </row>
    <row r="2112" spans="1:23" x14ac:dyDescent="0.25">
      <c r="A2112" t="s">
        <v>2563</v>
      </c>
      <c r="B2112" t="str">
        <f t="shared" si="33"/>
        <v>CG1300000094</v>
      </c>
      <c r="C2112" t="s">
        <v>229</v>
      </c>
      <c r="D2112" t="s">
        <v>77</v>
      </c>
      <c r="E2112" t="s">
        <v>287</v>
      </c>
      <c r="F2112">
        <v>10000</v>
      </c>
      <c r="G2112" s="13">
        <v>44307</v>
      </c>
      <c r="H2112" s="13">
        <v>44596</v>
      </c>
      <c r="I2112">
        <v>6085</v>
      </c>
      <c r="J2112">
        <v>3915</v>
      </c>
      <c r="K2112">
        <v>10000</v>
      </c>
      <c r="N2112">
        <v>21.739130434782609</v>
      </c>
      <c r="O2112">
        <v>6.4928999999999997</v>
      </c>
      <c r="P2112">
        <v>100</v>
      </c>
      <c r="Q2112">
        <v>6.5</v>
      </c>
      <c r="R2112">
        <v>5.95</v>
      </c>
      <c r="S2112">
        <v>6.5</v>
      </c>
      <c r="T2112">
        <v>94.823735999999997</v>
      </c>
      <c r="W2112" t="s">
        <v>497</v>
      </c>
    </row>
    <row r="2113" spans="1:23" x14ac:dyDescent="0.25">
      <c r="A2113" t="s">
        <v>2564</v>
      </c>
      <c r="B2113" t="str">
        <f t="shared" si="33"/>
        <v>GA1200001228</v>
      </c>
      <c r="C2113" t="s">
        <v>227</v>
      </c>
      <c r="D2113" t="s">
        <v>77</v>
      </c>
      <c r="E2113" t="s">
        <v>82</v>
      </c>
      <c r="F2113">
        <v>12000</v>
      </c>
      <c r="G2113" s="13">
        <v>44307</v>
      </c>
      <c r="H2113" s="13">
        <v>44491</v>
      </c>
      <c r="I2113">
        <v>0</v>
      </c>
      <c r="J2113">
        <v>12000</v>
      </c>
      <c r="K2113">
        <v>12000</v>
      </c>
      <c r="N2113">
        <v>0</v>
      </c>
      <c r="O2113">
        <v>5.5</v>
      </c>
      <c r="P2113">
        <v>181.66669999999999</v>
      </c>
      <c r="Q2113">
        <v>5.5</v>
      </c>
      <c r="R2113">
        <v>5.5</v>
      </c>
      <c r="S2113">
        <v>5.5</v>
      </c>
      <c r="T2113">
        <v>97.219443999999996</v>
      </c>
      <c r="W2113" t="s">
        <v>497</v>
      </c>
    </row>
    <row r="2114" spans="1:23" x14ac:dyDescent="0.25">
      <c r="A2114" t="s">
        <v>2565</v>
      </c>
      <c r="B2114" t="str">
        <f t="shared" si="33"/>
        <v>GQ1300000999</v>
      </c>
      <c r="C2114" t="s">
        <v>528</v>
      </c>
      <c r="D2114" t="s">
        <v>77</v>
      </c>
      <c r="E2114" t="s">
        <v>287</v>
      </c>
      <c r="F2114">
        <v>15000</v>
      </c>
      <c r="G2114" s="13">
        <v>44307</v>
      </c>
      <c r="H2114" s="13">
        <v>44673</v>
      </c>
      <c r="I2114">
        <v>4000</v>
      </c>
      <c r="J2114">
        <v>11000</v>
      </c>
      <c r="K2114">
        <v>15000</v>
      </c>
      <c r="N2114">
        <v>41.666666666666671</v>
      </c>
      <c r="O2114">
        <v>8.3920999999999992</v>
      </c>
      <c r="P2114">
        <v>100.02</v>
      </c>
      <c r="Q2114">
        <v>9</v>
      </c>
      <c r="R2114">
        <v>7.95</v>
      </c>
      <c r="S2114">
        <v>9</v>
      </c>
      <c r="T2114">
        <v>91.514617000000001</v>
      </c>
      <c r="W2114" t="s">
        <v>497</v>
      </c>
    </row>
    <row r="2115" spans="1:23" x14ac:dyDescent="0.25">
      <c r="A2115" t="s">
        <v>2566</v>
      </c>
      <c r="B2115" t="str">
        <f t="shared" si="33"/>
        <v>GA1300000401</v>
      </c>
      <c r="C2115" t="s">
        <v>227</v>
      </c>
      <c r="D2115" t="s">
        <v>77</v>
      </c>
      <c r="E2115" t="s">
        <v>287</v>
      </c>
      <c r="F2115">
        <v>10000</v>
      </c>
      <c r="G2115" s="13">
        <v>44314</v>
      </c>
      <c r="H2115" s="13">
        <v>44477</v>
      </c>
      <c r="I2115">
        <v>0</v>
      </c>
      <c r="J2115">
        <v>10000</v>
      </c>
      <c r="K2115">
        <v>10000</v>
      </c>
      <c r="N2115">
        <v>0</v>
      </c>
      <c r="O2115">
        <v>5.5613000000000001</v>
      </c>
      <c r="P2115">
        <v>120.5</v>
      </c>
      <c r="Q2115">
        <v>5.75</v>
      </c>
      <c r="R2115">
        <v>5.5</v>
      </c>
      <c r="S2115">
        <v>5.75</v>
      </c>
      <c r="T2115">
        <v>97.512884999999997</v>
      </c>
      <c r="W2115" t="s">
        <v>497</v>
      </c>
    </row>
    <row r="2116" spans="1:23" x14ac:dyDescent="0.25">
      <c r="A2116" t="s">
        <v>2567</v>
      </c>
      <c r="B2116" t="str">
        <f t="shared" si="33"/>
        <v>GA1100001369</v>
      </c>
      <c r="C2116" t="s">
        <v>227</v>
      </c>
      <c r="D2116" t="s">
        <v>77</v>
      </c>
      <c r="E2116" t="s">
        <v>78</v>
      </c>
      <c r="F2116">
        <v>14000</v>
      </c>
      <c r="G2116" s="13">
        <v>44314</v>
      </c>
      <c r="H2116" s="13">
        <v>44407</v>
      </c>
      <c r="I2116">
        <v>5975</v>
      </c>
      <c r="J2116">
        <v>8025</v>
      </c>
      <c r="K2116">
        <v>14000</v>
      </c>
      <c r="N2116">
        <v>16.666666666666664</v>
      </c>
      <c r="O2116">
        <v>5.1001000000000003</v>
      </c>
      <c r="P2116">
        <v>114.1071</v>
      </c>
      <c r="Q2116">
        <v>5.25</v>
      </c>
      <c r="R2116">
        <v>4.9000000000000004</v>
      </c>
      <c r="S2116">
        <v>5.25</v>
      </c>
      <c r="T2116">
        <v>98.710811000000007</v>
      </c>
      <c r="W2116" t="s">
        <v>497</v>
      </c>
    </row>
    <row r="2117" spans="1:23" x14ac:dyDescent="0.25">
      <c r="A2117" t="s">
        <v>2568</v>
      </c>
      <c r="B2117" t="str">
        <f t="shared" si="33"/>
        <v>TD1200001196</v>
      </c>
      <c r="C2117" t="s">
        <v>237</v>
      </c>
      <c r="D2117" t="s">
        <v>77</v>
      </c>
      <c r="E2117" t="s">
        <v>82</v>
      </c>
      <c r="F2117">
        <v>13500</v>
      </c>
      <c r="G2117" s="13">
        <v>44314</v>
      </c>
      <c r="H2117" s="13">
        <v>44498</v>
      </c>
      <c r="I2117">
        <v>0</v>
      </c>
      <c r="J2117">
        <v>13500</v>
      </c>
      <c r="K2117">
        <v>13500</v>
      </c>
      <c r="N2117">
        <v>0</v>
      </c>
      <c r="O2117">
        <v>6.5</v>
      </c>
      <c r="P2117">
        <v>100</v>
      </c>
      <c r="Q2117">
        <v>6.5</v>
      </c>
      <c r="R2117">
        <v>6.5</v>
      </c>
      <c r="S2117">
        <v>6.5</v>
      </c>
      <c r="T2117">
        <v>96.713888999999995</v>
      </c>
      <c r="W2117" t="s">
        <v>497</v>
      </c>
    </row>
    <row r="2118" spans="1:23" x14ac:dyDescent="0.25">
      <c r="A2118" t="s">
        <v>2569</v>
      </c>
      <c r="B2118" t="str">
        <f t="shared" si="33"/>
        <v>GA1200001236</v>
      </c>
      <c r="C2118" t="s">
        <v>227</v>
      </c>
      <c r="D2118" t="s">
        <v>77</v>
      </c>
      <c r="E2118" t="s">
        <v>82</v>
      </c>
      <c r="F2118">
        <v>8000</v>
      </c>
      <c r="G2118" s="13">
        <v>44321</v>
      </c>
      <c r="H2118" s="13">
        <v>44505</v>
      </c>
      <c r="I2118">
        <v>3000</v>
      </c>
      <c r="J2118">
        <v>5000</v>
      </c>
      <c r="K2118">
        <v>8000</v>
      </c>
      <c r="N2118">
        <v>0</v>
      </c>
      <c r="O2118">
        <v>5.2249999999999996</v>
      </c>
      <c r="P2118">
        <v>101.25</v>
      </c>
      <c r="Q2118">
        <v>5.5</v>
      </c>
      <c r="R2118">
        <v>5</v>
      </c>
      <c r="S2118">
        <v>5.5</v>
      </c>
      <c r="T2118">
        <v>97.358472000000006</v>
      </c>
      <c r="W2118" t="s">
        <v>497</v>
      </c>
    </row>
    <row r="2119" spans="1:23" x14ac:dyDescent="0.25">
      <c r="A2119" t="s">
        <v>2570</v>
      </c>
      <c r="B2119" t="str">
        <f t="shared" si="33"/>
        <v>GA1200001244</v>
      </c>
      <c r="C2119" t="s">
        <v>227</v>
      </c>
      <c r="D2119" t="s">
        <v>77</v>
      </c>
      <c r="E2119" t="s">
        <v>82</v>
      </c>
      <c r="F2119">
        <v>12500</v>
      </c>
      <c r="G2119" s="13">
        <v>44328</v>
      </c>
      <c r="H2119" s="13">
        <v>44512</v>
      </c>
      <c r="I2119">
        <v>2559</v>
      </c>
      <c r="J2119">
        <v>9941</v>
      </c>
      <c r="K2119">
        <v>12500</v>
      </c>
      <c r="N2119">
        <v>0</v>
      </c>
      <c r="O2119">
        <v>5.4112</v>
      </c>
      <c r="P2119">
        <v>211.88</v>
      </c>
      <c r="Q2119">
        <v>5.5</v>
      </c>
      <c r="R2119">
        <v>4.75</v>
      </c>
      <c r="S2119">
        <v>5.5</v>
      </c>
      <c r="T2119">
        <v>97.264318000000003</v>
      </c>
      <c r="W2119" t="s">
        <v>497</v>
      </c>
    </row>
    <row r="2120" spans="1:23" x14ac:dyDescent="0.25">
      <c r="A2120" t="s">
        <v>2571</v>
      </c>
      <c r="B2120" t="str">
        <f t="shared" si="33"/>
        <v>CM1200001038</v>
      </c>
      <c r="C2120" t="s">
        <v>225</v>
      </c>
      <c r="D2120" t="s">
        <v>77</v>
      </c>
      <c r="E2120" t="s">
        <v>82</v>
      </c>
      <c r="F2120">
        <v>25000</v>
      </c>
      <c r="G2120" s="13">
        <v>44328</v>
      </c>
      <c r="H2120" s="13">
        <v>44512</v>
      </c>
      <c r="I2120">
        <v>25000</v>
      </c>
      <c r="J2120">
        <v>0</v>
      </c>
      <c r="K2120">
        <v>25000</v>
      </c>
      <c r="N2120">
        <v>28.571428571428569</v>
      </c>
      <c r="O2120">
        <v>1.9430000000000001</v>
      </c>
      <c r="P2120">
        <v>228.416</v>
      </c>
      <c r="Q2120">
        <v>2</v>
      </c>
      <c r="R2120">
        <v>1.85</v>
      </c>
      <c r="S2120">
        <v>2</v>
      </c>
      <c r="T2120">
        <v>99.017706000000004</v>
      </c>
      <c r="W2120" t="s">
        <v>497</v>
      </c>
    </row>
    <row r="2121" spans="1:23" x14ac:dyDescent="0.25">
      <c r="A2121" t="s">
        <v>2572</v>
      </c>
      <c r="B2121" t="str">
        <f t="shared" si="33"/>
        <v>GQ1300001005</v>
      </c>
      <c r="C2121" t="s">
        <v>528</v>
      </c>
      <c r="D2121" t="s">
        <v>77</v>
      </c>
      <c r="E2121" t="s">
        <v>287</v>
      </c>
      <c r="F2121">
        <v>15000</v>
      </c>
      <c r="G2121" s="13">
        <v>44328</v>
      </c>
      <c r="H2121" s="13">
        <v>44694</v>
      </c>
      <c r="I2121">
        <v>12000</v>
      </c>
      <c r="J2121">
        <v>0</v>
      </c>
      <c r="K2121">
        <v>12000</v>
      </c>
      <c r="N2121">
        <v>16.666666666666664</v>
      </c>
      <c r="O2121">
        <v>6.3167</v>
      </c>
      <c r="P2121">
        <v>167.58</v>
      </c>
      <c r="Q2121">
        <v>7.9</v>
      </c>
      <c r="R2121">
        <v>6</v>
      </c>
      <c r="S2121">
        <v>7.9</v>
      </c>
      <c r="T2121">
        <v>93.613147999999995</v>
      </c>
      <c r="W2121" t="s">
        <v>497</v>
      </c>
    </row>
    <row r="2122" spans="1:23" x14ac:dyDescent="0.25">
      <c r="A2122" t="s">
        <v>2573</v>
      </c>
      <c r="B2122" t="str">
        <f t="shared" si="33"/>
        <v>TD1300000437</v>
      </c>
      <c r="C2122" t="s">
        <v>237</v>
      </c>
      <c r="D2122" t="s">
        <v>77</v>
      </c>
      <c r="E2122" t="s">
        <v>287</v>
      </c>
      <c r="F2122">
        <v>36450</v>
      </c>
      <c r="G2122" s="13">
        <v>44328</v>
      </c>
      <c r="H2122" s="13">
        <v>44694</v>
      </c>
      <c r="I2122">
        <v>10000</v>
      </c>
      <c r="J2122">
        <v>20278</v>
      </c>
      <c r="K2122">
        <v>30278</v>
      </c>
      <c r="N2122">
        <v>0</v>
      </c>
      <c r="O2122">
        <v>6.5</v>
      </c>
      <c r="P2122">
        <v>83.0672</v>
      </c>
      <c r="Q2122">
        <v>6.5</v>
      </c>
      <c r="R2122">
        <v>6.5</v>
      </c>
      <c r="S2122">
        <v>6.5</v>
      </c>
      <c r="T2122">
        <v>93.427778000000004</v>
      </c>
      <c r="W2122" t="s">
        <v>497</v>
      </c>
    </row>
    <row r="2123" spans="1:23" x14ac:dyDescent="0.25">
      <c r="A2123" t="s">
        <v>2574</v>
      </c>
      <c r="B2123" t="str">
        <f t="shared" si="33"/>
        <v>GA1100001377</v>
      </c>
      <c r="C2123" t="s">
        <v>227</v>
      </c>
      <c r="D2123" t="s">
        <v>77</v>
      </c>
      <c r="E2123" t="s">
        <v>78</v>
      </c>
      <c r="F2123">
        <v>15000</v>
      </c>
      <c r="G2123" s="13">
        <v>44335</v>
      </c>
      <c r="H2123" s="13">
        <v>44428</v>
      </c>
      <c r="I2123">
        <v>5500</v>
      </c>
      <c r="J2123">
        <v>1000</v>
      </c>
      <c r="K2123">
        <v>6500</v>
      </c>
      <c r="N2123">
        <v>16.666666666666664</v>
      </c>
      <c r="O2123">
        <v>5.0576999999999996</v>
      </c>
      <c r="P2123">
        <v>43.333300000000001</v>
      </c>
      <c r="Q2123">
        <v>5.25</v>
      </c>
      <c r="R2123">
        <v>5</v>
      </c>
      <c r="S2123">
        <v>5.25</v>
      </c>
      <c r="T2123">
        <v>98.721528000000006</v>
      </c>
      <c r="W2123" t="s">
        <v>497</v>
      </c>
    </row>
    <row r="2124" spans="1:23" x14ac:dyDescent="0.25">
      <c r="A2124" t="s">
        <v>2575</v>
      </c>
      <c r="B2124" t="str">
        <f t="shared" si="33"/>
        <v>TD1300000445</v>
      </c>
      <c r="C2124" t="s">
        <v>237</v>
      </c>
      <c r="D2124" t="s">
        <v>77</v>
      </c>
      <c r="E2124" t="s">
        <v>287</v>
      </c>
      <c r="F2124">
        <v>30000</v>
      </c>
      <c r="G2124" s="13">
        <v>44335</v>
      </c>
      <c r="H2124" s="13">
        <v>44701</v>
      </c>
      <c r="I2124">
        <v>17926</v>
      </c>
      <c r="J2124">
        <v>7526</v>
      </c>
      <c r="K2124">
        <v>25452</v>
      </c>
      <c r="N2124">
        <v>0</v>
      </c>
      <c r="O2124">
        <v>6.4504000000000001</v>
      </c>
      <c r="P2124">
        <v>84.84</v>
      </c>
      <c r="Q2124">
        <v>6.5</v>
      </c>
      <c r="R2124">
        <v>6.25</v>
      </c>
      <c r="S2124">
        <v>6.5</v>
      </c>
      <c r="T2124">
        <v>93.477884000000003</v>
      </c>
      <c r="W2124" t="s">
        <v>497</v>
      </c>
    </row>
    <row r="2125" spans="1:23" x14ac:dyDescent="0.25">
      <c r="A2125" t="s">
        <v>2576</v>
      </c>
      <c r="B2125" t="str">
        <f t="shared" si="33"/>
        <v>GA1100001385</v>
      </c>
      <c r="C2125" t="s">
        <v>227</v>
      </c>
      <c r="D2125" t="s">
        <v>77</v>
      </c>
      <c r="E2125" t="s">
        <v>78</v>
      </c>
      <c r="F2125">
        <v>15000</v>
      </c>
      <c r="G2125" s="13">
        <v>44342</v>
      </c>
      <c r="H2125" s="13">
        <v>44435</v>
      </c>
      <c r="I2125">
        <v>3250</v>
      </c>
      <c r="J2125">
        <v>11750</v>
      </c>
      <c r="K2125">
        <v>15000</v>
      </c>
      <c r="N2125">
        <v>27.777777777777779</v>
      </c>
      <c r="O2125">
        <v>5.1681999999999997</v>
      </c>
      <c r="P2125">
        <v>185.33330000000001</v>
      </c>
      <c r="Q2125">
        <v>5.25</v>
      </c>
      <c r="R2125">
        <v>5</v>
      </c>
      <c r="S2125">
        <v>5.25</v>
      </c>
      <c r="T2125">
        <v>98.693601999999998</v>
      </c>
      <c r="W2125" t="s">
        <v>497</v>
      </c>
    </row>
    <row r="2126" spans="1:23" x14ac:dyDescent="0.25">
      <c r="A2126" t="s">
        <v>2577</v>
      </c>
      <c r="B2126" t="str">
        <f t="shared" si="33"/>
        <v>CG1100000211</v>
      </c>
      <c r="C2126" t="s">
        <v>229</v>
      </c>
      <c r="D2126" t="s">
        <v>77</v>
      </c>
      <c r="E2126" t="s">
        <v>78</v>
      </c>
      <c r="F2126">
        <v>13000</v>
      </c>
      <c r="G2126" s="13">
        <v>44342</v>
      </c>
      <c r="H2126" s="13">
        <v>44435</v>
      </c>
      <c r="I2126">
        <v>24</v>
      </c>
      <c r="J2126">
        <v>10031</v>
      </c>
      <c r="K2126">
        <v>10055</v>
      </c>
      <c r="N2126">
        <v>17.391304347826086</v>
      </c>
      <c r="O2126">
        <v>6.0273000000000003</v>
      </c>
      <c r="P2126">
        <v>77.346199999999996</v>
      </c>
      <c r="Q2126">
        <v>6.25</v>
      </c>
      <c r="R2126">
        <v>5.85</v>
      </c>
      <c r="S2126">
        <v>6.25</v>
      </c>
      <c r="T2126">
        <v>98.476420000000005</v>
      </c>
      <c r="W2126" t="s">
        <v>497</v>
      </c>
    </row>
    <row r="2127" spans="1:23" x14ac:dyDescent="0.25">
      <c r="A2127" t="s">
        <v>2578</v>
      </c>
      <c r="B2127" t="str">
        <f t="shared" si="33"/>
        <v>CM1200001046</v>
      </c>
      <c r="C2127" t="s">
        <v>225</v>
      </c>
      <c r="D2127" t="s">
        <v>77</v>
      </c>
      <c r="E2127" t="s">
        <v>82</v>
      </c>
      <c r="F2127">
        <v>20000</v>
      </c>
      <c r="G2127" s="13">
        <v>44349</v>
      </c>
      <c r="H2127" s="13">
        <v>44533</v>
      </c>
      <c r="I2127">
        <v>20000</v>
      </c>
      <c r="J2127">
        <v>0</v>
      </c>
      <c r="K2127">
        <v>20000</v>
      </c>
      <c r="N2127">
        <v>28.571428571428569</v>
      </c>
      <c r="O2127">
        <v>1.9871000000000001</v>
      </c>
      <c r="P2127">
        <v>216.61500000000001</v>
      </c>
      <c r="Q2127">
        <v>2</v>
      </c>
      <c r="R2127">
        <v>1.85</v>
      </c>
      <c r="S2127">
        <v>2</v>
      </c>
      <c r="T2127">
        <v>98.995429999999999</v>
      </c>
      <c r="W2127" t="s">
        <v>497</v>
      </c>
    </row>
    <row r="2128" spans="1:23" x14ac:dyDescent="0.25">
      <c r="A2128" t="s">
        <v>2579</v>
      </c>
      <c r="B2128" t="str">
        <f t="shared" si="33"/>
        <v>CG1200000475</v>
      </c>
      <c r="C2128" t="s">
        <v>229</v>
      </c>
      <c r="D2128" t="s">
        <v>77</v>
      </c>
      <c r="E2128" t="s">
        <v>82</v>
      </c>
      <c r="F2128">
        <v>10000</v>
      </c>
      <c r="G2128" s="13">
        <v>44349</v>
      </c>
      <c r="H2128" s="13">
        <v>44533</v>
      </c>
      <c r="I2128">
        <v>4796</v>
      </c>
      <c r="J2128">
        <v>5204</v>
      </c>
      <c r="K2128">
        <v>10000</v>
      </c>
      <c r="N2128">
        <v>21.739130434782609</v>
      </c>
      <c r="O2128">
        <v>6.2530000000000001</v>
      </c>
      <c r="P2128">
        <v>118.42</v>
      </c>
      <c r="Q2128">
        <v>6.5</v>
      </c>
      <c r="R2128">
        <v>6</v>
      </c>
      <c r="S2128">
        <v>6.5</v>
      </c>
      <c r="T2128">
        <v>96.838761000000005</v>
      </c>
      <c r="W2128" t="s">
        <v>497</v>
      </c>
    </row>
    <row r="2129" spans="1:23" x14ac:dyDescent="0.25">
      <c r="A2129" t="s">
        <v>2580</v>
      </c>
      <c r="B2129" t="str">
        <f t="shared" si="33"/>
        <v>GA1200001251</v>
      </c>
      <c r="C2129" t="s">
        <v>227</v>
      </c>
      <c r="D2129" t="s">
        <v>77</v>
      </c>
      <c r="E2129" t="s">
        <v>82</v>
      </c>
      <c r="F2129">
        <v>12000</v>
      </c>
      <c r="G2129" s="13">
        <v>44349</v>
      </c>
      <c r="H2129" s="13">
        <v>44533</v>
      </c>
      <c r="I2129">
        <v>0</v>
      </c>
      <c r="J2129">
        <v>12000</v>
      </c>
      <c r="K2129">
        <v>12000</v>
      </c>
      <c r="N2129">
        <v>0</v>
      </c>
      <c r="O2129">
        <v>5.0167000000000002</v>
      </c>
      <c r="P2129">
        <v>395.83330000000001</v>
      </c>
      <c r="Q2129">
        <v>5.0999999999999996</v>
      </c>
      <c r="R2129">
        <v>5</v>
      </c>
      <c r="S2129">
        <v>5.0999999999999996</v>
      </c>
      <c r="T2129">
        <v>97.463796000000002</v>
      </c>
      <c r="W2129" t="s">
        <v>497</v>
      </c>
    </row>
    <row r="2130" spans="1:23" x14ac:dyDescent="0.25">
      <c r="A2130" t="s">
        <v>2581</v>
      </c>
      <c r="B2130" t="str">
        <f t="shared" si="33"/>
        <v>TD1300000452</v>
      </c>
      <c r="C2130" t="s">
        <v>237</v>
      </c>
      <c r="D2130" t="s">
        <v>77</v>
      </c>
      <c r="E2130" t="s">
        <v>287</v>
      </c>
      <c r="F2130">
        <v>37000</v>
      </c>
      <c r="G2130" s="13">
        <v>44349</v>
      </c>
      <c r="H2130" s="13">
        <v>44715</v>
      </c>
      <c r="I2130">
        <v>28022</v>
      </c>
      <c r="J2130">
        <v>7000</v>
      </c>
      <c r="K2130">
        <v>35022</v>
      </c>
      <c r="N2130">
        <v>0</v>
      </c>
      <c r="O2130">
        <v>6.5</v>
      </c>
      <c r="P2130">
        <v>94.6541</v>
      </c>
      <c r="Q2130">
        <v>6.5</v>
      </c>
      <c r="R2130">
        <v>6.5</v>
      </c>
      <c r="S2130">
        <v>6.5</v>
      </c>
      <c r="T2130">
        <v>93.427778000000004</v>
      </c>
      <c r="W2130" t="s">
        <v>497</v>
      </c>
    </row>
    <row r="2131" spans="1:23" x14ac:dyDescent="0.25">
      <c r="A2131" t="s">
        <v>2582</v>
      </c>
      <c r="B2131" t="str">
        <f t="shared" si="33"/>
        <v>CM1200001053</v>
      </c>
      <c r="C2131" t="s">
        <v>225</v>
      </c>
      <c r="D2131" t="s">
        <v>77</v>
      </c>
      <c r="E2131" t="s">
        <v>82</v>
      </c>
      <c r="F2131">
        <v>15000</v>
      </c>
      <c r="G2131" s="13">
        <v>44356</v>
      </c>
      <c r="H2131" s="13">
        <v>44540</v>
      </c>
      <c r="I2131">
        <v>15000</v>
      </c>
      <c r="J2131">
        <v>0</v>
      </c>
      <c r="K2131">
        <v>15000</v>
      </c>
      <c r="N2131">
        <v>23.809523809523807</v>
      </c>
      <c r="O2131">
        <v>1.9883</v>
      </c>
      <c r="P2131">
        <v>262.22000000000003</v>
      </c>
      <c r="Q2131">
        <v>2</v>
      </c>
      <c r="R2131">
        <v>1.85</v>
      </c>
      <c r="S2131">
        <v>2</v>
      </c>
      <c r="T2131">
        <v>98.994787000000002</v>
      </c>
      <c r="W2131" t="s">
        <v>497</v>
      </c>
    </row>
    <row r="2132" spans="1:23" x14ac:dyDescent="0.25">
      <c r="A2132" t="s">
        <v>2583</v>
      </c>
      <c r="B2132" t="str">
        <f t="shared" si="33"/>
        <v>CF1300000012</v>
      </c>
      <c r="C2132" t="s">
        <v>2406</v>
      </c>
      <c r="D2132" t="s">
        <v>77</v>
      </c>
      <c r="E2132" t="s">
        <v>287</v>
      </c>
      <c r="F2132">
        <v>6000</v>
      </c>
      <c r="G2132" s="13">
        <v>44356</v>
      </c>
      <c r="H2132" s="13">
        <v>44722</v>
      </c>
      <c r="I2132">
        <v>6000</v>
      </c>
      <c r="J2132">
        <v>0</v>
      </c>
      <c r="K2132">
        <v>6000</v>
      </c>
      <c r="N2132">
        <v>33.333333333333329</v>
      </c>
      <c r="O2132">
        <v>5.875</v>
      </c>
      <c r="P2132">
        <v>100</v>
      </c>
      <c r="Q2132">
        <v>6</v>
      </c>
      <c r="R2132">
        <v>5.5</v>
      </c>
      <c r="S2132">
        <v>6</v>
      </c>
      <c r="T2132">
        <v>94.059721999999994</v>
      </c>
      <c r="W2132" t="s">
        <v>497</v>
      </c>
    </row>
    <row r="2133" spans="1:23" x14ac:dyDescent="0.25">
      <c r="A2133" t="s">
        <v>2584</v>
      </c>
      <c r="B2133" t="str">
        <f t="shared" si="33"/>
        <v>GA1300000476</v>
      </c>
      <c r="C2133" t="s">
        <v>227</v>
      </c>
      <c r="D2133" t="s">
        <v>77</v>
      </c>
      <c r="E2133" t="s">
        <v>287</v>
      </c>
      <c r="F2133">
        <v>12500</v>
      </c>
      <c r="G2133" s="13">
        <v>44356</v>
      </c>
      <c r="H2133" s="13">
        <v>44722</v>
      </c>
      <c r="I2133">
        <v>0</v>
      </c>
      <c r="J2133">
        <v>12500</v>
      </c>
      <c r="K2133">
        <v>12500</v>
      </c>
      <c r="N2133">
        <v>0</v>
      </c>
      <c r="O2133">
        <v>4.87</v>
      </c>
      <c r="P2133">
        <v>170.88800000000001</v>
      </c>
      <c r="Q2133">
        <v>5</v>
      </c>
      <c r="R2133">
        <v>4.75</v>
      </c>
      <c r="S2133">
        <v>5</v>
      </c>
      <c r="T2133">
        <v>95.075889000000004</v>
      </c>
      <c r="W2133" t="s">
        <v>497</v>
      </c>
    </row>
    <row r="2134" spans="1:23" x14ac:dyDescent="0.25">
      <c r="A2134" t="s">
        <v>2585</v>
      </c>
      <c r="B2134" t="str">
        <f t="shared" si="33"/>
        <v>GQ1300001013</v>
      </c>
      <c r="C2134" t="s">
        <v>528</v>
      </c>
      <c r="D2134" t="s">
        <v>77</v>
      </c>
      <c r="E2134" t="s">
        <v>287</v>
      </c>
      <c r="F2134">
        <v>15000</v>
      </c>
      <c r="G2134" s="13">
        <v>44356</v>
      </c>
      <c r="H2134" s="13">
        <v>44722</v>
      </c>
      <c r="I2134">
        <v>10525</v>
      </c>
      <c r="J2134">
        <v>96</v>
      </c>
      <c r="K2134">
        <v>10621</v>
      </c>
      <c r="N2134">
        <v>33.333333333333329</v>
      </c>
      <c r="O2134">
        <v>5.7682000000000002</v>
      </c>
      <c r="P2134">
        <v>125.1267</v>
      </c>
      <c r="Q2134">
        <v>7</v>
      </c>
      <c r="R2134">
        <v>4.9000000000000004</v>
      </c>
      <c r="S2134">
        <v>7</v>
      </c>
      <c r="T2134">
        <v>94.167714000000004</v>
      </c>
      <c r="W2134" t="s">
        <v>497</v>
      </c>
    </row>
    <row r="2135" spans="1:23" x14ac:dyDescent="0.25">
      <c r="A2135" t="s">
        <v>2586</v>
      </c>
      <c r="B2135" t="str">
        <f t="shared" si="33"/>
        <v>TD1300000460</v>
      </c>
      <c r="C2135" t="s">
        <v>237</v>
      </c>
      <c r="D2135" t="s">
        <v>77</v>
      </c>
      <c r="E2135" t="s">
        <v>287</v>
      </c>
      <c r="F2135">
        <v>24000</v>
      </c>
      <c r="G2135" s="13">
        <v>44356</v>
      </c>
      <c r="H2135" s="13">
        <v>44722</v>
      </c>
      <c r="I2135">
        <v>15000</v>
      </c>
      <c r="J2135">
        <v>5000</v>
      </c>
      <c r="K2135">
        <v>20000</v>
      </c>
      <c r="N2135">
        <v>0</v>
      </c>
      <c r="O2135">
        <v>6.4</v>
      </c>
      <c r="P2135">
        <v>83.333299999999994</v>
      </c>
      <c r="Q2135">
        <v>6.5</v>
      </c>
      <c r="R2135">
        <v>6.25</v>
      </c>
      <c r="S2135">
        <v>6.5</v>
      </c>
      <c r="T2135">
        <v>93.528889000000007</v>
      </c>
      <c r="W2135" t="s">
        <v>497</v>
      </c>
    </row>
    <row r="2136" spans="1:23" x14ac:dyDescent="0.25">
      <c r="A2136" t="s">
        <v>2587</v>
      </c>
      <c r="B2136" t="str">
        <f t="shared" si="33"/>
        <v>CG1200000483</v>
      </c>
      <c r="C2136" t="s">
        <v>229</v>
      </c>
      <c r="D2136" t="s">
        <v>77</v>
      </c>
      <c r="E2136" t="s">
        <v>82</v>
      </c>
      <c r="F2136">
        <v>10000</v>
      </c>
      <c r="G2136" s="13">
        <v>44363</v>
      </c>
      <c r="H2136" s="13">
        <v>44547</v>
      </c>
      <c r="I2136">
        <v>2236</v>
      </c>
      <c r="J2136">
        <v>5020</v>
      </c>
      <c r="K2136">
        <v>7256</v>
      </c>
      <c r="N2136">
        <v>26.086956521739129</v>
      </c>
      <c r="O2136">
        <v>6.0536000000000003</v>
      </c>
      <c r="P2136">
        <v>72.56</v>
      </c>
      <c r="Q2136">
        <v>6.25</v>
      </c>
      <c r="R2136">
        <v>5.5</v>
      </c>
      <c r="S2136">
        <v>6.25</v>
      </c>
      <c r="T2136">
        <v>96.935490000000001</v>
      </c>
      <c r="W2136" t="s">
        <v>497</v>
      </c>
    </row>
    <row r="2137" spans="1:23" x14ac:dyDescent="0.25">
      <c r="A2137" t="s">
        <v>2588</v>
      </c>
      <c r="B2137" t="str">
        <f t="shared" si="33"/>
        <v>GA1200001269</v>
      </c>
      <c r="C2137" t="s">
        <v>227</v>
      </c>
      <c r="D2137" t="s">
        <v>77</v>
      </c>
      <c r="E2137" t="s">
        <v>82</v>
      </c>
      <c r="F2137">
        <v>12500</v>
      </c>
      <c r="G2137" s="13">
        <v>44363</v>
      </c>
      <c r="H2137" s="13">
        <v>44547</v>
      </c>
      <c r="I2137">
        <v>4938</v>
      </c>
      <c r="J2137">
        <v>7562</v>
      </c>
      <c r="K2137">
        <v>12500</v>
      </c>
      <c r="N2137">
        <v>0</v>
      </c>
      <c r="O2137">
        <v>4.8040000000000003</v>
      </c>
      <c r="P2137">
        <v>348.40800000000002</v>
      </c>
      <c r="Q2137">
        <v>4.8499999999999996</v>
      </c>
      <c r="R2137">
        <v>4.75</v>
      </c>
      <c r="S2137">
        <v>4.8499999999999996</v>
      </c>
      <c r="T2137">
        <v>97.571310999999994</v>
      </c>
      <c r="W2137" t="s">
        <v>497</v>
      </c>
    </row>
    <row r="2138" spans="1:23" x14ac:dyDescent="0.25">
      <c r="A2138" t="s">
        <v>2589</v>
      </c>
      <c r="B2138" t="str">
        <f t="shared" si="33"/>
        <v>TD1300000478</v>
      </c>
      <c r="C2138" t="s">
        <v>237</v>
      </c>
      <c r="D2138" t="s">
        <v>77</v>
      </c>
      <c r="E2138" t="s">
        <v>287</v>
      </c>
      <c r="F2138">
        <v>72000</v>
      </c>
      <c r="G2138" s="13">
        <v>44363</v>
      </c>
      <c r="H2138" s="13">
        <v>44729</v>
      </c>
      <c r="I2138">
        <v>29143</v>
      </c>
      <c r="J2138">
        <v>13599</v>
      </c>
      <c r="K2138">
        <v>42742</v>
      </c>
      <c r="N2138">
        <v>0</v>
      </c>
      <c r="O2138">
        <v>6.3349000000000002</v>
      </c>
      <c r="P2138">
        <v>59.363900000000001</v>
      </c>
      <c r="Q2138">
        <v>6.75</v>
      </c>
      <c r="R2138">
        <v>6.25</v>
      </c>
      <c r="S2138">
        <v>6.75</v>
      </c>
      <c r="T2138">
        <v>93.359472699999998</v>
      </c>
      <c r="W2138" t="s">
        <v>497</v>
      </c>
    </row>
    <row r="2139" spans="1:23" x14ac:dyDescent="0.25">
      <c r="A2139" t="s">
        <v>2590</v>
      </c>
      <c r="B2139" t="str">
        <f t="shared" ref="B2139:B2202" si="34">MID(A2139,1,12)</f>
        <v>CM1100000858</v>
      </c>
      <c r="C2139" t="s">
        <v>225</v>
      </c>
      <c r="D2139" t="s">
        <v>77</v>
      </c>
      <c r="E2139" t="s">
        <v>78</v>
      </c>
      <c r="F2139">
        <v>25000</v>
      </c>
      <c r="G2139" s="13">
        <v>44370</v>
      </c>
      <c r="H2139" s="13">
        <v>44463</v>
      </c>
      <c r="I2139">
        <v>24800</v>
      </c>
      <c r="J2139">
        <v>200</v>
      </c>
      <c r="K2139">
        <v>25000</v>
      </c>
      <c r="N2139">
        <v>28.571428571428569</v>
      </c>
      <c r="O2139">
        <v>1.9790000000000001</v>
      </c>
      <c r="P2139">
        <v>149.33199999999999</v>
      </c>
      <c r="Q2139">
        <v>2.5</v>
      </c>
      <c r="R2139">
        <v>1.85</v>
      </c>
      <c r="S2139">
        <v>2.5</v>
      </c>
      <c r="T2139">
        <v>99.499752999999998</v>
      </c>
      <c r="W2139" t="s">
        <v>497</v>
      </c>
    </row>
    <row r="2140" spans="1:23" x14ac:dyDescent="0.25">
      <c r="A2140" t="s">
        <v>2591</v>
      </c>
      <c r="B2140" t="str">
        <f t="shared" si="34"/>
        <v>GA1100001393</v>
      </c>
      <c r="C2140" t="s">
        <v>227</v>
      </c>
      <c r="D2140" t="s">
        <v>77</v>
      </c>
      <c r="E2140" t="s">
        <v>78</v>
      </c>
      <c r="F2140">
        <v>13000</v>
      </c>
      <c r="G2140" s="13">
        <v>44370</v>
      </c>
      <c r="H2140" s="13">
        <v>44463</v>
      </c>
      <c r="I2140">
        <v>0</v>
      </c>
      <c r="J2140">
        <v>13000</v>
      </c>
      <c r="K2140">
        <v>13000</v>
      </c>
      <c r="N2140">
        <v>38.888888888888893</v>
      </c>
      <c r="O2140">
        <v>4.4528999999999996</v>
      </c>
      <c r="P2140">
        <v>244.5154</v>
      </c>
      <c r="Q2140">
        <v>4.55</v>
      </c>
      <c r="R2140">
        <v>4.3499999999999996</v>
      </c>
      <c r="S2140">
        <v>4.55</v>
      </c>
      <c r="T2140">
        <v>98.874409999999997</v>
      </c>
      <c r="W2140" t="s">
        <v>497</v>
      </c>
    </row>
    <row r="2141" spans="1:23" x14ac:dyDescent="0.25">
      <c r="A2141" t="s">
        <v>2592</v>
      </c>
      <c r="B2141" t="str">
        <f t="shared" si="34"/>
        <v>TD1300000486</v>
      </c>
      <c r="C2141" t="s">
        <v>237</v>
      </c>
      <c r="D2141" t="s">
        <v>77</v>
      </c>
      <c r="E2141" t="s">
        <v>287</v>
      </c>
      <c r="F2141">
        <v>25000</v>
      </c>
      <c r="G2141" s="13">
        <v>44370</v>
      </c>
      <c r="H2141" s="13">
        <v>44736</v>
      </c>
      <c r="I2141">
        <v>16000</v>
      </c>
      <c r="J2141">
        <v>4260</v>
      </c>
      <c r="K2141">
        <v>20260</v>
      </c>
      <c r="N2141">
        <v>0</v>
      </c>
      <c r="O2141">
        <v>6.5147000000000004</v>
      </c>
      <c r="P2141">
        <v>81.040000000000006</v>
      </c>
      <c r="Q2141">
        <v>6.75</v>
      </c>
      <c r="R2141">
        <v>5</v>
      </c>
      <c r="S2141">
        <v>6.75</v>
      </c>
      <c r="T2141">
        <v>93.412931</v>
      </c>
      <c r="W2141" t="s">
        <v>497</v>
      </c>
    </row>
    <row r="2142" spans="1:23" x14ac:dyDescent="0.25">
      <c r="A2142" t="s">
        <v>2593</v>
      </c>
      <c r="B2142" t="str">
        <f t="shared" si="34"/>
        <v>GA1200001277</v>
      </c>
      <c r="C2142" t="s">
        <v>227</v>
      </c>
      <c r="D2142" t="s">
        <v>77</v>
      </c>
      <c r="E2142" t="s">
        <v>82</v>
      </c>
      <c r="F2142">
        <v>10000</v>
      </c>
      <c r="G2142" s="13">
        <v>44377</v>
      </c>
      <c r="H2142" s="13">
        <v>44561</v>
      </c>
      <c r="I2142">
        <v>500</v>
      </c>
      <c r="J2142">
        <v>9500</v>
      </c>
      <c r="K2142">
        <v>10000</v>
      </c>
      <c r="N2142">
        <v>0</v>
      </c>
      <c r="O2142">
        <v>4.7850000000000001</v>
      </c>
      <c r="P2142">
        <v>235.24</v>
      </c>
      <c r="Q2142">
        <v>4.55</v>
      </c>
      <c r="R2142">
        <v>4.42</v>
      </c>
      <c r="S2142">
        <v>4.55</v>
      </c>
      <c r="T2142">
        <v>97.732583000000005</v>
      </c>
      <c r="W2142" t="s">
        <v>497</v>
      </c>
    </row>
    <row r="2143" spans="1:23" x14ac:dyDescent="0.25">
      <c r="A2143" t="s">
        <v>2594</v>
      </c>
      <c r="B2143" t="str">
        <f t="shared" si="34"/>
        <v>GQ1300001021</v>
      </c>
      <c r="C2143" t="s">
        <v>528</v>
      </c>
      <c r="D2143" t="s">
        <v>77</v>
      </c>
      <c r="E2143" t="s">
        <v>287</v>
      </c>
      <c r="F2143">
        <v>20000</v>
      </c>
      <c r="G2143" s="13">
        <v>44377</v>
      </c>
      <c r="H2143" s="13">
        <v>44743</v>
      </c>
      <c r="I2143">
        <v>6220</v>
      </c>
      <c r="J2143">
        <v>13780</v>
      </c>
      <c r="K2143">
        <v>20000</v>
      </c>
      <c r="N2143">
        <v>50</v>
      </c>
      <c r="O2143">
        <v>7.3544999999999998</v>
      </c>
      <c r="P2143">
        <v>128.75</v>
      </c>
      <c r="Q2143">
        <v>8</v>
      </c>
      <c r="R2143">
        <v>6.45</v>
      </c>
      <c r="S2143">
        <v>8</v>
      </c>
      <c r="T2143">
        <v>92.563783000000001</v>
      </c>
      <c r="W2143" t="s">
        <v>497</v>
      </c>
    </row>
    <row r="2144" spans="1:23" x14ac:dyDescent="0.25">
      <c r="A2144" t="s">
        <v>2595</v>
      </c>
      <c r="B2144" t="str">
        <f t="shared" si="34"/>
        <v>CG1200000491</v>
      </c>
      <c r="C2144" t="s">
        <v>229</v>
      </c>
      <c r="D2144" t="s">
        <v>77</v>
      </c>
      <c r="E2144" t="s">
        <v>82</v>
      </c>
      <c r="F2144">
        <v>15000</v>
      </c>
      <c r="G2144" s="13">
        <v>44384</v>
      </c>
      <c r="H2144" s="13">
        <v>44568</v>
      </c>
      <c r="I2144">
        <v>1700</v>
      </c>
      <c r="J2144">
        <v>13000</v>
      </c>
      <c r="K2144">
        <v>14700</v>
      </c>
      <c r="N2144">
        <v>21.739130434782609</v>
      </c>
      <c r="O2144">
        <v>6.5526999999999997</v>
      </c>
      <c r="P2144">
        <v>98</v>
      </c>
      <c r="Q2144">
        <v>6.75</v>
      </c>
      <c r="R2144">
        <v>5.9</v>
      </c>
      <c r="S2144">
        <v>6.75</v>
      </c>
      <c r="T2144">
        <v>96.687235000000001</v>
      </c>
      <c r="W2144" t="s">
        <v>497</v>
      </c>
    </row>
    <row r="2145" spans="1:23" x14ac:dyDescent="0.25">
      <c r="A2145" t="s">
        <v>2596</v>
      </c>
      <c r="B2145" t="str">
        <f t="shared" si="34"/>
        <v>GA1200001285</v>
      </c>
      <c r="C2145" t="s">
        <v>227</v>
      </c>
      <c r="D2145" t="s">
        <v>77</v>
      </c>
      <c r="E2145" t="s">
        <v>82</v>
      </c>
      <c r="F2145">
        <v>12000</v>
      </c>
      <c r="G2145" s="13">
        <v>44384</v>
      </c>
      <c r="H2145" s="13">
        <v>44568</v>
      </c>
      <c r="I2145">
        <v>5050</v>
      </c>
      <c r="J2145">
        <v>6950</v>
      </c>
      <c r="K2145">
        <v>12000</v>
      </c>
      <c r="N2145">
        <v>0</v>
      </c>
      <c r="O2145">
        <v>4.4713000000000003</v>
      </c>
      <c r="P2145">
        <v>302.2833</v>
      </c>
      <c r="Q2145">
        <v>4.55</v>
      </c>
      <c r="R2145">
        <v>4.4000000000000004</v>
      </c>
      <c r="S2145">
        <v>4.55</v>
      </c>
      <c r="T2145">
        <v>97.739492999999996</v>
      </c>
      <c r="W2145" t="s">
        <v>497</v>
      </c>
    </row>
    <row r="2146" spans="1:23" x14ac:dyDescent="0.25">
      <c r="A2146" t="s">
        <v>2597</v>
      </c>
      <c r="B2146" t="str">
        <f t="shared" si="34"/>
        <v>TD1200001204</v>
      </c>
      <c r="C2146" t="s">
        <v>237</v>
      </c>
      <c r="D2146" t="s">
        <v>77</v>
      </c>
      <c r="E2146" t="s">
        <v>82</v>
      </c>
      <c r="F2146">
        <v>8543</v>
      </c>
      <c r="G2146" s="13">
        <v>44384</v>
      </c>
      <c r="H2146" s="13">
        <v>44568</v>
      </c>
      <c r="I2146">
        <v>4986</v>
      </c>
      <c r="J2146">
        <v>3557</v>
      </c>
      <c r="K2146">
        <v>8543</v>
      </c>
      <c r="N2146">
        <v>0</v>
      </c>
      <c r="O2146">
        <v>6.6204000000000001</v>
      </c>
      <c r="P2146">
        <v>116.89100000000001</v>
      </c>
      <c r="Q2146">
        <v>7</v>
      </c>
      <c r="R2146">
        <v>6.5</v>
      </c>
      <c r="S2146">
        <v>7</v>
      </c>
      <c r="T2146">
        <v>96.653025</v>
      </c>
      <c r="W2146" t="s">
        <v>497</v>
      </c>
    </row>
    <row r="2147" spans="1:23" x14ac:dyDescent="0.25">
      <c r="A2147" t="s">
        <v>2598</v>
      </c>
      <c r="B2147" t="str">
        <f t="shared" si="34"/>
        <v>CM1100000866</v>
      </c>
      <c r="C2147" t="s">
        <v>225</v>
      </c>
      <c r="D2147" t="s">
        <v>77</v>
      </c>
      <c r="E2147" t="s">
        <v>78</v>
      </c>
      <c r="F2147">
        <v>25000</v>
      </c>
      <c r="G2147" s="13">
        <v>44391</v>
      </c>
      <c r="H2147" s="13">
        <v>44484</v>
      </c>
      <c r="I2147">
        <v>17000</v>
      </c>
      <c r="J2147">
        <v>8000</v>
      </c>
      <c r="K2147">
        <v>25000</v>
      </c>
      <c r="N2147">
        <v>33.333333333333329</v>
      </c>
      <c r="O2147">
        <v>1.889</v>
      </c>
      <c r="P2147">
        <v>238</v>
      </c>
      <c r="Q2147">
        <v>2</v>
      </c>
      <c r="R2147">
        <v>1.6</v>
      </c>
      <c r="S2147">
        <v>2</v>
      </c>
      <c r="T2147">
        <v>99.522503</v>
      </c>
      <c r="W2147" t="s">
        <v>497</v>
      </c>
    </row>
    <row r="2148" spans="1:23" x14ac:dyDescent="0.25">
      <c r="A2148" t="s">
        <v>2599</v>
      </c>
      <c r="B2148" t="str">
        <f t="shared" si="34"/>
        <v>GA1100001401</v>
      </c>
      <c r="C2148" t="s">
        <v>227</v>
      </c>
      <c r="D2148" t="s">
        <v>77</v>
      </c>
      <c r="E2148" t="s">
        <v>78</v>
      </c>
      <c r="F2148">
        <v>15000</v>
      </c>
      <c r="G2148" s="13">
        <v>44391</v>
      </c>
      <c r="H2148" s="13">
        <v>44484</v>
      </c>
      <c r="I2148">
        <v>5000</v>
      </c>
      <c r="J2148">
        <v>10000</v>
      </c>
      <c r="K2148">
        <v>15000</v>
      </c>
      <c r="N2148">
        <v>38.888888888888893</v>
      </c>
      <c r="O2148">
        <v>4.3232999999999997</v>
      </c>
      <c r="P2148">
        <v>170</v>
      </c>
      <c r="Q2148">
        <v>4.4000000000000004</v>
      </c>
      <c r="R2148">
        <v>4.2</v>
      </c>
      <c r="S2148">
        <v>4.4000000000000004</v>
      </c>
      <c r="T2148">
        <v>98.907156999999998</v>
      </c>
      <c r="W2148" t="s">
        <v>497</v>
      </c>
    </row>
    <row r="2149" spans="1:23" x14ac:dyDescent="0.25">
      <c r="A2149" t="s">
        <v>2600</v>
      </c>
      <c r="B2149" t="str">
        <f t="shared" si="34"/>
        <v>TD1300000494</v>
      </c>
      <c r="C2149" t="s">
        <v>237</v>
      </c>
      <c r="D2149" t="s">
        <v>77</v>
      </c>
      <c r="E2149" t="s">
        <v>287</v>
      </c>
      <c r="F2149">
        <v>25000</v>
      </c>
      <c r="G2149" s="13">
        <v>44391</v>
      </c>
      <c r="H2149" s="13">
        <v>44757</v>
      </c>
      <c r="I2149">
        <v>19500</v>
      </c>
      <c r="J2149">
        <v>5500</v>
      </c>
      <c r="K2149">
        <v>25000</v>
      </c>
      <c r="N2149">
        <v>0</v>
      </c>
      <c r="O2149">
        <v>6.4916999999999998</v>
      </c>
      <c r="P2149">
        <v>102.4</v>
      </c>
      <c r="Q2149">
        <v>6.8</v>
      </c>
      <c r="R2149">
        <v>6.25</v>
      </c>
      <c r="S2149">
        <v>6.8</v>
      </c>
      <c r="T2149">
        <v>93.436170000000004</v>
      </c>
      <c r="W2149" t="s">
        <v>497</v>
      </c>
    </row>
    <row r="2150" spans="1:23" x14ac:dyDescent="0.25">
      <c r="A2150" t="s">
        <v>2601</v>
      </c>
      <c r="B2150" t="str">
        <f t="shared" si="34"/>
        <v>CM1100000874</v>
      </c>
      <c r="C2150" t="s">
        <v>225</v>
      </c>
      <c r="D2150" t="s">
        <v>77</v>
      </c>
      <c r="E2150" t="s">
        <v>78</v>
      </c>
      <c r="F2150">
        <v>20000</v>
      </c>
      <c r="G2150" s="13">
        <v>44398</v>
      </c>
      <c r="H2150" s="13">
        <v>44491</v>
      </c>
      <c r="I2150">
        <v>15000</v>
      </c>
      <c r="J2150">
        <v>0</v>
      </c>
      <c r="K2150">
        <v>15000</v>
      </c>
      <c r="N2150">
        <v>19.047619047619047</v>
      </c>
      <c r="O2150">
        <v>1.9333</v>
      </c>
      <c r="P2150">
        <v>125</v>
      </c>
      <c r="Q2150">
        <v>2.6</v>
      </c>
      <c r="R2150">
        <v>1.75</v>
      </c>
      <c r="S2150">
        <v>2.6</v>
      </c>
      <c r="T2150">
        <v>99.511296000000002</v>
      </c>
      <c r="W2150" t="s">
        <v>497</v>
      </c>
    </row>
    <row r="2151" spans="1:23" x14ac:dyDescent="0.25">
      <c r="A2151" t="s">
        <v>2602</v>
      </c>
      <c r="B2151" t="str">
        <f t="shared" si="34"/>
        <v>GA1200001293</v>
      </c>
      <c r="C2151" t="s">
        <v>227</v>
      </c>
      <c r="D2151" t="s">
        <v>77</v>
      </c>
      <c r="E2151" t="s">
        <v>82</v>
      </c>
      <c r="F2151">
        <v>14000</v>
      </c>
      <c r="G2151" s="13">
        <v>44398</v>
      </c>
      <c r="H2151" s="13">
        <v>44582</v>
      </c>
      <c r="I2151">
        <v>1250</v>
      </c>
      <c r="J2151">
        <v>12750</v>
      </c>
      <c r="K2151">
        <v>14000</v>
      </c>
      <c r="N2151">
        <v>0</v>
      </c>
      <c r="O2151">
        <v>4.7709000000000001</v>
      </c>
      <c r="P2151">
        <v>150.3571</v>
      </c>
      <c r="Q2151">
        <v>5</v>
      </c>
      <c r="R2151">
        <v>4.3</v>
      </c>
      <c r="S2151">
        <v>5</v>
      </c>
      <c r="T2151">
        <v>97.588048999999998</v>
      </c>
      <c r="W2151" t="s">
        <v>497</v>
      </c>
    </row>
    <row r="2152" spans="1:23" x14ac:dyDescent="0.25">
      <c r="A2152" t="s">
        <v>2603</v>
      </c>
      <c r="B2152" t="str">
        <f t="shared" si="34"/>
        <v>TD1300000502</v>
      </c>
      <c r="C2152" t="s">
        <v>237</v>
      </c>
      <c r="D2152" t="s">
        <v>77</v>
      </c>
      <c r="E2152" t="s">
        <v>287</v>
      </c>
      <c r="F2152">
        <v>25000</v>
      </c>
      <c r="G2152" s="13">
        <v>44398</v>
      </c>
      <c r="H2152" s="13">
        <v>44764</v>
      </c>
      <c r="I2152">
        <v>2000</v>
      </c>
      <c r="J2152">
        <v>1000</v>
      </c>
      <c r="K2152">
        <v>3000</v>
      </c>
      <c r="N2152">
        <v>0</v>
      </c>
      <c r="O2152">
        <v>6.6</v>
      </c>
      <c r="P2152">
        <v>13</v>
      </c>
      <c r="Q2152">
        <v>6.8</v>
      </c>
      <c r="R2152">
        <v>6.5</v>
      </c>
      <c r="S2152">
        <v>6.8</v>
      </c>
      <c r="T2152">
        <v>93.326667</v>
      </c>
      <c r="W2152" t="s">
        <v>497</v>
      </c>
    </row>
    <row r="2153" spans="1:23" x14ac:dyDescent="0.25">
      <c r="A2153" t="s">
        <v>2604</v>
      </c>
      <c r="B2153" t="str">
        <f t="shared" si="34"/>
        <v>CM1300000559</v>
      </c>
      <c r="C2153" t="s">
        <v>225</v>
      </c>
      <c r="D2153" t="s">
        <v>77</v>
      </c>
      <c r="E2153" t="s">
        <v>287</v>
      </c>
      <c r="F2153">
        <v>20000</v>
      </c>
      <c r="G2153" s="13">
        <v>44405</v>
      </c>
      <c r="H2153" s="13">
        <v>44771</v>
      </c>
      <c r="I2153">
        <v>15000</v>
      </c>
      <c r="J2153">
        <v>5000</v>
      </c>
      <c r="K2153">
        <v>20000</v>
      </c>
      <c r="N2153">
        <v>28.571428571428569</v>
      </c>
      <c r="O2153">
        <v>2.8868999999999998</v>
      </c>
      <c r="P2153">
        <v>187.5</v>
      </c>
      <c r="Q2153">
        <v>3.2</v>
      </c>
      <c r="R2153">
        <v>2.75</v>
      </c>
      <c r="S2153">
        <v>3.1</v>
      </c>
      <c r="T2153">
        <v>97.081048999999993</v>
      </c>
      <c r="W2153" t="s">
        <v>497</v>
      </c>
    </row>
    <row r="2154" spans="1:23" x14ac:dyDescent="0.25">
      <c r="A2154" t="s">
        <v>2605</v>
      </c>
      <c r="B2154" t="str">
        <f t="shared" si="34"/>
        <v>GA1100001419</v>
      </c>
      <c r="C2154" t="s">
        <v>227</v>
      </c>
      <c r="D2154" t="s">
        <v>77</v>
      </c>
      <c r="E2154" t="s">
        <v>78</v>
      </c>
      <c r="F2154">
        <v>14000</v>
      </c>
      <c r="G2154" s="13">
        <v>44405</v>
      </c>
      <c r="H2154" s="13">
        <v>44498</v>
      </c>
      <c r="I2154">
        <v>5000</v>
      </c>
      <c r="J2154">
        <v>9000</v>
      </c>
      <c r="K2154">
        <v>14000</v>
      </c>
      <c r="N2154">
        <v>38.888888888888893</v>
      </c>
      <c r="O2154">
        <v>4.3838999999999997</v>
      </c>
      <c r="P2154">
        <v>107.21429999999999</v>
      </c>
      <c r="Q2154">
        <v>4.75</v>
      </c>
      <c r="R2154">
        <v>4.2</v>
      </c>
      <c r="S2154">
        <v>4.75</v>
      </c>
      <c r="T2154">
        <v>98.891840000000002</v>
      </c>
      <c r="W2154" t="s">
        <v>497</v>
      </c>
    </row>
    <row r="2155" spans="1:23" x14ac:dyDescent="0.25">
      <c r="A2155" t="s">
        <v>2606</v>
      </c>
      <c r="B2155" t="str">
        <f t="shared" si="34"/>
        <v>TD1300000510</v>
      </c>
      <c r="C2155" t="s">
        <v>237</v>
      </c>
      <c r="D2155" t="s">
        <v>77</v>
      </c>
      <c r="E2155" t="s">
        <v>287</v>
      </c>
      <c r="F2155">
        <v>15000</v>
      </c>
      <c r="G2155" s="13">
        <v>44405</v>
      </c>
      <c r="H2155" s="13">
        <v>44771</v>
      </c>
      <c r="I2155">
        <v>11804</v>
      </c>
      <c r="J2155">
        <v>0</v>
      </c>
      <c r="K2155">
        <v>11804</v>
      </c>
      <c r="N2155">
        <v>0</v>
      </c>
      <c r="O2155">
        <v>6.5134999999999996</v>
      </c>
      <c r="P2155">
        <v>79.36</v>
      </c>
      <c r="Q2155">
        <v>6.6</v>
      </c>
      <c r="R2155">
        <v>6.5</v>
      </c>
      <c r="S2155">
        <v>6.6</v>
      </c>
      <c r="T2155">
        <v>93.414156000000006</v>
      </c>
      <c r="W2155" t="s">
        <v>497</v>
      </c>
    </row>
    <row r="2156" spans="1:23" x14ac:dyDescent="0.25">
      <c r="A2156" t="s">
        <v>2607</v>
      </c>
      <c r="B2156" t="str">
        <f t="shared" si="34"/>
        <v>CM1100000882</v>
      </c>
      <c r="C2156" t="s">
        <v>225</v>
      </c>
      <c r="D2156" t="s">
        <v>77</v>
      </c>
      <c r="E2156" t="s">
        <v>78</v>
      </c>
      <c r="F2156">
        <v>15000</v>
      </c>
      <c r="G2156" s="13">
        <v>44412</v>
      </c>
      <c r="H2156" s="13">
        <v>44505</v>
      </c>
      <c r="I2156">
        <v>10000</v>
      </c>
      <c r="J2156">
        <v>0</v>
      </c>
      <c r="K2156">
        <v>10000</v>
      </c>
      <c r="N2156">
        <v>33.333333333333329</v>
      </c>
      <c r="O2156">
        <v>2.1040000000000001</v>
      </c>
      <c r="P2156">
        <v>176.66669999999999</v>
      </c>
      <c r="Q2156">
        <v>2.7</v>
      </c>
      <c r="R2156">
        <v>1.9</v>
      </c>
      <c r="S2156">
        <v>2.7</v>
      </c>
      <c r="T2156">
        <v>99.468155999999993</v>
      </c>
      <c r="W2156" t="s">
        <v>497</v>
      </c>
    </row>
    <row r="2157" spans="1:23" x14ac:dyDescent="0.25">
      <c r="A2157" t="s">
        <v>2608</v>
      </c>
      <c r="B2157" t="str">
        <f t="shared" si="34"/>
        <v>GA1200001301</v>
      </c>
      <c r="C2157" t="s">
        <v>227</v>
      </c>
      <c r="D2157" t="s">
        <v>77</v>
      </c>
      <c r="E2157" t="s">
        <v>82</v>
      </c>
      <c r="F2157">
        <v>11000</v>
      </c>
      <c r="G2157" s="13">
        <v>44412</v>
      </c>
      <c r="H2157" s="13">
        <v>44596</v>
      </c>
      <c r="I2157">
        <v>6500</v>
      </c>
      <c r="J2157">
        <v>4500</v>
      </c>
      <c r="K2157">
        <v>11000</v>
      </c>
      <c r="N2157">
        <v>0</v>
      </c>
      <c r="O2157">
        <v>4.6981000000000002</v>
      </c>
      <c r="P2157">
        <v>191.0455</v>
      </c>
      <c r="Q2157">
        <v>5</v>
      </c>
      <c r="R2157">
        <v>4.5</v>
      </c>
      <c r="S2157">
        <v>5</v>
      </c>
      <c r="T2157">
        <v>97.624842999999998</v>
      </c>
      <c r="W2157" t="s">
        <v>497</v>
      </c>
    </row>
    <row r="2158" spans="1:23" x14ac:dyDescent="0.25">
      <c r="A2158" t="s">
        <v>2609</v>
      </c>
      <c r="B2158" t="str">
        <f t="shared" si="34"/>
        <v>TD1300000528</v>
      </c>
      <c r="C2158" t="s">
        <v>237</v>
      </c>
      <c r="D2158" t="s">
        <v>77</v>
      </c>
      <c r="E2158" t="s">
        <v>287</v>
      </c>
      <c r="F2158">
        <v>18262</v>
      </c>
      <c r="G2158" s="13">
        <v>44412</v>
      </c>
      <c r="H2158" s="13">
        <v>44778</v>
      </c>
      <c r="I2158">
        <v>7811</v>
      </c>
      <c r="J2158">
        <v>10451</v>
      </c>
      <c r="K2158">
        <v>18262</v>
      </c>
      <c r="N2158">
        <v>0</v>
      </c>
      <c r="O2158">
        <v>6.5997000000000003</v>
      </c>
      <c r="P2158">
        <v>100.5476</v>
      </c>
      <c r="Q2158">
        <v>7</v>
      </c>
      <c r="R2158">
        <v>6.25</v>
      </c>
      <c r="S2158">
        <v>7</v>
      </c>
      <c r="T2158">
        <v>93.327004000000002</v>
      </c>
      <c r="W2158" t="s">
        <v>497</v>
      </c>
    </row>
    <row r="2159" spans="1:23" x14ac:dyDescent="0.25">
      <c r="A2159" t="s">
        <v>2610</v>
      </c>
      <c r="B2159" t="str">
        <f t="shared" si="34"/>
        <v>CM1200001061</v>
      </c>
      <c r="C2159" t="s">
        <v>225</v>
      </c>
      <c r="D2159" t="s">
        <v>77</v>
      </c>
      <c r="E2159" t="s">
        <v>82</v>
      </c>
      <c r="F2159">
        <v>25000</v>
      </c>
      <c r="G2159" s="13">
        <v>44419</v>
      </c>
      <c r="H2159" s="13">
        <v>44603</v>
      </c>
      <c r="I2159">
        <v>15000</v>
      </c>
      <c r="J2159">
        <v>0</v>
      </c>
      <c r="K2159">
        <v>15000</v>
      </c>
      <c r="N2159">
        <v>9.5238095238095237</v>
      </c>
      <c r="O2159">
        <v>2.2166999999999999</v>
      </c>
      <c r="P2159">
        <v>68</v>
      </c>
      <c r="Q2159">
        <v>2.25</v>
      </c>
      <c r="R2159">
        <v>2.2000000000000002</v>
      </c>
      <c r="S2159">
        <v>2.25</v>
      </c>
      <c r="T2159">
        <v>98.879351999999997</v>
      </c>
      <c r="W2159" t="s">
        <v>497</v>
      </c>
    </row>
    <row r="2160" spans="1:23" x14ac:dyDescent="0.25">
      <c r="A2160" t="s">
        <v>2611</v>
      </c>
      <c r="B2160" t="str">
        <f t="shared" si="34"/>
        <v>CG1100000229</v>
      </c>
      <c r="C2160" t="s">
        <v>229</v>
      </c>
      <c r="D2160" t="s">
        <v>77</v>
      </c>
      <c r="E2160" t="s">
        <v>78</v>
      </c>
      <c r="F2160">
        <v>10000</v>
      </c>
      <c r="G2160" s="13">
        <v>44419</v>
      </c>
      <c r="H2160" s="13">
        <v>44512</v>
      </c>
      <c r="I2160">
        <v>5000</v>
      </c>
      <c r="J2160">
        <v>3879</v>
      </c>
      <c r="K2160">
        <v>8879</v>
      </c>
      <c r="N2160">
        <v>13.043478260869565</v>
      </c>
      <c r="O2160">
        <v>5.9443999999999999</v>
      </c>
      <c r="P2160">
        <v>88.79</v>
      </c>
      <c r="Q2160">
        <v>6</v>
      </c>
      <c r="R2160">
        <v>4.5</v>
      </c>
      <c r="S2160">
        <v>6</v>
      </c>
      <c r="T2160">
        <v>98.497377</v>
      </c>
      <c r="W2160" t="s">
        <v>497</v>
      </c>
    </row>
    <row r="2161" spans="1:23" x14ac:dyDescent="0.25">
      <c r="A2161" t="s">
        <v>2612</v>
      </c>
      <c r="B2161" t="str">
        <f t="shared" si="34"/>
        <v>CG1200000509</v>
      </c>
      <c r="C2161" t="s">
        <v>229</v>
      </c>
      <c r="D2161" t="s">
        <v>77</v>
      </c>
      <c r="E2161" t="s">
        <v>82</v>
      </c>
      <c r="F2161">
        <v>10000</v>
      </c>
      <c r="G2161" s="13">
        <v>44419</v>
      </c>
      <c r="H2161" s="13">
        <v>44603</v>
      </c>
      <c r="I2161">
        <v>2318</v>
      </c>
      <c r="J2161">
        <v>7050</v>
      </c>
      <c r="K2161">
        <v>9368</v>
      </c>
      <c r="N2161">
        <v>21.739130434782609</v>
      </c>
      <c r="O2161">
        <v>6.3760000000000003</v>
      </c>
      <c r="P2161">
        <v>93.68</v>
      </c>
      <c r="Q2161">
        <v>6.5</v>
      </c>
      <c r="R2161">
        <v>6</v>
      </c>
      <c r="S2161">
        <v>6.5</v>
      </c>
      <c r="T2161">
        <v>96.776571000000004</v>
      </c>
      <c r="W2161" t="s">
        <v>497</v>
      </c>
    </row>
    <row r="2162" spans="1:23" x14ac:dyDescent="0.25">
      <c r="A2162" t="s">
        <v>2613</v>
      </c>
      <c r="B2162" t="str">
        <f t="shared" si="34"/>
        <v>GA1200001319</v>
      </c>
      <c r="C2162" t="s">
        <v>227</v>
      </c>
      <c r="D2162" t="s">
        <v>77</v>
      </c>
      <c r="E2162" t="s">
        <v>82</v>
      </c>
      <c r="F2162">
        <v>12500</v>
      </c>
      <c r="G2162" s="13">
        <v>44419</v>
      </c>
      <c r="H2162" s="13">
        <v>44603</v>
      </c>
      <c r="I2162">
        <v>0</v>
      </c>
      <c r="J2162">
        <v>12500</v>
      </c>
      <c r="K2162">
        <v>12500</v>
      </c>
      <c r="N2162">
        <v>0</v>
      </c>
      <c r="O2162">
        <v>5.3583999999999996</v>
      </c>
      <c r="P2162">
        <v>114.648</v>
      </c>
      <c r="Q2162">
        <v>5.75</v>
      </c>
      <c r="R2162">
        <v>3.5</v>
      </c>
      <c r="S2162">
        <v>5.75</v>
      </c>
      <c r="T2162">
        <v>97.291021000000001</v>
      </c>
      <c r="W2162" t="s">
        <v>497</v>
      </c>
    </row>
    <row r="2163" spans="1:23" x14ac:dyDescent="0.25">
      <c r="A2163" t="s">
        <v>2614</v>
      </c>
      <c r="B2163" t="str">
        <f t="shared" si="34"/>
        <v>CG1300000128</v>
      </c>
      <c r="C2163" t="s">
        <v>229</v>
      </c>
      <c r="D2163" t="s">
        <v>77</v>
      </c>
      <c r="E2163" t="s">
        <v>287</v>
      </c>
      <c r="F2163">
        <v>10000</v>
      </c>
      <c r="G2163" s="13">
        <v>44426</v>
      </c>
      <c r="H2163" s="13">
        <v>44792</v>
      </c>
      <c r="I2163">
        <v>10</v>
      </c>
      <c r="J2163">
        <v>9490</v>
      </c>
      <c r="K2163">
        <v>9500</v>
      </c>
      <c r="N2163">
        <v>13.043478260869565</v>
      </c>
      <c r="O2163">
        <v>6.6731999999999996</v>
      </c>
      <c r="P2163">
        <v>100</v>
      </c>
      <c r="Q2163">
        <v>6.75</v>
      </c>
      <c r="R2163">
        <v>6.25</v>
      </c>
      <c r="S2163">
        <v>6.75</v>
      </c>
      <c r="T2163">
        <v>93.252643000000006</v>
      </c>
      <c r="W2163" t="s">
        <v>497</v>
      </c>
    </row>
    <row r="2164" spans="1:23" x14ac:dyDescent="0.25">
      <c r="A2164" t="s">
        <v>2615</v>
      </c>
      <c r="B2164" t="str">
        <f t="shared" si="34"/>
        <v>GA1300000484</v>
      </c>
      <c r="C2164" t="s">
        <v>227</v>
      </c>
      <c r="D2164" t="s">
        <v>77</v>
      </c>
      <c r="E2164" t="s">
        <v>287</v>
      </c>
      <c r="F2164">
        <v>10000</v>
      </c>
      <c r="G2164" s="13">
        <v>44426</v>
      </c>
      <c r="H2164" s="13">
        <v>44792</v>
      </c>
      <c r="I2164">
        <v>0</v>
      </c>
      <c r="J2164">
        <v>4500</v>
      </c>
      <c r="K2164">
        <v>4500</v>
      </c>
      <c r="N2164">
        <v>0</v>
      </c>
      <c r="O2164">
        <v>6.4443999999999999</v>
      </c>
      <c r="P2164">
        <v>46</v>
      </c>
      <c r="Q2164">
        <v>7</v>
      </c>
      <c r="R2164">
        <v>6.25</v>
      </c>
      <c r="S2164">
        <v>7</v>
      </c>
      <c r="T2164">
        <v>93.483951000000005</v>
      </c>
      <c r="W2164" t="s">
        <v>497</v>
      </c>
    </row>
    <row r="2165" spans="1:23" x14ac:dyDescent="0.25">
      <c r="A2165" t="s">
        <v>2616</v>
      </c>
      <c r="B2165" t="str">
        <f t="shared" si="34"/>
        <v>TD1300000536</v>
      </c>
      <c r="C2165" t="s">
        <v>237</v>
      </c>
      <c r="D2165" t="s">
        <v>77</v>
      </c>
      <c r="E2165" t="s">
        <v>287</v>
      </c>
      <c r="F2165">
        <v>10000</v>
      </c>
      <c r="G2165" s="13">
        <v>44426</v>
      </c>
      <c r="H2165" s="13">
        <v>44792</v>
      </c>
      <c r="I2165">
        <v>7320</v>
      </c>
      <c r="J2165">
        <v>247</v>
      </c>
      <c r="K2165">
        <v>7567</v>
      </c>
      <c r="N2165">
        <v>0</v>
      </c>
      <c r="O2165">
        <v>6.2565999999999997</v>
      </c>
      <c r="P2165">
        <v>75.67</v>
      </c>
      <c r="Q2165">
        <v>6.5</v>
      </c>
      <c r="R2165">
        <v>6</v>
      </c>
      <c r="S2165">
        <v>6.5</v>
      </c>
      <c r="T2165">
        <v>93.673873999999998</v>
      </c>
      <c r="W2165" t="s">
        <v>497</v>
      </c>
    </row>
    <row r="2166" spans="1:23" x14ac:dyDescent="0.25">
      <c r="A2166" t="s">
        <v>2617</v>
      </c>
      <c r="B2166" t="str">
        <f t="shared" si="34"/>
        <v>CG1200000517</v>
      </c>
      <c r="C2166" t="s">
        <v>229</v>
      </c>
      <c r="D2166" t="s">
        <v>77</v>
      </c>
      <c r="E2166" t="s">
        <v>82</v>
      </c>
      <c r="F2166">
        <v>10000</v>
      </c>
      <c r="G2166" s="13">
        <v>44433</v>
      </c>
      <c r="H2166" s="13">
        <v>44617</v>
      </c>
      <c r="I2166">
        <v>250</v>
      </c>
      <c r="J2166">
        <v>6715</v>
      </c>
      <c r="K2166">
        <v>6965</v>
      </c>
      <c r="N2166">
        <v>17.391304347826086</v>
      </c>
      <c r="O2166">
        <v>6.6639999999999997</v>
      </c>
      <c r="P2166">
        <v>69.650000000000006</v>
      </c>
      <c r="Q2166">
        <v>6.75</v>
      </c>
      <c r="R2166">
        <v>6</v>
      </c>
      <c r="S2166">
        <v>6.75</v>
      </c>
      <c r="T2166">
        <v>96.630960000000002</v>
      </c>
      <c r="W2166" t="s">
        <v>497</v>
      </c>
    </row>
    <row r="2167" spans="1:23" x14ac:dyDescent="0.25">
      <c r="A2167" t="s">
        <v>2618</v>
      </c>
      <c r="B2167" t="str">
        <f t="shared" si="34"/>
        <v>GA1100001427</v>
      </c>
      <c r="C2167" t="s">
        <v>227</v>
      </c>
      <c r="D2167" t="s">
        <v>77</v>
      </c>
      <c r="E2167" t="s">
        <v>78</v>
      </c>
      <c r="F2167">
        <v>15000</v>
      </c>
      <c r="G2167" s="13">
        <v>44433</v>
      </c>
      <c r="H2167" s="13">
        <v>44526</v>
      </c>
      <c r="I2167">
        <v>3060</v>
      </c>
      <c r="J2167">
        <v>11940</v>
      </c>
      <c r="K2167">
        <v>15000</v>
      </c>
      <c r="N2167">
        <v>38.888888888888893</v>
      </c>
      <c r="O2167">
        <v>4.4999000000000002</v>
      </c>
      <c r="P2167">
        <v>146.13329999999999</v>
      </c>
      <c r="Q2167">
        <v>4.75</v>
      </c>
      <c r="R2167">
        <v>4.3499999999999996</v>
      </c>
      <c r="S2167">
        <v>4.75</v>
      </c>
      <c r="T2167">
        <v>98.862525000000005</v>
      </c>
      <c r="W2167" t="s">
        <v>497</v>
      </c>
    </row>
    <row r="2168" spans="1:23" x14ac:dyDescent="0.25">
      <c r="A2168" t="s">
        <v>2619</v>
      </c>
      <c r="B2168" t="str">
        <f t="shared" si="34"/>
        <v>TD1300000544</v>
      </c>
      <c r="C2168" t="s">
        <v>237</v>
      </c>
      <c r="D2168" t="s">
        <v>77</v>
      </c>
      <c r="E2168" t="s">
        <v>287</v>
      </c>
      <c r="F2168">
        <v>20000</v>
      </c>
      <c r="G2168" s="13">
        <v>44433</v>
      </c>
      <c r="H2168" s="13">
        <v>44799</v>
      </c>
      <c r="I2168">
        <v>4279</v>
      </c>
      <c r="J2168">
        <v>12463</v>
      </c>
      <c r="K2168">
        <v>16742</v>
      </c>
      <c r="N2168">
        <v>0</v>
      </c>
      <c r="O2168">
        <v>6.5309999999999997</v>
      </c>
      <c r="P2168">
        <v>83.71</v>
      </c>
      <c r="Q2168">
        <v>6.75</v>
      </c>
      <c r="R2168">
        <v>6.5</v>
      </c>
      <c r="S2168">
        <v>6.75</v>
      </c>
      <c r="T2168">
        <v>93.396465000000006</v>
      </c>
      <c r="W2168" t="s">
        <v>497</v>
      </c>
    </row>
    <row r="2169" spans="1:23" x14ac:dyDescent="0.25">
      <c r="A2169" t="s">
        <v>2620</v>
      </c>
      <c r="B2169" t="str">
        <f t="shared" si="34"/>
        <v>CM1200001079</v>
      </c>
      <c r="C2169" t="s">
        <v>225</v>
      </c>
      <c r="D2169" t="s">
        <v>77</v>
      </c>
      <c r="E2169" t="s">
        <v>82</v>
      </c>
      <c r="F2169">
        <v>20000</v>
      </c>
      <c r="G2169" s="13">
        <v>44440</v>
      </c>
      <c r="H2169" s="13">
        <v>44624</v>
      </c>
      <c r="I2169">
        <v>12500</v>
      </c>
      <c r="J2169">
        <v>0</v>
      </c>
      <c r="K2169">
        <v>12500</v>
      </c>
      <c r="N2169">
        <v>23.809523809523807</v>
      </c>
      <c r="O2169">
        <v>2.4</v>
      </c>
      <c r="P2169">
        <v>83</v>
      </c>
      <c r="Q2169">
        <v>2.8</v>
      </c>
      <c r="R2169">
        <v>2</v>
      </c>
      <c r="S2169">
        <v>2.8</v>
      </c>
      <c r="T2169">
        <v>98.786666999999994</v>
      </c>
      <c r="W2169" t="s">
        <v>497</v>
      </c>
    </row>
    <row r="2170" spans="1:23" x14ac:dyDescent="0.25">
      <c r="A2170" t="s">
        <v>2621</v>
      </c>
      <c r="B2170" t="str">
        <f t="shared" si="34"/>
        <v>CF1200000419</v>
      </c>
      <c r="C2170" t="s">
        <v>2406</v>
      </c>
      <c r="D2170" t="s">
        <v>77</v>
      </c>
      <c r="E2170" t="s">
        <v>82</v>
      </c>
      <c r="F2170">
        <v>5500</v>
      </c>
      <c r="G2170" s="13">
        <v>44440</v>
      </c>
      <c r="H2170" s="13">
        <v>44624</v>
      </c>
      <c r="I2170">
        <v>4000</v>
      </c>
      <c r="J2170">
        <v>0</v>
      </c>
      <c r="K2170">
        <v>4000</v>
      </c>
      <c r="N2170">
        <v>33.333333333333329</v>
      </c>
      <c r="O2170">
        <v>5.9188000000000001</v>
      </c>
      <c r="P2170">
        <v>72.7273</v>
      </c>
      <c r="Q2170">
        <v>6.25</v>
      </c>
      <c r="R2170">
        <v>5.25</v>
      </c>
      <c r="S2170">
        <v>6.25</v>
      </c>
      <c r="T2170">
        <v>97.007743000000005</v>
      </c>
      <c r="W2170" t="s">
        <v>497</v>
      </c>
    </row>
    <row r="2171" spans="1:23" x14ac:dyDescent="0.25">
      <c r="A2171" t="s">
        <v>2622</v>
      </c>
      <c r="B2171" t="str">
        <f t="shared" si="34"/>
        <v>CG1200000517</v>
      </c>
      <c r="C2171" t="s">
        <v>229</v>
      </c>
      <c r="D2171" t="s">
        <v>77</v>
      </c>
      <c r="E2171" t="s">
        <v>82</v>
      </c>
      <c r="F2171">
        <v>7000</v>
      </c>
      <c r="G2171" s="13">
        <v>44440</v>
      </c>
      <c r="H2171" s="13">
        <v>44617</v>
      </c>
      <c r="I2171">
        <v>29</v>
      </c>
      <c r="J2171">
        <v>6971</v>
      </c>
      <c r="K2171">
        <v>7000</v>
      </c>
      <c r="N2171">
        <v>26.086956521739129</v>
      </c>
      <c r="O2171">
        <v>6.3731</v>
      </c>
      <c r="P2171">
        <v>169.1429</v>
      </c>
      <c r="Q2171">
        <v>6.75</v>
      </c>
      <c r="R2171">
        <v>5.5</v>
      </c>
      <c r="S2171">
        <v>6.75</v>
      </c>
      <c r="T2171">
        <v>96.901978999999997</v>
      </c>
      <c r="W2171" t="s">
        <v>497</v>
      </c>
    </row>
    <row r="2172" spans="1:23" x14ac:dyDescent="0.25">
      <c r="A2172" t="s">
        <v>2623</v>
      </c>
      <c r="B2172" t="str">
        <f t="shared" si="34"/>
        <v>GA1200001327</v>
      </c>
      <c r="C2172" t="s">
        <v>227</v>
      </c>
      <c r="D2172" t="s">
        <v>77</v>
      </c>
      <c r="E2172" t="s">
        <v>82</v>
      </c>
      <c r="F2172">
        <v>12000</v>
      </c>
      <c r="G2172" s="13">
        <v>44440</v>
      </c>
      <c r="H2172" s="13">
        <v>44624</v>
      </c>
      <c r="I2172">
        <v>1500</v>
      </c>
      <c r="J2172">
        <v>10500</v>
      </c>
      <c r="K2172">
        <v>12000</v>
      </c>
      <c r="N2172">
        <v>0</v>
      </c>
      <c r="O2172">
        <v>5.6104000000000003</v>
      </c>
      <c r="P2172">
        <v>102.5</v>
      </c>
      <c r="Q2172">
        <v>6</v>
      </c>
      <c r="R2172">
        <v>5.5</v>
      </c>
      <c r="S2172">
        <v>6</v>
      </c>
      <c r="T2172">
        <v>97.163623000000001</v>
      </c>
      <c r="W2172" t="s">
        <v>497</v>
      </c>
    </row>
    <row r="2173" spans="1:23" x14ac:dyDescent="0.25">
      <c r="A2173" t="s">
        <v>2624</v>
      </c>
      <c r="B2173" t="str">
        <f t="shared" si="34"/>
        <v>TD1200001212</v>
      </c>
      <c r="C2173" t="s">
        <v>237</v>
      </c>
      <c r="D2173" t="s">
        <v>77</v>
      </c>
      <c r="E2173" t="s">
        <v>82</v>
      </c>
      <c r="F2173">
        <v>20000</v>
      </c>
      <c r="G2173" s="13">
        <v>44440</v>
      </c>
      <c r="H2173" s="13">
        <v>44624</v>
      </c>
      <c r="I2173">
        <v>4000</v>
      </c>
      <c r="J2173">
        <v>4566</v>
      </c>
      <c r="K2173">
        <v>8566</v>
      </c>
      <c r="N2173">
        <v>0</v>
      </c>
      <c r="O2173">
        <v>6.5</v>
      </c>
      <c r="P2173">
        <v>42.83</v>
      </c>
      <c r="Q2173">
        <v>6.5</v>
      </c>
      <c r="R2173">
        <v>6.5</v>
      </c>
      <c r="S2173">
        <v>6.5</v>
      </c>
      <c r="T2173">
        <v>96.713888999999995</v>
      </c>
      <c r="W2173" t="s">
        <v>497</v>
      </c>
    </row>
    <row r="2174" spans="1:23" x14ac:dyDescent="0.25">
      <c r="A2174" t="s">
        <v>2625</v>
      </c>
      <c r="B2174" t="str">
        <f t="shared" si="34"/>
        <v>GA1200001335</v>
      </c>
      <c r="C2174" t="s">
        <v>227</v>
      </c>
      <c r="D2174" t="s">
        <v>77</v>
      </c>
      <c r="E2174" t="s">
        <v>82</v>
      </c>
      <c r="F2174">
        <v>12000</v>
      </c>
      <c r="G2174" s="13">
        <v>44447</v>
      </c>
      <c r="H2174" s="13">
        <v>44631</v>
      </c>
      <c r="I2174">
        <v>3000</v>
      </c>
      <c r="J2174">
        <v>7150</v>
      </c>
      <c r="K2174">
        <v>10150</v>
      </c>
      <c r="N2174">
        <v>0</v>
      </c>
      <c r="O2174">
        <v>6.1958000000000002</v>
      </c>
      <c r="P2174">
        <v>84.583299999999994</v>
      </c>
      <c r="Q2174">
        <v>6.5</v>
      </c>
      <c r="R2174">
        <v>5.25</v>
      </c>
      <c r="S2174">
        <v>6.5</v>
      </c>
      <c r="T2174">
        <v>96.962806999999998</v>
      </c>
      <c r="W2174" t="s">
        <v>497</v>
      </c>
    </row>
    <row r="2175" spans="1:23" x14ac:dyDescent="0.25">
      <c r="A2175" t="s">
        <v>2626</v>
      </c>
      <c r="B2175" t="str">
        <f t="shared" si="34"/>
        <v>TD1300000569</v>
      </c>
      <c r="C2175" t="s">
        <v>237</v>
      </c>
      <c r="D2175" t="s">
        <v>77</v>
      </c>
      <c r="E2175" t="s">
        <v>287</v>
      </c>
      <c r="F2175">
        <v>50000</v>
      </c>
      <c r="G2175" s="13">
        <v>44447</v>
      </c>
      <c r="H2175" s="13">
        <v>44813</v>
      </c>
      <c r="I2175">
        <v>22900</v>
      </c>
      <c r="J2175">
        <v>19670</v>
      </c>
      <c r="K2175">
        <v>42570</v>
      </c>
      <c r="N2175">
        <v>0</v>
      </c>
      <c r="O2175">
        <v>7.1632999999999996</v>
      </c>
      <c r="P2175">
        <v>85.14</v>
      </c>
      <c r="Q2175">
        <v>7</v>
      </c>
      <c r="R2175">
        <v>5.5</v>
      </c>
      <c r="S2175">
        <v>7</v>
      </c>
      <c r="T2175">
        <v>93.246255000000005</v>
      </c>
      <c r="W2175" t="s">
        <v>497</v>
      </c>
    </row>
    <row r="2176" spans="1:23" x14ac:dyDescent="0.25">
      <c r="A2176" t="s">
        <v>2627</v>
      </c>
      <c r="B2176" t="str">
        <f t="shared" si="34"/>
        <v>CG1300000136</v>
      </c>
      <c r="C2176" t="s">
        <v>229</v>
      </c>
      <c r="D2176" t="s">
        <v>77</v>
      </c>
      <c r="E2176" t="s">
        <v>287</v>
      </c>
      <c r="F2176">
        <v>15000</v>
      </c>
      <c r="G2176" s="13">
        <v>44454</v>
      </c>
      <c r="H2176" s="13">
        <v>44820</v>
      </c>
      <c r="I2176">
        <v>50</v>
      </c>
      <c r="J2176">
        <v>14074</v>
      </c>
      <c r="K2176">
        <v>14124</v>
      </c>
      <c r="N2176">
        <v>17.391304347826086</v>
      </c>
      <c r="O2176">
        <v>6.9352</v>
      </c>
      <c r="P2176">
        <v>94.16</v>
      </c>
      <c r="Q2176">
        <v>7</v>
      </c>
      <c r="R2176">
        <v>6</v>
      </c>
      <c r="S2176">
        <v>7</v>
      </c>
      <c r="T2176">
        <v>92.987733000000006</v>
      </c>
      <c r="W2176" t="s">
        <v>497</v>
      </c>
    </row>
    <row r="2177" spans="1:23" x14ac:dyDescent="0.25">
      <c r="A2177" t="s">
        <v>2628</v>
      </c>
      <c r="B2177" t="str">
        <f t="shared" si="34"/>
        <v>CG1100000237</v>
      </c>
      <c r="C2177" t="s">
        <v>229</v>
      </c>
      <c r="D2177" t="s">
        <v>77</v>
      </c>
      <c r="E2177" t="s">
        <v>78</v>
      </c>
      <c r="F2177">
        <v>11000</v>
      </c>
      <c r="G2177" s="13">
        <v>44454</v>
      </c>
      <c r="H2177" s="13">
        <v>44547</v>
      </c>
      <c r="I2177">
        <v>3200</v>
      </c>
      <c r="J2177">
        <v>6220</v>
      </c>
      <c r="K2177">
        <v>9420</v>
      </c>
      <c r="N2177">
        <v>21.739130434782609</v>
      </c>
      <c r="O2177">
        <v>6.1814999999999998</v>
      </c>
      <c r="P2177">
        <v>85.636399999999995</v>
      </c>
      <c r="Q2177">
        <v>6.75</v>
      </c>
      <c r="R2177">
        <v>4.5</v>
      </c>
      <c r="S2177">
        <v>6.75</v>
      </c>
      <c r="T2177">
        <v>98.437447000000006</v>
      </c>
      <c r="W2177" t="s">
        <v>497</v>
      </c>
    </row>
    <row r="2178" spans="1:23" x14ac:dyDescent="0.25">
      <c r="A2178" t="s">
        <v>2629</v>
      </c>
      <c r="B2178" t="str">
        <f t="shared" si="34"/>
        <v>GA1200001343</v>
      </c>
      <c r="C2178" t="s">
        <v>227</v>
      </c>
      <c r="D2178" t="s">
        <v>77</v>
      </c>
      <c r="E2178" t="s">
        <v>82</v>
      </c>
      <c r="F2178">
        <v>12000</v>
      </c>
      <c r="G2178" s="13">
        <v>44454</v>
      </c>
      <c r="H2178" s="13">
        <v>44638</v>
      </c>
      <c r="I2178">
        <v>1000</v>
      </c>
      <c r="J2178">
        <v>7825</v>
      </c>
      <c r="K2178">
        <v>8825</v>
      </c>
      <c r="N2178">
        <v>0</v>
      </c>
      <c r="O2178">
        <v>6.2644000000000002</v>
      </c>
      <c r="P2178">
        <v>74.375</v>
      </c>
      <c r="Q2178">
        <v>6.5</v>
      </c>
      <c r="R2178">
        <v>4</v>
      </c>
      <c r="S2178">
        <v>6.5</v>
      </c>
      <c r="T2178">
        <v>96.832988</v>
      </c>
      <c r="W2178" t="s">
        <v>497</v>
      </c>
    </row>
    <row r="2179" spans="1:23" x14ac:dyDescent="0.25">
      <c r="A2179" t="s">
        <v>2630</v>
      </c>
      <c r="B2179" t="str">
        <f t="shared" si="34"/>
        <v>TD1200001220</v>
      </c>
      <c r="C2179" t="s">
        <v>237</v>
      </c>
      <c r="D2179" t="s">
        <v>77</v>
      </c>
      <c r="E2179" t="s">
        <v>82</v>
      </c>
      <c r="F2179">
        <v>25000</v>
      </c>
      <c r="G2179" s="13">
        <v>44454</v>
      </c>
      <c r="H2179" s="13">
        <v>44638</v>
      </c>
      <c r="I2179">
        <v>10800</v>
      </c>
      <c r="J2179">
        <v>12361</v>
      </c>
      <c r="K2179">
        <v>23161</v>
      </c>
      <c r="N2179">
        <v>0</v>
      </c>
      <c r="O2179">
        <v>6.5484</v>
      </c>
      <c r="P2179">
        <v>92.644000000000005</v>
      </c>
      <c r="Q2179">
        <v>7</v>
      </c>
      <c r="R2179">
        <v>6.5</v>
      </c>
      <c r="S2179">
        <v>7</v>
      </c>
      <c r="T2179">
        <v>96.689442</v>
      </c>
      <c r="W2179" t="s">
        <v>497</v>
      </c>
    </row>
    <row r="2180" spans="1:23" x14ac:dyDescent="0.25">
      <c r="A2180" t="s">
        <v>2631</v>
      </c>
      <c r="B2180" t="str">
        <f t="shared" si="34"/>
        <v>CM1200001087</v>
      </c>
      <c r="C2180" t="s">
        <v>225</v>
      </c>
      <c r="D2180" t="s">
        <v>77</v>
      </c>
      <c r="E2180" t="s">
        <v>82</v>
      </c>
      <c r="F2180">
        <v>25000</v>
      </c>
      <c r="G2180" s="13">
        <v>44461</v>
      </c>
      <c r="H2180" s="13">
        <v>44645</v>
      </c>
      <c r="I2180">
        <v>14000</v>
      </c>
      <c r="J2180">
        <v>0</v>
      </c>
      <c r="K2180">
        <v>14000</v>
      </c>
      <c r="N2180">
        <v>23.809523809523807</v>
      </c>
      <c r="O2180">
        <v>2.2096</v>
      </c>
      <c r="P2180">
        <v>76</v>
      </c>
      <c r="Q2180">
        <v>2.5</v>
      </c>
      <c r="R2180">
        <v>2</v>
      </c>
      <c r="S2180">
        <v>2.5</v>
      </c>
      <c r="T2180">
        <v>98.882902999999999</v>
      </c>
      <c r="W2180" t="s">
        <v>497</v>
      </c>
    </row>
    <row r="2181" spans="1:23" x14ac:dyDescent="0.25">
      <c r="A2181" t="s">
        <v>2632</v>
      </c>
      <c r="B2181" t="str">
        <f t="shared" si="34"/>
        <v>CG1200000525</v>
      </c>
      <c r="C2181" t="s">
        <v>229</v>
      </c>
      <c r="D2181" t="s">
        <v>77</v>
      </c>
      <c r="E2181" t="s">
        <v>82</v>
      </c>
      <c r="F2181">
        <v>12000</v>
      </c>
      <c r="G2181" s="13">
        <v>44461</v>
      </c>
      <c r="H2181" s="13">
        <v>44645</v>
      </c>
      <c r="I2181">
        <v>7780</v>
      </c>
      <c r="J2181">
        <v>4220</v>
      </c>
      <c r="K2181">
        <v>12000</v>
      </c>
      <c r="N2181">
        <v>30.434782608695656</v>
      </c>
      <c r="O2181">
        <v>6.1192000000000002</v>
      </c>
      <c r="P2181">
        <v>111.4333</v>
      </c>
      <c r="Q2181">
        <v>6.5</v>
      </c>
      <c r="R2181">
        <v>5.6</v>
      </c>
      <c r="S2181">
        <v>6.5</v>
      </c>
      <c r="T2181">
        <v>96.906385</v>
      </c>
      <c r="W2181" t="s">
        <v>497</v>
      </c>
    </row>
    <row r="2182" spans="1:23" x14ac:dyDescent="0.25">
      <c r="A2182" t="s">
        <v>2633</v>
      </c>
      <c r="B2182" t="str">
        <f t="shared" si="34"/>
        <v>GA1100001435</v>
      </c>
      <c r="C2182" t="s">
        <v>227</v>
      </c>
      <c r="D2182" t="s">
        <v>77</v>
      </c>
      <c r="E2182" t="s">
        <v>78</v>
      </c>
      <c r="F2182">
        <v>15000</v>
      </c>
      <c r="G2182" s="13">
        <v>44461</v>
      </c>
      <c r="H2182" s="13">
        <v>44554</v>
      </c>
      <c r="I2182">
        <v>8</v>
      </c>
      <c r="J2182">
        <v>10497</v>
      </c>
      <c r="K2182">
        <v>10505</v>
      </c>
      <c r="N2182">
        <v>27.777777777777779</v>
      </c>
      <c r="O2182">
        <v>5.1539000000000001</v>
      </c>
      <c r="P2182">
        <v>70.033299999999997</v>
      </c>
      <c r="Q2182">
        <v>6.5</v>
      </c>
      <c r="R2182">
        <v>4.5</v>
      </c>
      <c r="S2182">
        <v>6.5</v>
      </c>
      <c r="T2182">
        <v>98.697214000000002</v>
      </c>
      <c r="W2182" t="s">
        <v>497</v>
      </c>
    </row>
    <row r="2183" spans="1:23" x14ac:dyDescent="0.25">
      <c r="A2183" t="s">
        <v>2634</v>
      </c>
      <c r="B2183" t="str">
        <f t="shared" si="34"/>
        <v>GQ1300001039</v>
      </c>
      <c r="C2183" t="s">
        <v>528</v>
      </c>
      <c r="D2183" t="s">
        <v>77</v>
      </c>
      <c r="E2183" t="s">
        <v>287</v>
      </c>
      <c r="F2183">
        <v>25000</v>
      </c>
      <c r="G2183" s="13">
        <v>44461</v>
      </c>
      <c r="H2183" s="13">
        <v>44827</v>
      </c>
      <c r="I2183">
        <v>5500</v>
      </c>
      <c r="J2183">
        <v>8489</v>
      </c>
      <c r="K2183">
        <v>13989</v>
      </c>
      <c r="N2183">
        <v>50</v>
      </c>
      <c r="O2183">
        <v>8.0489999999999995</v>
      </c>
      <c r="P2183">
        <v>55.956000000000003</v>
      </c>
      <c r="Q2183">
        <v>8.5</v>
      </c>
      <c r="R2183">
        <v>5.55</v>
      </c>
      <c r="S2183">
        <v>8.5</v>
      </c>
      <c r="T2183">
        <v>91.861519999999999</v>
      </c>
      <c r="W2183" t="s">
        <v>497</v>
      </c>
    </row>
    <row r="2184" spans="1:23" x14ac:dyDescent="0.25">
      <c r="A2184" t="s">
        <v>2635</v>
      </c>
      <c r="B2184" t="str">
        <f t="shared" si="34"/>
        <v>CM1200001095</v>
      </c>
      <c r="C2184" t="s">
        <v>225</v>
      </c>
      <c r="D2184" t="s">
        <v>77</v>
      </c>
      <c r="E2184" t="s">
        <v>82</v>
      </c>
      <c r="F2184">
        <v>20000</v>
      </c>
      <c r="G2184" s="13">
        <v>44468</v>
      </c>
      <c r="H2184" s="13">
        <v>44652</v>
      </c>
      <c r="I2184">
        <v>20000</v>
      </c>
      <c r="J2184">
        <v>0</v>
      </c>
      <c r="K2184">
        <v>20000</v>
      </c>
      <c r="N2184">
        <v>28.571428571428569</v>
      </c>
      <c r="O2184">
        <v>2.3925000000000001</v>
      </c>
      <c r="P2184">
        <v>132</v>
      </c>
      <c r="Q2184">
        <v>2.5</v>
      </c>
      <c r="R2184">
        <v>2.25</v>
      </c>
      <c r="S2184">
        <v>2.5</v>
      </c>
      <c r="T2184">
        <v>98.790458000000001</v>
      </c>
      <c r="W2184" t="s">
        <v>497</v>
      </c>
    </row>
    <row r="2185" spans="1:23" x14ac:dyDescent="0.25">
      <c r="A2185" t="s">
        <v>2636</v>
      </c>
      <c r="B2185" t="str">
        <f t="shared" si="34"/>
        <v>CG1300000144</v>
      </c>
      <c r="C2185" t="s">
        <v>229</v>
      </c>
      <c r="D2185" t="s">
        <v>77</v>
      </c>
      <c r="E2185" t="s">
        <v>287</v>
      </c>
      <c r="F2185">
        <v>10000</v>
      </c>
      <c r="G2185" s="13">
        <v>44468</v>
      </c>
      <c r="H2185" s="13">
        <v>44834</v>
      </c>
      <c r="I2185">
        <v>0</v>
      </c>
      <c r="J2185">
        <v>2818</v>
      </c>
      <c r="K2185">
        <v>2818</v>
      </c>
      <c r="N2185">
        <v>13.043478260869565</v>
      </c>
      <c r="O2185">
        <v>7.0124000000000004</v>
      </c>
      <c r="P2185">
        <v>29.24</v>
      </c>
      <c r="Q2185">
        <v>7.05</v>
      </c>
      <c r="R2185">
        <v>6.75</v>
      </c>
      <c r="S2185">
        <v>7.05</v>
      </c>
      <c r="T2185">
        <v>92.909700000000001</v>
      </c>
      <c r="W2185" t="s">
        <v>497</v>
      </c>
    </row>
    <row r="2186" spans="1:23" x14ac:dyDescent="0.25">
      <c r="A2186" t="s">
        <v>2637</v>
      </c>
      <c r="B2186" t="str">
        <f t="shared" si="34"/>
        <v>GA1100001435</v>
      </c>
      <c r="C2186" t="s">
        <v>227</v>
      </c>
      <c r="D2186" t="s">
        <v>77</v>
      </c>
      <c r="E2186" t="s">
        <v>78</v>
      </c>
      <c r="F2186">
        <v>8000</v>
      </c>
      <c r="G2186" s="13">
        <v>44468</v>
      </c>
      <c r="H2186" s="13">
        <v>44554</v>
      </c>
      <c r="I2186">
        <v>1000</v>
      </c>
      <c r="J2186">
        <v>4380</v>
      </c>
      <c r="K2186">
        <v>5380</v>
      </c>
      <c r="N2186">
        <v>16.666666666666664</v>
      </c>
      <c r="O2186">
        <v>6.1066000000000003</v>
      </c>
      <c r="P2186">
        <v>67.25</v>
      </c>
      <c r="Q2186">
        <v>6.5</v>
      </c>
      <c r="R2186">
        <v>5.5</v>
      </c>
      <c r="S2186">
        <v>6.5</v>
      </c>
      <c r="T2186">
        <v>98.575126999999995</v>
      </c>
      <c r="W2186" t="s">
        <v>497</v>
      </c>
    </row>
    <row r="2187" spans="1:23" x14ac:dyDescent="0.25">
      <c r="A2187" t="s">
        <v>2638</v>
      </c>
      <c r="B2187" t="str">
        <f t="shared" si="34"/>
        <v>TD1200001238</v>
      </c>
      <c r="C2187" t="s">
        <v>237</v>
      </c>
      <c r="D2187" t="s">
        <v>77</v>
      </c>
      <c r="E2187" t="s">
        <v>82</v>
      </c>
      <c r="F2187">
        <v>10000</v>
      </c>
      <c r="G2187" s="13">
        <v>44468</v>
      </c>
      <c r="H2187" s="13">
        <v>44652</v>
      </c>
      <c r="I2187">
        <v>500</v>
      </c>
      <c r="J2187">
        <v>2010</v>
      </c>
      <c r="K2187">
        <v>2510</v>
      </c>
      <c r="N2187">
        <v>0</v>
      </c>
      <c r="O2187">
        <v>7.2988</v>
      </c>
      <c r="P2187">
        <v>25.1</v>
      </c>
      <c r="Q2187">
        <v>7.5</v>
      </c>
      <c r="R2187">
        <v>6.5</v>
      </c>
      <c r="S2187">
        <v>7.5</v>
      </c>
      <c r="T2187">
        <v>96.310049000000006</v>
      </c>
      <c r="W2187" t="s">
        <v>497</v>
      </c>
    </row>
    <row r="2188" spans="1:23" x14ac:dyDescent="0.25">
      <c r="A2188" t="s">
        <v>2639</v>
      </c>
      <c r="B2188" t="str">
        <f t="shared" si="34"/>
        <v>CG1200000533</v>
      </c>
      <c r="C2188" t="s">
        <v>229</v>
      </c>
      <c r="D2188" t="s">
        <v>77</v>
      </c>
      <c r="E2188" t="s">
        <v>82</v>
      </c>
      <c r="F2188">
        <v>11000</v>
      </c>
      <c r="G2188" s="13">
        <v>44475</v>
      </c>
      <c r="H2188" s="13">
        <v>44659</v>
      </c>
      <c r="I2188">
        <v>1000</v>
      </c>
      <c r="J2188">
        <v>10000</v>
      </c>
      <c r="K2188">
        <v>11000</v>
      </c>
      <c r="N2188">
        <v>17.391304347826086</v>
      </c>
      <c r="O2188">
        <v>6.7530999999999999</v>
      </c>
      <c r="P2188">
        <v>100.0545</v>
      </c>
      <c r="Q2188">
        <v>7</v>
      </c>
      <c r="R2188">
        <v>6</v>
      </c>
      <c r="S2188">
        <v>7</v>
      </c>
      <c r="T2188">
        <v>96.585937000000001</v>
      </c>
      <c r="W2188" t="s">
        <v>497</v>
      </c>
    </row>
    <row r="2189" spans="1:23" x14ac:dyDescent="0.25">
      <c r="A2189" t="s">
        <v>2640</v>
      </c>
      <c r="B2189" t="str">
        <f t="shared" si="34"/>
        <v>GA1200001350</v>
      </c>
      <c r="C2189" t="s">
        <v>227</v>
      </c>
      <c r="D2189" t="s">
        <v>77</v>
      </c>
      <c r="E2189" t="s">
        <v>82</v>
      </c>
      <c r="F2189">
        <v>15000</v>
      </c>
      <c r="G2189" s="13">
        <v>44475</v>
      </c>
      <c r="H2189" s="13">
        <v>44659</v>
      </c>
      <c r="I2189">
        <v>0</v>
      </c>
      <c r="J2189">
        <v>13975</v>
      </c>
      <c r="K2189">
        <v>13975</v>
      </c>
      <c r="N2189">
        <v>0</v>
      </c>
      <c r="O2189">
        <v>5.9987000000000004</v>
      </c>
      <c r="P2189">
        <v>93.3</v>
      </c>
      <c r="Q2189">
        <v>6.5</v>
      </c>
      <c r="R2189">
        <v>4.95</v>
      </c>
      <c r="S2189">
        <v>6.5</v>
      </c>
      <c r="T2189">
        <v>96.967344999999995</v>
      </c>
      <c r="W2189" t="s">
        <v>497</v>
      </c>
    </row>
    <row r="2190" spans="1:23" x14ac:dyDescent="0.25">
      <c r="A2190" t="s">
        <v>2641</v>
      </c>
      <c r="B2190" t="str">
        <f t="shared" si="34"/>
        <v>GQ1300001047</v>
      </c>
      <c r="C2190" t="s">
        <v>528</v>
      </c>
      <c r="D2190" t="s">
        <v>77</v>
      </c>
      <c r="E2190" t="s">
        <v>287</v>
      </c>
      <c r="F2190">
        <v>25000</v>
      </c>
      <c r="G2190" s="13">
        <v>44475</v>
      </c>
      <c r="H2190" s="13">
        <v>44841</v>
      </c>
      <c r="I2190">
        <v>0</v>
      </c>
      <c r="J2190">
        <v>7006</v>
      </c>
      <c r="K2190">
        <v>7006</v>
      </c>
      <c r="N2190">
        <v>25</v>
      </c>
      <c r="O2190">
        <v>8.3988999999999994</v>
      </c>
      <c r="P2190">
        <v>28.024000000000001</v>
      </c>
      <c r="Q2190">
        <v>9</v>
      </c>
      <c r="R2190">
        <v>7.5</v>
      </c>
      <c r="S2190">
        <v>9</v>
      </c>
      <c r="T2190">
        <v>91.507734999999997</v>
      </c>
      <c r="W2190" t="s">
        <v>497</v>
      </c>
    </row>
    <row r="2191" spans="1:23" x14ac:dyDescent="0.25">
      <c r="A2191" t="s">
        <v>2642</v>
      </c>
      <c r="B2191" t="str">
        <f t="shared" si="34"/>
        <v>CM1100000890</v>
      </c>
      <c r="C2191" t="s">
        <v>225</v>
      </c>
      <c r="D2191" t="s">
        <v>77</v>
      </c>
      <c r="E2191" t="s">
        <v>78</v>
      </c>
      <c r="F2191">
        <v>25000</v>
      </c>
      <c r="G2191" s="13">
        <v>44482</v>
      </c>
      <c r="H2191" s="13">
        <v>44575</v>
      </c>
      <c r="I2191">
        <v>14620</v>
      </c>
      <c r="J2191">
        <v>0</v>
      </c>
      <c r="K2191">
        <v>14620</v>
      </c>
      <c r="N2191">
        <v>23.809523809523807</v>
      </c>
      <c r="O2191">
        <v>2.3492999999999999</v>
      </c>
      <c r="P2191">
        <v>78.88</v>
      </c>
      <c r="Q2191">
        <v>2.5</v>
      </c>
      <c r="R2191">
        <v>1.8502000000000001</v>
      </c>
      <c r="S2191">
        <v>2.5</v>
      </c>
      <c r="T2191">
        <v>99.406144999999995</v>
      </c>
      <c r="W2191" t="s">
        <v>497</v>
      </c>
    </row>
    <row r="2192" spans="1:23" x14ac:dyDescent="0.25">
      <c r="A2192" t="s">
        <v>2643</v>
      </c>
      <c r="B2192" t="str">
        <f t="shared" si="34"/>
        <v>CG1100000245</v>
      </c>
      <c r="C2192" t="s">
        <v>229</v>
      </c>
      <c r="D2192" t="s">
        <v>77</v>
      </c>
      <c r="E2192" t="s">
        <v>78</v>
      </c>
      <c r="F2192">
        <v>7000</v>
      </c>
      <c r="G2192" s="13">
        <v>44482</v>
      </c>
      <c r="H2192" s="13">
        <v>44575</v>
      </c>
      <c r="I2192">
        <v>5300</v>
      </c>
      <c r="J2192">
        <v>1500</v>
      </c>
      <c r="K2192">
        <v>6800</v>
      </c>
      <c r="N2192">
        <v>13.043478260869565</v>
      </c>
      <c r="O2192">
        <v>5.4816000000000003</v>
      </c>
      <c r="P2192">
        <v>97.142899999999997</v>
      </c>
      <c r="Q2192">
        <v>6</v>
      </c>
      <c r="R2192">
        <v>5.3</v>
      </c>
      <c r="S2192">
        <v>6</v>
      </c>
      <c r="T2192">
        <v>98.614368999999996</v>
      </c>
      <c r="W2192" t="s">
        <v>497</v>
      </c>
    </row>
    <row r="2193" spans="1:23" x14ac:dyDescent="0.25">
      <c r="A2193" t="s">
        <v>2644</v>
      </c>
      <c r="B2193" t="str">
        <f t="shared" si="34"/>
        <v>CG1200000541</v>
      </c>
      <c r="C2193" t="s">
        <v>229</v>
      </c>
      <c r="D2193" t="s">
        <v>77</v>
      </c>
      <c r="E2193" t="s">
        <v>82</v>
      </c>
      <c r="F2193">
        <v>7000</v>
      </c>
      <c r="G2193" s="13">
        <v>44482</v>
      </c>
      <c r="H2193" s="13">
        <v>44666</v>
      </c>
      <c r="I2193">
        <v>768</v>
      </c>
      <c r="J2193">
        <v>6232</v>
      </c>
      <c r="K2193">
        <v>7000</v>
      </c>
      <c r="N2193">
        <v>26.086956521739129</v>
      </c>
      <c r="O2193">
        <v>6.1619999999999999</v>
      </c>
      <c r="P2193">
        <v>194.74289999999999</v>
      </c>
      <c r="Q2193">
        <v>6.5</v>
      </c>
      <c r="R2193">
        <v>5.9</v>
      </c>
      <c r="S2193">
        <v>6.5</v>
      </c>
      <c r="T2193">
        <v>96.884781000000004</v>
      </c>
      <c r="W2193" t="s">
        <v>497</v>
      </c>
    </row>
    <row r="2194" spans="1:23" x14ac:dyDescent="0.25">
      <c r="A2194" t="s">
        <v>2645</v>
      </c>
      <c r="B2194" t="str">
        <f t="shared" si="34"/>
        <v>GA1200001343</v>
      </c>
      <c r="C2194" t="s">
        <v>227</v>
      </c>
      <c r="D2194" t="s">
        <v>77</v>
      </c>
      <c r="E2194" t="s">
        <v>82</v>
      </c>
      <c r="F2194">
        <v>5000</v>
      </c>
      <c r="G2194" s="13">
        <v>44482</v>
      </c>
      <c r="H2194" s="13">
        <v>44638</v>
      </c>
      <c r="I2194">
        <v>2900</v>
      </c>
      <c r="J2194">
        <v>2100</v>
      </c>
      <c r="K2194">
        <v>5000</v>
      </c>
      <c r="N2194">
        <v>0</v>
      </c>
      <c r="O2194">
        <v>5.7030000000000003</v>
      </c>
      <c r="P2194">
        <v>202</v>
      </c>
      <c r="Q2194">
        <v>5.85</v>
      </c>
      <c r="R2194">
        <v>5.5</v>
      </c>
      <c r="S2194">
        <v>5.85</v>
      </c>
      <c r="T2194">
        <v>97.560383000000002</v>
      </c>
      <c r="W2194" t="s">
        <v>497</v>
      </c>
    </row>
    <row r="2195" spans="1:23" x14ac:dyDescent="0.25">
      <c r="A2195" t="s">
        <v>2646</v>
      </c>
      <c r="B2195" t="str">
        <f t="shared" si="34"/>
        <v>GA1100001443</v>
      </c>
      <c r="C2195" t="s">
        <v>227</v>
      </c>
      <c r="D2195" t="s">
        <v>77</v>
      </c>
      <c r="E2195" t="s">
        <v>78</v>
      </c>
      <c r="F2195">
        <v>15000</v>
      </c>
      <c r="G2195" s="13">
        <v>44482</v>
      </c>
      <c r="H2195" s="13">
        <v>44575</v>
      </c>
      <c r="I2195">
        <v>3000</v>
      </c>
      <c r="J2195">
        <v>4510</v>
      </c>
      <c r="K2195">
        <v>7510</v>
      </c>
      <c r="N2195">
        <v>27.777777777777779</v>
      </c>
      <c r="O2195">
        <v>5.7876000000000003</v>
      </c>
      <c r="P2195">
        <v>50.066699999999997</v>
      </c>
      <c r="Q2195">
        <v>6.5</v>
      </c>
      <c r="R2195">
        <v>5</v>
      </c>
      <c r="S2195">
        <v>6.5</v>
      </c>
      <c r="T2195">
        <v>98.537019000000001</v>
      </c>
      <c r="W2195" t="s">
        <v>497</v>
      </c>
    </row>
    <row r="2196" spans="1:23" x14ac:dyDescent="0.25">
      <c r="A2196" t="s">
        <v>2647</v>
      </c>
      <c r="B2196" t="str">
        <f t="shared" si="34"/>
        <v>GQ1300001054</v>
      </c>
      <c r="C2196" t="s">
        <v>528</v>
      </c>
      <c r="D2196" t="s">
        <v>77</v>
      </c>
      <c r="E2196" t="s">
        <v>287</v>
      </c>
      <c r="F2196">
        <v>15000</v>
      </c>
      <c r="G2196" s="13">
        <v>44482</v>
      </c>
      <c r="H2196" s="13"/>
      <c r="J2196">
        <v>0</v>
      </c>
      <c r="N2196">
        <v>50</v>
      </c>
      <c r="T2196" t="s">
        <v>643</v>
      </c>
      <c r="W2196" t="s">
        <v>497</v>
      </c>
    </row>
    <row r="2197" spans="1:23" x14ac:dyDescent="0.25">
      <c r="A2197" t="s">
        <v>2648</v>
      </c>
      <c r="B2197" t="str">
        <f t="shared" si="34"/>
        <v>TD1200001246</v>
      </c>
      <c r="C2197" t="s">
        <v>237</v>
      </c>
      <c r="D2197" t="s">
        <v>77</v>
      </c>
      <c r="E2197" t="s">
        <v>82</v>
      </c>
      <c r="F2197">
        <v>15000</v>
      </c>
      <c r="G2197" s="13">
        <v>44482</v>
      </c>
      <c r="H2197" s="13">
        <v>44666</v>
      </c>
      <c r="I2197">
        <v>12809</v>
      </c>
      <c r="J2197">
        <v>0</v>
      </c>
      <c r="K2197">
        <v>12809</v>
      </c>
      <c r="N2197">
        <v>0</v>
      </c>
      <c r="O2197">
        <v>6.5347</v>
      </c>
      <c r="P2197">
        <v>85.393299999999996</v>
      </c>
      <c r="Q2197">
        <v>6.65</v>
      </c>
      <c r="R2197">
        <v>6.5</v>
      </c>
      <c r="S2197">
        <v>6.65</v>
      </c>
      <c r="T2197">
        <v>96.696359000000001</v>
      </c>
      <c r="W2197" t="s">
        <v>497</v>
      </c>
    </row>
    <row r="2198" spans="1:23" x14ac:dyDescent="0.25">
      <c r="A2198" t="s">
        <v>2649</v>
      </c>
      <c r="B2198" t="str">
        <f t="shared" si="34"/>
        <v>CM1300000567</v>
      </c>
      <c r="C2198" t="s">
        <v>225</v>
      </c>
      <c r="D2198" t="s">
        <v>77</v>
      </c>
      <c r="E2198" t="s">
        <v>287</v>
      </c>
      <c r="F2198">
        <v>20000</v>
      </c>
      <c r="G2198" s="13">
        <v>44489</v>
      </c>
      <c r="H2198" s="13">
        <v>44855</v>
      </c>
      <c r="I2198">
        <v>17900</v>
      </c>
      <c r="J2198">
        <v>2000</v>
      </c>
      <c r="K2198">
        <v>19900</v>
      </c>
      <c r="N2198">
        <v>28.571428571428569</v>
      </c>
      <c r="O2198">
        <v>3.0924999999999998</v>
      </c>
      <c r="P2198">
        <v>139.5</v>
      </c>
      <c r="Q2198">
        <v>3.5</v>
      </c>
      <c r="R2198">
        <v>2.67</v>
      </c>
      <c r="S2198">
        <v>3.5</v>
      </c>
      <c r="T2198">
        <v>96.873176999999998</v>
      </c>
      <c r="W2198" t="s">
        <v>497</v>
      </c>
    </row>
    <row r="2199" spans="1:23" x14ac:dyDescent="0.25">
      <c r="A2199" t="s">
        <v>2650</v>
      </c>
      <c r="B2199" t="str">
        <f t="shared" si="34"/>
        <v>GA1200001368</v>
      </c>
      <c r="C2199" t="s">
        <v>227</v>
      </c>
      <c r="D2199" t="s">
        <v>77</v>
      </c>
      <c r="E2199" t="s">
        <v>82</v>
      </c>
      <c r="F2199">
        <v>12000</v>
      </c>
      <c r="G2199" s="13">
        <v>44489</v>
      </c>
      <c r="H2199" s="13">
        <v>44673</v>
      </c>
      <c r="I2199">
        <v>0</v>
      </c>
      <c r="J2199">
        <v>10078</v>
      </c>
      <c r="K2199">
        <v>10078</v>
      </c>
      <c r="N2199">
        <v>0</v>
      </c>
      <c r="O2199">
        <v>6.1520000000000001</v>
      </c>
      <c r="P2199">
        <v>84.816699999999997</v>
      </c>
      <c r="Q2199">
        <v>6.5</v>
      </c>
      <c r="R2199">
        <v>5.8</v>
      </c>
      <c r="S2199">
        <v>6.5</v>
      </c>
      <c r="T2199">
        <v>96.889814999999999</v>
      </c>
      <c r="W2199" t="s">
        <v>497</v>
      </c>
    </row>
    <row r="2200" spans="1:23" x14ac:dyDescent="0.25">
      <c r="A2200" t="s">
        <v>2651</v>
      </c>
      <c r="B2200" t="str">
        <f t="shared" si="34"/>
        <v>CG1200000558</v>
      </c>
      <c r="C2200" t="s">
        <v>229</v>
      </c>
      <c r="D2200" t="s">
        <v>77</v>
      </c>
      <c r="E2200" t="s">
        <v>82</v>
      </c>
      <c r="F2200">
        <v>12000</v>
      </c>
      <c r="G2200" s="13">
        <v>44496</v>
      </c>
      <c r="H2200" s="13">
        <v>44680</v>
      </c>
      <c r="I2200">
        <v>2100</v>
      </c>
      <c r="J2200">
        <v>5142</v>
      </c>
      <c r="K2200">
        <v>7242</v>
      </c>
      <c r="N2200">
        <v>26.086956521739129</v>
      </c>
      <c r="O2200">
        <v>6.1463999999999999</v>
      </c>
      <c r="P2200">
        <v>60.35</v>
      </c>
      <c r="Q2200">
        <v>7</v>
      </c>
      <c r="R2200">
        <v>6</v>
      </c>
      <c r="S2200">
        <v>7</v>
      </c>
      <c r="T2200">
        <v>96.892668999999998</v>
      </c>
      <c r="W2200" t="s">
        <v>497</v>
      </c>
    </row>
    <row r="2201" spans="1:23" x14ac:dyDescent="0.25">
      <c r="A2201" t="s">
        <v>2652</v>
      </c>
      <c r="B2201" t="str">
        <f t="shared" si="34"/>
        <v>GA1200001376</v>
      </c>
      <c r="C2201" t="s">
        <v>227</v>
      </c>
      <c r="D2201" t="s">
        <v>77</v>
      </c>
      <c r="E2201" t="s">
        <v>82</v>
      </c>
      <c r="F2201">
        <v>14000</v>
      </c>
      <c r="G2201" s="13">
        <v>44496</v>
      </c>
      <c r="H2201" s="13">
        <v>44680</v>
      </c>
      <c r="I2201">
        <v>1015</v>
      </c>
      <c r="J2201">
        <v>5000</v>
      </c>
      <c r="K2201">
        <v>6015</v>
      </c>
      <c r="N2201">
        <v>0</v>
      </c>
      <c r="O2201">
        <v>6.3152999999999997</v>
      </c>
      <c r="P2201">
        <v>42.964300000000001</v>
      </c>
      <c r="Q2201">
        <v>6.5</v>
      </c>
      <c r="R2201">
        <v>5.75</v>
      </c>
      <c r="S2201">
        <v>6.5</v>
      </c>
      <c r="T2201">
        <v>96.807288</v>
      </c>
      <c r="W2201" t="s">
        <v>497</v>
      </c>
    </row>
    <row r="2202" spans="1:23" x14ac:dyDescent="0.25">
      <c r="A2202" t="s">
        <v>2653</v>
      </c>
      <c r="B2202" t="str">
        <f t="shared" si="34"/>
        <v>GQ1300001062</v>
      </c>
      <c r="C2202" t="s">
        <v>528</v>
      </c>
      <c r="D2202" t="s">
        <v>77</v>
      </c>
      <c r="E2202" t="s">
        <v>287</v>
      </c>
      <c r="F2202">
        <v>10000</v>
      </c>
      <c r="G2202" s="13">
        <v>44496</v>
      </c>
      <c r="H2202" s="13">
        <v>44862</v>
      </c>
      <c r="I2202">
        <v>2000</v>
      </c>
      <c r="J2202">
        <v>7236</v>
      </c>
      <c r="K2202">
        <v>9236</v>
      </c>
      <c r="N2202">
        <v>50</v>
      </c>
      <c r="O2202">
        <v>8.42</v>
      </c>
      <c r="P2202">
        <v>94.56</v>
      </c>
      <c r="Q2202">
        <v>8.75</v>
      </c>
      <c r="R2202">
        <v>5.5</v>
      </c>
      <c r="S2202">
        <v>8.75</v>
      </c>
      <c r="T2202">
        <v>91.486418999999998</v>
      </c>
      <c r="W2202" t="s">
        <v>497</v>
      </c>
    </row>
    <row r="2203" spans="1:23" x14ac:dyDescent="0.25">
      <c r="A2203" t="s">
        <v>2654</v>
      </c>
      <c r="B2203" t="str">
        <f t="shared" ref="B2203:B2266" si="35">MID(A2203,1,12)</f>
        <v>TD1200001253</v>
      </c>
      <c r="C2203" t="s">
        <v>237</v>
      </c>
      <c r="D2203" t="s">
        <v>77</v>
      </c>
      <c r="E2203" t="s">
        <v>82</v>
      </c>
      <c r="F2203">
        <v>15000</v>
      </c>
      <c r="G2203" s="13">
        <v>44496</v>
      </c>
      <c r="H2203" s="13">
        <v>44680</v>
      </c>
      <c r="I2203">
        <v>100</v>
      </c>
      <c r="J2203">
        <v>9500</v>
      </c>
      <c r="K2203">
        <v>9600</v>
      </c>
      <c r="N2203">
        <v>0</v>
      </c>
      <c r="O2203">
        <v>6.5</v>
      </c>
      <c r="P2203">
        <v>64</v>
      </c>
      <c r="Q2203">
        <v>6.5</v>
      </c>
      <c r="R2203">
        <v>6.5</v>
      </c>
      <c r="S2203">
        <v>6.5</v>
      </c>
      <c r="T2203">
        <v>96.713888999999995</v>
      </c>
      <c r="W2203" t="s">
        <v>497</v>
      </c>
    </row>
    <row r="2204" spans="1:23" x14ac:dyDescent="0.25">
      <c r="A2204" t="s">
        <v>2655</v>
      </c>
      <c r="B2204" t="str">
        <f t="shared" si="35"/>
        <v>CM1300000575</v>
      </c>
      <c r="C2204" t="s">
        <v>225</v>
      </c>
      <c r="D2204" t="s">
        <v>77</v>
      </c>
      <c r="E2204" t="s">
        <v>287</v>
      </c>
      <c r="F2204">
        <v>10000</v>
      </c>
      <c r="G2204" s="13">
        <v>44503</v>
      </c>
      <c r="H2204" s="13">
        <v>44869</v>
      </c>
      <c r="I2204">
        <v>6920</v>
      </c>
      <c r="J2204">
        <v>3080</v>
      </c>
      <c r="K2204">
        <v>10000</v>
      </c>
      <c r="N2204">
        <v>19.047619047619047</v>
      </c>
      <c r="O2204">
        <v>3.1478000000000002</v>
      </c>
      <c r="P2204">
        <v>101.8</v>
      </c>
      <c r="Q2204">
        <v>3.4</v>
      </c>
      <c r="R2204">
        <v>3</v>
      </c>
      <c r="S2204">
        <v>3.4</v>
      </c>
      <c r="T2204">
        <v>96.817223999999996</v>
      </c>
      <c r="W2204" t="s">
        <v>497</v>
      </c>
    </row>
    <row r="2205" spans="1:23" x14ac:dyDescent="0.25">
      <c r="A2205" t="s">
        <v>2656</v>
      </c>
      <c r="B2205" t="str">
        <f t="shared" si="35"/>
        <v>CF1200000419</v>
      </c>
      <c r="C2205" t="s">
        <v>2406</v>
      </c>
      <c r="D2205" t="s">
        <v>77</v>
      </c>
      <c r="E2205" t="s">
        <v>82</v>
      </c>
      <c r="F2205">
        <v>4000</v>
      </c>
      <c r="G2205" s="13">
        <v>44503</v>
      </c>
      <c r="H2205" s="13">
        <v>44624</v>
      </c>
      <c r="I2205">
        <v>2500</v>
      </c>
      <c r="J2205">
        <v>0</v>
      </c>
      <c r="K2205">
        <v>2500</v>
      </c>
      <c r="N2205">
        <v>33.333333333333329</v>
      </c>
      <c r="O2205">
        <v>1</v>
      </c>
      <c r="P2205">
        <v>62.5</v>
      </c>
      <c r="Q2205">
        <v>1</v>
      </c>
      <c r="R2205">
        <v>1</v>
      </c>
      <c r="S2205">
        <v>1</v>
      </c>
      <c r="T2205">
        <v>99.669443999999999</v>
      </c>
      <c r="W2205" t="s">
        <v>681</v>
      </c>
    </row>
    <row r="2206" spans="1:23" x14ac:dyDescent="0.25">
      <c r="A2206" t="s">
        <v>2657</v>
      </c>
      <c r="B2206" t="str">
        <f t="shared" si="35"/>
        <v>CG1300000151</v>
      </c>
      <c r="C2206" t="s">
        <v>229</v>
      </c>
      <c r="D2206" t="s">
        <v>77</v>
      </c>
      <c r="E2206" t="s">
        <v>287</v>
      </c>
      <c r="F2206">
        <v>12000</v>
      </c>
      <c r="G2206" s="13">
        <v>44503</v>
      </c>
      <c r="H2206" s="13">
        <v>44869</v>
      </c>
      <c r="I2206">
        <v>0</v>
      </c>
      <c r="J2206">
        <v>4584</v>
      </c>
      <c r="K2206">
        <v>4584</v>
      </c>
      <c r="N2206">
        <v>13.043478260869565</v>
      </c>
      <c r="O2206">
        <v>6.8723000000000001</v>
      </c>
      <c r="P2206">
        <v>38.200000000000003</v>
      </c>
      <c r="Q2206">
        <v>7</v>
      </c>
      <c r="R2206">
        <v>5.98</v>
      </c>
      <c r="S2206">
        <v>7</v>
      </c>
      <c r="T2206">
        <v>93.051345999999995</v>
      </c>
      <c r="W2206" t="s">
        <v>497</v>
      </c>
    </row>
    <row r="2207" spans="1:23" x14ac:dyDescent="0.25">
      <c r="A2207" t="s">
        <v>2658</v>
      </c>
      <c r="B2207" t="str">
        <f t="shared" si="35"/>
        <v>GA1300000492</v>
      </c>
      <c r="C2207" t="s">
        <v>227</v>
      </c>
      <c r="D2207" t="s">
        <v>77</v>
      </c>
      <c r="E2207" t="s">
        <v>287</v>
      </c>
      <c r="F2207">
        <v>10000</v>
      </c>
      <c r="G2207" s="13">
        <v>44503</v>
      </c>
      <c r="H2207" s="13">
        <v>44869</v>
      </c>
      <c r="I2207">
        <v>0</v>
      </c>
      <c r="J2207">
        <v>6200</v>
      </c>
      <c r="K2207">
        <v>6200</v>
      </c>
      <c r="N2207">
        <v>0</v>
      </c>
      <c r="O2207">
        <v>6.6315</v>
      </c>
      <c r="P2207">
        <v>63</v>
      </c>
      <c r="Q2207">
        <v>6.75</v>
      </c>
      <c r="R2207">
        <v>6.45</v>
      </c>
      <c r="S2207">
        <v>6.75</v>
      </c>
      <c r="T2207">
        <v>93.294865999999999</v>
      </c>
      <c r="W2207" t="s">
        <v>497</v>
      </c>
    </row>
    <row r="2208" spans="1:23" x14ac:dyDescent="0.25">
      <c r="A2208" t="s">
        <v>2659</v>
      </c>
      <c r="B2208" t="str">
        <f t="shared" si="35"/>
        <v>CM1100000908</v>
      </c>
      <c r="C2208" t="s">
        <v>225</v>
      </c>
      <c r="D2208" t="s">
        <v>77</v>
      </c>
      <c r="E2208" t="s">
        <v>78</v>
      </c>
      <c r="F2208">
        <v>25000</v>
      </c>
      <c r="G2208" s="13">
        <v>44510</v>
      </c>
      <c r="H2208" s="13">
        <v>44603</v>
      </c>
      <c r="I2208">
        <v>17000</v>
      </c>
      <c r="J2208">
        <v>0</v>
      </c>
      <c r="K2208">
        <v>17000</v>
      </c>
      <c r="N2208">
        <v>28.571428571428569</v>
      </c>
      <c r="O2208">
        <v>2.6558999999999999</v>
      </c>
      <c r="P2208">
        <v>68.400000000000006</v>
      </c>
      <c r="Q2208">
        <v>3</v>
      </c>
      <c r="R2208">
        <v>2.4</v>
      </c>
      <c r="S2208">
        <v>3</v>
      </c>
      <c r="T2208">
        <v>99.333112999999997</v>
      </c>
      <c r="W2208" t="s">
        <v>497</v>
      </c>
    </row>
    <row r="2209" spans="1:23" x14ac:dyDescent="0.25">
      <c r="A2209" t="s">
        <v>2660</v>
      </c>
      <c r="B2209" t="str">
        <f t="shared" si="35"/>
        <v>CG1200000566</v>
      </c>
      <c r="C2209" t="s">
        <v>229</v>
      </c>
      <c r="D2209" t="s">
        <v>77</v>
      </c>
      <c r="E2209" t="s">
        <v>82</v>
      </c>
      <c r="F2209">
        <v>15000</v>
      </c>
      <c r="G2209" s="13">
        <v>44510</v>
      </c>
      <c r="H2209" s="13">
        <v>44694</v>
      </c>
      <c r="I2209">
        <v>2030</v>
      </c>
      <c r="J2209">
        <v>8584</v>
      </c>
      <c r="K2209">
        <v>10614</v>
      </c>
      <c r="N2209">
        <v>26.086956521739129</v>
      </c>
      <c r="O2209">
        <v>6.7404999999999999</v>
      </c>
      <c r="P2209">
        <v>70.760000000000005</v>
      </c>
      <c r="Q2209">
        <v>7</v>
      </c>
      <c r="R2209">
        <v>6</v>
      </c>
      <c r="S2209">
        <v>7</v>
      </c>
      <c r="T2209">
        <v>96.704600999999997</v>
      </c>
      <c r="W2209" t="s">
        <v>497</v>
      </c>
    </row>
    <row r="2210" spans="1:23" x14ac:dyDescent="0.25">
      <c r="A2210" t="s">
        <v>2661</v>
      </c>
      <c r="B2210" t="str">
        <f t="shared" si="35"/>
        <v>GA1100001443</v>
      </c>
      <c r="C2210" t="s">
        <v>227</v>
      </c>
      <c r="D2210" t="s">
        <v>77</v>
      </c>
      <c r="E2210" t="s">
        <v>78</v>
      </c>
      <c r="F2210">
        <v>7000</v>
      </c>
      <c r="G2210" s="13">
        <v>44510</v>
      </c>
      <c r="H2210" s="13">
        <v>44603</v>
      </c>
      <c r="J2210">
        <v>0</v>
      </c>
      <c r="N2210">
        <v>11.111111111111111</v>
      </c>
      <c r="P2210">
        <v>0</v>
      </c>
      <c r="T2210" t="s">
        <v>643</v>
      </c>
      <c r="W2210" t="s">
        <v>497</v>
      </c>
    </row>
    <row r="2211" spans="1:23" x14ac:dyDescent="0.25">
      <c r="A2211" t="s">
        <v>2662</v>
      </c>
      <c r="B2211" t="str">
        <f t="shared" si="35"/>
        <v>GA1200001384</v>
      </c>
      <c r="C2211" t="s">
        <v>227</v>
      </c>
      <c r="D2211" t="s">
        <v>77</v>
      </c>
      <c r="E2211" t="s">
        <v>82</v>
      </c>
      <c r="F2211">
        <v>12000</v>
      </c>
      <c r="G2211" s="13">
        <v>44510</v>
      </c>
      <c r="H2211" s="13">
        <v>44694</v>
      </c>
      <c r="I2211">
        <v>3963</v>
      </c>
      <c r="J2211">
        <v>8037</v>
      </c>
      <c r="K2211">
        <v>12000</v>
      </c>
      <c r="N2211">
        <v>0</v>
      </c>
      <c r="O2211">
        <v>6.4513999999999996</v>
      </c>
      <c r="P2211">
        <v>178.10830000000001</v>
      </c>
      <c r="Q2211">
        <v>6.45</v>
      </c>
      <c r="R2211">
        <v>5.9</v>
      </c>
      <c r="S2211">
        <v>6.45</v>
      </c>
      <c r="T2211">
        <v>96.841477999999995</v>
      </c>
      <c r="W2211" t="s">
        <v>497</v>
      </c>
    </row>
    <row r="2212" spans="1:23" x14ac:dyDescent="0.25">
      <c r="A2212" t="s">
        <v>2663</v>
      </c>
      <c r="B2212" t="str">
        <f t="shared" si="35"/>
        <v>GQ1300001070</v>
      </c>
      <c r="C2212" t="s">
        <v>528</v>
      </c>
      <c r="D2212" t="s">
        <v>77</v>
      </c>
      <c r="E2212" t="s">
        <v>287</v>
      </c>
      <c r="F2212">
        <v>15000</v>
      </c>
      <c r="G2212" s="13">
        <v>44510</v>
      </c>
      <c r="H2212" s="13">
        <v>44876</v>
      </c>
      <c r="I2212">
        <v>5000</v>
      </c>
      <c r="J2212">
        <v>7878</v>
      </c>
      <c r="K2212">
        <v>12878</v>
      </c>
      <c r="N2212">
        <v>50</v>
      </c>
      <c r="O2212">
        <v>9.0648999999999997</v>
      </c>
      <c r="P2212">
        <v>86.52</v>
      </c>
      <c r="Q2212">
        <v>8.5</v>
      </c>
      <c r="R2212">
        <v>7</v>
      </c>
      <c r="S2212">
        <v>8.5</v>
      </c>
      <c r="T2212">
        <v>91.603961999999996</v>
      </c>
      <c r="W2212" t="s">
        <v>497</v>
      </c>
    </row>
    <row r="2213" spans="1:23" x14ac:dyDescent="0.25">
      <c r="A2213" t="s">
        <v>2664</v>
      </c>
      <c r="B2213" t="str">
        <f t="shared" si="35"/>
        <v>CG1100000252</v>
      </c>
      <c r="C2213" t="s">
        <v>229</v>
      </c>
      <c r="D2213" t="s">
        <v>77</v>
      </c>
      <c r="E2213" t="s">
        <v>78</v>
      </c>
      <c r="F2213">
        <v>10000</v>
      </c>
      <c r="G2213" s="13">
        <v>44517</v>
      </c>
      <c r="H2213" s="13">
        <v>44610</v>
      </c>
      <c r="I2213">
        <v>5650</v>
      </c>
      <c r="J2213">
        <v>201</v>
      </c>
      <c r="K2213">
        <v>5851</v>
      </c>
      <c r="N2213">
        <v>26.086956521739129</v>
      </c>
      <c r="O2213">
        <v>5.8723999999999998</v>
      </c>
      <c r="P2213">
        <v>58.51</v>
      </c>
      <c r="Q2213">
        <v>6.5</v>
      </c>
      <c r="R2213">
        <v>5</v>
      </c>
      <c r="S2213">
        <v>6.5</v>
      </c>
      <c r="T2213">
        <v>98.51558</v>
      </c>
      <c r="W2213" t="s">
        <v>497</v>
      </c>
    </row>
    <row r="2214" spans="1:23" x14ac:dyDescent="0.25">
      <c r="A2214" t="s">
        <v>2665</v>
      </c>
      <c r="B2214" t="str">
        <f t="shared" si="35"/>
        <v>CG1200000566</v>
      </c>
      <c r="C2214" t="s">
        <v>229</v>
      </c>
      <c r="D2214" t="s">
        <v>77</v>
      </c>
      <c r="E2214" t="s">
        <v>82</v>
      </c>
      <c r="F2214">
        <v>5000</v>
      </c>
      <c r="G2214" s="13">
        <v>44517</v>
      </c>
      <c r="H2214" s="13">
        <v>44694</v>
      </c>
      <c r="I2214">
        <v>0</v>
      </c>
      <c r="J2214">
        <v>5000</v>
      </c>
      <c r="K2214">
        <v>5000</v>
      </c>
      <c r="N2214">
        <v>21.739130434782609</v>
      </c>
      <c r="O2214">
        <v>6.5887000000000002</v>
      </c>
      <c r="P2214">
        <v>112.08</v>
      </c>
      <c r="Q2214">
        <v>6.75</v>
      </c>
      <c r="R2214">
        <v>5.8</v>
      </c>
      <c r="S2214">
        <v>6.75</v>
      </c>
      <c r="T2214">
        <v>96.797160000000005</v>
      </c>
      <c r="W2214" t="s">
        <v>497</v>
      </c>
    </row>
    <row r="2215" spans="1:23" x14ac:dyDescent="0.25">
      <c r="A2215" t="s">
        <v>2666</v>
      </c>
      <c r="B2215" t="str">
        <f t="shared" si="35"/>
        <v>GA1200001392</v>
      </c>
      <c r="C2215" t="s">
        <v>227</v>
      </c>
      <c r="D2215" t="s">
        <v>77</v>
      </c>
      <c r="E2215" t="s">
        <v>82</v>
      </c>
      <c r="F2215">
        <v>15000</v>
      </c>
      <c r="G2215" s="13">
        <v>44524</v>
      </c>
      <c r="H2215" s="13">
        <v>44708</v>
      </c>
      <c r="I2215">
        <v>2500</v>
      </c>
      <c r="J2215">
        <v>6072</v>
      </c>
      <c r="K2215">
        <v>8572</v>
      </c>
      <c r="N2215">
        <v>0</v>
      </c>
      <c r="O2215">
        <v>6.0087000000000002</v>
      </c>
      <c r="P2215">
        <v>57.213299999999997</v>
      </c>
      <c r="Q2215">
        <v>6.25</v>
      </c>
      <c r="R2215">
        <v>5.5</v>
      </c>
      <c r="S2215">
        <v>6.25</v>
      </c>
      <c r="T2215">
        <v>96.962243000000001</v>
      </c>
      <c r="W2215" t="s">
        <v>497</v>
      </c>
    </row>
    <row r="2216" spans="1:23" x14ac:dyDescent="0.25">
      <c r="A2216" t="s">
        <v>2667</v>
      </c>
      <c r="B2216" t="str">
        <f t="shared" si="35"/>
        <v>GQ1300001088</v>
      </c>
      <c r="C2216" t="s">
        <v>528</v>
      </c>
      <c r="D2216" t="s">
        <v>77</v>
      </c>
      <c r="E2216" t="s">
        <v>287</v>
      </c>
      <c r="F2216">
        <v>15000</v>
      </c>
      <c r="G2216" s="13">
        <v>44524</v>
      </c>
      <c r="H2216" s="13">
        <v>44890</v>
      </c>
      <c r="I2216">
        <v>500</v>
      </c>
      <c r="J2216">
        <v>3377</v>
      </c>
      <c r="K2216">
        <v>3877</v>
      </c>
      <c r="N2216">
        <v>33.333333333333329</v>
      </c>
      <c r="O2216">
        <v>8.1037999999999997</v>
      </c>
      <c r="P2216">
        <v>25.846699999999998</v>
      </c>
      <c r="Q2216">
        <v>8.5</v>
      </c>
      <c r="R2216">
        <v>7.5</v>
      </c>
      <c r="S2216">
        <v>8.5</v>
      </c>
      <c r="T2216">
        <v>91.806205000000006</v>
      </c>
      <c r="W2216" t="s">
        <v>497</v>
      </c>
    </row>
    <row r="2217" spans="1:23" x14ac:dyDescent="0.25">
      <c r="A2217" t="s">
        <v>2668</v>
      </c>
      <c r="B2217" t="str">
        <f t="shared" si="35"/>
        <v>CM1100000916</v>
      </c>
      <c r="C2217" t="s">
        <v>225</v>
      </c>
      <c r="D2217" t="s">
        <v>77</v>
      </c>
      <c r="E2217" t="s">
        <v>78</v>
      </c>
      <c r="F2217">
        <v>20000</v>
      </c>
      <c r="G2217" s="13">
        <v>44531</v>
      </c>
      <c r="H2217" s="13">
        <v>44624</v>
      </c>
      <c r="I2217">
        <v>16000</v>
      </c>
      <c r="J2217">
        <v>0</v>
      </c>
      <c r="K2217">
        <v>16000</v>
      </c>
      <c r="N2217">
        <v>19.047619047619047</v>
      </c>
      <c r="O2217">
        <v>2.6812999999999998</v>
      </c>
      <c r="P2217">
        <v>80.05</v>
      </c>
      <c r="Q2217">
        <v>3</v>
      </c>
      <c r="R2217">
        <v>2.4500000000000002</v>
      </c>
      <c r="S2217">
        <v>3</v>
      </c>
      <c r="T2217">
        <v>99.322239999999994</v>
      </c>
      <c r="W2217" t="s">
        <v>497</v>
      </c>
    </row>
    <row r="2218" spans="1:23" x14ac:dyDescent="0.25">
      <c r="A2218" t="s">
        <v>2669</v>
      </c>
      <c r="B2218" t="str">
        <f t="shared" si="35"/>
        <v>CG1300000144</v>
      </c>
      <c r="C2218" t="s">
        <v>229</v>
      </c>
      <c r="D2218" t="s">
        <v>77</v>
      </c>
      <c r="E2218" t="s">
        <v>287</v>
      </c>
      <c r="F2218">
        <v>8000</v>
      </c>
      <c r="G2218" s="13">
        <v>44531</v>
      </c>
      <c r="H2218" s="13">
        <v>44834</v>
      </c>
      <c r="I2218">
        <v>0</v>
      </c>
      <c r="J2218">
        <v>5110</v>
      </c>
      <c r="K2218">
        <v>5110</v>
      </c>
      <c r="N2218">
        <v>21.739130434782609</v>
      </c>
      <c r="O2218">
        <v>6.6848999999999998</v>
      </c>
      <c r="P2218">
        <v>64</v>
      </c>
      <c r="Q2218">
        <v>7</v>
      </c>
      <c r="R2218">
        <v>6</v>
      </c>
      <c r="S2218">
        <v>7</v>
      </c>
      <c r="T2218">
        <v>94.410653999999994</v>
      </c>
      <c r="W2218" t="s">
        <v>497</v>
      </c>
    </row>
    <row r="2219" spans="1:23" x14ac:dyDescent="0.25">
      <c r="A2219" t="s">
        <v>2670</v>
      </c>
      <c r="B2219" t="str">
        <f t="shared" si="35"/>
        <v>GA1200001400</v>
      </c>
      <c r="C2219" t="s">
        <v>227</v>
      </c>
      <c r="D2219" t="s">
        <v>77</v>
      </c>
      <c r="E2219" t="s">
        <v>82</v>
      </c>
      <c r="F2219">
        <v>11000</v>
      </c>
      <c r="G2219" s="13">
        <v>44531</v>
      </c>
      <c r="H2219" s="13">
        <v>44715</v>
      </c>
      <c r="I2219">
        <v>2050</v>
      </c>
      <c r="J2219">
        <v>5699</v>
      </c>
      <c r="K2219">
        <v>7749</v>
      </c>
      <c r="O2219">
        <v>6.3571999999999997</v>
      </c>
      <c r="P2219">
        <v>70.445499999999996</v>
      </c>
      <c r="Q2219">
        <v>6.5</v>
      </c>
      <c r="R2219">
        <v>5.4</v>
      </c>
      <c r="S2219">
        <v>6.5</v>
      </c>
      <c r="T2219">
        <v>96.786088000000007</v>
      </c>
      <c r="W2219" t="s">
        <v>497</v>
      </c>
    </row>
    <row r="2220" spans="1:23" x14ac:dyDescent="0.25">
      <c r="A2220" t="s">
        <v>2671</v>
      </c>
      <c r="B2220" t="str">
        <f t="shared" si="35"/>
        <v>GA1100001443</v>
      </c>
      <c r="C2220" t="s">
        <v>227</v>
      </c>
      <c r="D2220" t="s">
        <v>77</v>
      </c>
      <c r="E2220" t="s">
        <v>78</v>
      </c>
      <c r="F2220">
        <v>8000</v>
      </c>
      <c r="G2220" s="13">
        <v>44531</v>
      </c>
      <c r="H2220" s="13">
        <v>44603</v>
      </c>
      <c r="J2220">
        <v>0</v>
      </c>
      <c r="T2220" t="s">
        <v>2672</v>
      </c>
      <c r="W2220" t="s">
        <v>497</v>
      </c>
    </row>
    <row r="2221" spans="1:23" x14ac:dyDescent="0.25">
      <c r="A2221" t="s">
        <v>2673</v>
      </c>
      <c r="B2221" t="str">
        <f t="shared" si="35"/>
        <v>CG1200000574</v>
      </c>
      <c r="C2221" t="s">
        <v>229</v>
      </c>
      <c r="D2221" t="s">
        <v>77</v>
      </c>
      <c r="E2221" t="s">
        <v>82</v>
      </c>
      <c r="F2221">
        <v>10000</v>
      </c>
      <c r="G2221" s="13">
        <v>44538</v>
      </c>
      <c r="H2221" s="13">
        <v>44722</v>
      </c>
      <c r="I2221">
        <v>800</v>
      </c>
      <c r="J2221">
        <v>5115</v>
      </c>
      <c r="K2221">
        <v>5915</v>
      </c>
      <c r="N2221">
        <v>21.739130434782609</v>
      </c>
      <c r="O2221">
        <v>6.9442000000000004</v>
      </c>
      <c r="P2221">
        <v>59.15</v>
      </c>
      <c r="Q2221">
        <v>7</v>
      </c>
      <c r="R2221">
        <v>5.5</v>
      </c>
      <c r="S2221">
        <v>7</v>
      </c>
      <c r="T2221">
        <v>96.489316000000002</v>
      </c>
      <c r="W2221" t="s">
        <v>497</v>
      </c>
    </row>
    <row r="2222" spans="1:23" x14ac:dyDescent="0.25">
      <c r="A2222" t="s">
        <v>2674</v>
      </c>
      <c r="B2222" t="str">
        <f t="shared" si="35"/>
        <v>GA1300000500</v>
      </c>
      <c r="C2222" t="s">
        <v>227</v>
      </c>
      <c r="D2222" t="s">
        <v>77</v>
      </c>
      <c r="E2222" t="s">
        <v>287</v>
      </c>
      <c r="F2222">
        <v>10000</v>
      </c>
      <c r="G2222" s="13">
        <v>44538</v>
      </c>
      <c r="H2222" s="13">
        <v>44904</v>
      </c>
      <c r="I2222">
        <v>1000</v>
      </c>
      <c r="J2222">
        <v>2000</v>
      </c>
      <c r="K2222">
        <v>3000</v>
      </c>
      <c r="N2222">
        <v>16.666666666666664</v>
      </c>
      <c r="O2222">
        <v>6.5</v>
      </c>
      <c r="P2222">
        <v>31</v>
      </c>
      <c r="Q2222">
        <v>6.75</v>
      </c>
      <c r="R2222">
        <v>6</v>
      </c>
      <c r="S2222">
        <v>6.75</v>
      </c>
      <c r="T2222">
        <v>93.427778000000004</v>
      </c>
      <c r="W2222" t="s">
        <v>497</v>
      </c>
    </row>
    <row r="2223" spans="1:23" x14ac:dyDescent="0.25">
      <c r="A2223" t="s">
        <v>2675</v>
      </c>
      <c r="B2223" t="str">
        <f t="shared" si="35"/>
        <v>GQ1300001096</v>
      </c>
      <c r="C2223" t="s">
        <v>528</v>
      </c>
      <c r="D2223" t="s">
        <v>77</v>
      </c>
      <c r="E2223" t="s">
        <v>287</v>
      </c>
      <c r="F2223">
        <v>15000</v>
      </c>
      <c r="G2223" s="13">
        <v>44538</v>
      </c>
      <c r="H2223" s="13">
        <v>44904</v>
      </c>
      <c r="I2223">
        <v>0</v>
      </c>
      <c r="J2223">
        <v>6006</v>
      </c>
      <c r="K2223">
        <v>6006</v>
      </c>
      <c r="N2223">
        <v>33.333333333333329</v>
      </c>
      <c r="O2223">
        <v>8.4786999999999999</v>
      </c>
      <c r="P2223">
        <v>40.04</v>
      </c>
      <c r="Q2223">
        <v>8.5</v>
      </c>
      <c r="R2223">
        <v>8</v>
      </c>
      <c r="S2223">
        <v>8.5</v>
      </c>
      <c r="T2223">
        <v>91.427062000000006</v>
      </c>
      <c r="W2223" t="s">
        <v>497</v>
      </c>
    </row>
    <row r="2224" spans="1:23" x14ac:dyDescent="0.25">
      <c r="A2224" t="s">
        <v>2676</v>
      </c>
      <c r="B2224" t="str">
        <f t="shared" si="35"/>
        <v>CM1100000924</v>
      </c>
      <c r="C2224" t="s">
        <v>225</v>
      </c>
      <c r="D2224" t="s">
        <v>77</v>
      </c>
      <c r="E2224" t="s">
        <v>78</v>
      </c>
      <c r="F2224">
        <v>10000</v>
      </c>
      <c r="G2224" s="13">
        <v>44545</v>
      </c>
      <c r="H2224" s="13">
        <v>44638</v>
      </c>
      <c r="I2224">
        <v>10000</v>
      </c>
      <c r="J2224">
        <v>0</v>
      </c>
      <c r="K2224">
        <v>10000</v>
      </c>
      <c r="T2224" t="s">
        <v>542</v>
      </c>
      <c r="W2224" t="s">
        <v>542</v>
      </c>
    </row>
    <row r="2225" spans="1:23" x14ac:dyDescent="0.25">
      <c r="A2225" t="s">
        <v>2677</v>
      </c>
      <c r="B2225" t="str">
        <f t="shared" si="35"/>
        <v>CM1200001103</v>
      </c>
      <c r="C2225" t="s">
        <v>225</v>
      </c>
      <c r="D2225" t="s">
        <v>77</v>
      </c>
      <c r="E2225" t="s">
        <v>82</v>
      </c>
      <c r="F2225">
        <v>40000</v>
      </c>
      <c r="G2225" s="13">
        <v>44545</v>
      </c>
      <c r="H2225" s="13">
        <v>44729</v>
      </c>
      <c r="I2225">
        <v>40000</v>
      </c>
      <c r="J2225">
        <v>0</v>
      </c>
      <c r="K2225">
        <v>40000</v>
      </c>
      <c r="T2225" t="s">
        <v>542</v>
      </c>
      <c r="W2225" t="s">
        <v>542</v>
      </c>
    </row>
    <row r="2226" spans="1:23" x14ac:dyDescent="0.25">
      <c r="A2226" t="s">
        <v>2678</v>
      </c>
      <c r="B2226" t="str">
        <f t="shared" si="35"/>
        <v>CG1200000582</v>
      </c>
      <c r="C2226" t="s">
        <v>229</v>
      </c>
      <c r="D2226" t="s">
        <v>77</v>
      </c>
      <c r="E2226" t="s">
        <v>82</v>
      </c>
      <c r="F2226">
        <v>15000</v>
      </c>
      <c r="G2226" s="13">
        <v>44545</v>
      </c>
      <c r="H2226" s="13">
        <v>44729</v>
      </c>
      <c r="I2226">
        <v>3290</v>
      </c>
      <c r="J2226">
        <v>7560</v>
      </c>
      <c r="K2226">
        <v>10850</v>
      </c>
      <c r="N2226">
        <v>30.434782608695656</v>
      </c>
      <c r="O2226">
        <v>6.3715000000000002</v>
      </c>
      <c r="P2226">
        <v>72.400000000000006</v>
      </c>
      <c r="Q2226">
        <v>7</v>
      </c>
      <c r="R2226">
        <v>5</v>
      </c>
      <c r="S2226">
        <v>7</v>
      </c>
      <c r="T2226">
        <v>96.778865999999994</v>
      </c>
      <c r="W2226" t="s">
        <v>497</v>
      </c>
    </row>
    <row r="2227" spans="1:23" x14ac:dyDescent="0.25">
      <c r="A2227" t="s">
        <v>2679</v>
      </c>
      <c r="B2227" t="str">
        <f t="shared" si="35"/>
        <v>GA1200001418</v>
      </c>
      <c r="C2227" t="s">
        <v>227</v>
      </c>
      <c r="D2227" t="s">
        <v>77</v>
      </c>
      <c r="E2227" t="s">
        <v>82</v>
      </c>
      <c r="F2227">
        <v>15000</v>
      </c>
      <c r="G2227" s="13">
        <v>44545</v>
      </c>
      <c r="H2227" s="13">
        <v>44729</v>
      </c>
      <c r="I2227">
        <v>1000</v>
      </c>
      <c r="J2227">
        <v>7247</v>
      </c>
      <c r="K2227">
        <v>8247</v>
      </c>
      <c r="N2227">
        <v>22.222222222222221</v>
      </c>
      <c r="O2227">
        <v>6.4878999999999998</v>
      </c>
      <c r="P2227">
        <v>54.98</v>
      </c>
      <c r="Q2227">
        <v>6.75</v>
      </c>
      <c r="R2227">
        <v>5.9</v>
      </c>
      <c r="S2227">
        <v>6.75</v>
      </c>
      <c r="T2227">
        <v>96.720018999999994</v>
      </c>
      <c r="W2227" t="s">
        <v>497</v>
      </c>
    </row>
    <row r="2228" spans="1:23" x14ac:dyDescent="0.25">
      <c r="A2228" t="s">
        <v>2680</v>
      </c>
      <c r="B2228" t="str">
        <f t="shared" si="35"/>
        <v>CG1300000169</v>
      </c>
      <c r="C2228" t="s">
        <v>229</v>
      </c>
      <c r="D2228" t="s">
        <v>77</v>
      </c>
      <c r="E2228" t="s">
        <v>287</v>
      </c>
      <c r="F2228">
        <v>12000</v>
      </c>
      <c r="G2228" s="13">
        <v>44552</v>
      </c>
      <c r="H2228" s="13"/>
      <c r="J2228">
        <v>0</v>
      </c>
      <c r="N2228">
        <v>0</v>
      </c>
      <c r="T2228" t="s">
        <v>2672</v>
      </c>
      <c r="W2228" t="s">
        <v>497</v>
      </c>
    </row>
    <row r="2229" spans="1:23" x14ac:dyDescent="0.25">
      <c r="A2229" t="s">
        <v>2681</v>
      </c>
      <c r="B2229" t="str">
        <f t="shared" si="35"/>
        <v>GA1200001426</v>
      </c>
      <c r="C2229" t="s">
        <v>227</v>
      </c>
      <c r="D2229" t="s">
        <v>77</v>
      </c>
      <c r="E2229" t="s">
        <v>82</v>
      </c>
      <c r="F2229">
        <v>15000</v>
      </c>
      <c r="G2229" s="13">
        <v>44552</v>
      </c>
      <c r="H2229" s="13">
        <v>44736</v>
      </c>
      <c r="I2229">
        <v>0</v>
      </c>
      <c r="J2229">
        <v>10960</v>
      </c>
      <c r="K2229">
        <v>10960</v>
      </c>
      <c r="N2229">
        <v>27.777777777777779</v>
      </c>
      <c r="O2229">
        <v>6.6401000000000003</v>
      </c>
      <c r="P2229">
        <v>73.2</v>
      </c>
      <c r="Q2229">
        <v>6.75</v>
      </c>
      <c r="R2229">
        <v>6.25</v>
      </c>
      <c r="S2229">
        <v>6.75</v>
      </c>
      <c r="T2229">
        <v>96.643083000000004</v>
      </c>
      <c r="W2229" t="s">
        <v>497</v>
      </c>
    </row>
    <row r="2230" spans="1:23" x14ac:dyDescent="0.25">
      <c r="A2230" t="s">
        <v>2682</v>
      </c>
      <c r="B2230" t="str">
        <f t="shared" si="35"/>
        <v>CG1300000177</v>
      </c>
      <c r="C2230" t="s">
        <v>229</v>
      </c>
      <c r="D2230" t="s">
        <v>77</v>
      </c>
      <c r="E2230" t="s">
        <v>287</v>
      </c>
      <c r="F2230">
        <v>11000</v>
      </c>
      <c r="G2230" s="13">
        <v>44559</v>
      </c>
      <c r="H2230" s="13">
        <v>44925</v>
      </c>
      <c r="I2230">
        <v>500</v>
      </c>
      <c r="J2230">
        <v>2020</v>
      </c>
      <c r="K2230">
        <v>2520</v>
      </c>
      <c r="N2230">
        <v>13.043478260869565</v>
      </c>
      <c r="O2230">
        <v>7.4101999999999997</v>
      </c>
      <c r="P2230">
        <v>22.909099999999999</v>
      </c>
      <c r="Q2230">
        <v>7</v>
      </c>
      <c r="R2230">
        <v>6.1</v>
      </c>
      <c r="S2230">
        <v>7</v>
      </c>
      <c r="T2230">
        <v>93.029752999999999</v>
      </c>
      <c r="W2230" t="s">
        <v>497</v>
      </c>
    </row>
    <row r="2231" spans="1:23" x14ac:dyDescent="0.25">
      <c r="A2231" t="s">
        <v>2683</v>
      </c>
      <c r="B2231" t="str">
        <f t="shared" si="35"/>
        <v>GA1300000518</v>
      </c>
      <c r="C2231" t="s">
        <v>227</v>
      </c>
      <c r="D2231" t="s">
        <v>77</v>
      </c>
      <c r="E2231" t="s">
        <v>287</v>
      </c>
      <c r="F2231">
        <v>10000</v>
      </c>
      <c r="G2231" s="13">
        <v>44559</v>
      </c>
      <c r="H2231" s="13">
        <v>44925</v>
      </c>
      <c r="I2231">
        <v>1000</v>
      </c>
      <c r="J2231">
        <v>9000</v>
      </c>
      <c r="K2231">
        <v>10000</v>
      </c>
      <c r="N2231">
        <v>27.777777777777779</v>
      </c>
      <c r="O2231">
        <v>6.9512</v>
      </c>
      <c r="P2231">
        <v>101.1</v>
      </c>
      <c r="Q2231">
        <v>6.75</v>
      </c>
      <c r="R2231">
        <v>6</v>
      </c>
      <c r="S2231">
        <v>6.75</v>
      </c>
      <c r="T2231">
        <v>93.433086000000003</v>
      </c>
      <c r="W2231" t="s">
        <v>497</v>
      </c>
    </row>
    <row r="2232" spans="1:23" x14ac:dyDescent="0.25">
      <c r="A2232" t="s">
        <v>2684</v>
      </c>
      <c r="B2232" t="str">
        <f t="shared" si="35"/>
        <v>CG1200000590</v>
      </c>
      <c r="C2232" t="s">
        <v>229</v>
      </c>
      <c r="D2232" t="s">
        <v>77</v>
      </c>
      <c r="E2232" t="s">
        <v>82</v>
      </c>
      <c r="F2232">
        <v>15000</v>
      </c>
      <c r="G2232" s="13">
        <v>44566</v>
      </c>
      <c r="H2232" s="13">
        <v>44750</v>
      </c>
      <c r="I2232">
        <v>13</v>
      </c>
      <c r="J2232">
        <v>10857</v>
      </c>
      <c r="K2232">
        <v>10870</v>
      </c>
      <c r="N2232">
        <v>26.086956521739129</v>
      </c>
      <c r="O2232">
        <v>6.4851000000000001</v>
      </c>
      <c r="P2232">
        <v>72.466700000000003</v>
      </c>
      <c r="Q2232">
        <v>7</v>
      </c>
      <c r="R2232">
        <v>5</v>
      </c>
      <c r="S2232">
        <v>7</v>
      </c>
      <c r="T2232">
        <v>96.825498999999994</v>
      </c>
      <c r="W2232" t="s">
        <v>497</v>
      </c>
    </row>
    <row r="2233" spans="1:23" x14ac:dyDescent="0.25">
      <c r="A2233" t="s">
        <v>2685</v>
      </c>
      <c r="B2233" t="str">
        <f t="shared" si="35"/>
        <v>GA1200001434</v>
      </c>
      <c r="C2233" t="s">
        <v>227</v>
      </c>
      <c r="D2233" t="s">
        <v>77</v>
      </c>
      <c r="E2233" t="s">
        <v>82</v>
      </c>
      <c r="F2233">
        <v>12000</v>
      </c>
      <c r="G2233" s="13">
        <v>44566</v>
      </c>
      <c r="H2233" s="13">
        <v>44750</v>
      </c>
      <c r="I2233">
        <v>1000</v>
      </c>
      <c r="J2233">
        <v>3230</v>
      </c>
      <c r="K2233">
        <v>4230</v>
      </c>
      <c r="N2233">
        <v>27.777777777777779</v>
      </c>
      <c r="O2233">
        <v>6.7081999999999997</v>
      </c>
      <c r="P2233">
        <v>36.083300000000001</v>
      </c>
      <c r="Q2233">
        <v>6.75</v>
      </c>
      <c r="R2233">
        <v>6</v>
      </c>
      <c r="S2233">
        <v>6.75</v>
      </c>
      <c r="T2233">
        <v>96.719864999999999</v>
      </c>
      <c r="W2233" t="s">
        <v>497</v>
      </c>
    </row>
    <row r="2234" spans="1:23" x14ac:dyDescent="0.25">
      <c r="A2234" t="s">
        <v>2686</v>
      </c>
      <c r="B2234" t="str">
        <f t="shared" si="35"/>
        <v>TD1200001261</v>
      </c>
      <c r="C2234" t="s">
        <v>237</v>
      </c>
      <c r="D2234" t="s">
        <v>77</v>
      </c>
      <c r="E2234" t="s">
        <v>82</v>
      </c>
      <c r="F2234">
        <v>10000</v>
      </c>
      <c r="G2234" s="13">
        <v>44566</v>
      </c>
      <c r="H2234" s="13">
        <v>44750</v>
      </c>
      <c r="I2234">
        <v>3000</v>
      </c>
      <c r="J2234">
        <v>1030</v>
      </c>
      <c r="K2234">
        <v>4030</v>
      </c>
      <c r="N2234">
        <v>25</v>
      </c>
      <c r="O2234">
        <v>6.8555999999999999</v>
      </c>
      <c r="P2234">
        <v>40.299999999999997</v>
      </c>
      <c r="Q2234">
        <v>7</v>
      </c>
      <c r="R2234">
        <v>6.5</v>
      </c>
      <c r="S2234">
        <v>7</v>
      </c>
      <c r="T2234">
        <v>96.650223999999994</v>
      </c>
      <c r="W2234" t="s">
        <v>497</v>
      </c>
    </row>
    <row r="2235" spans="1:23" x14ac:dyDescent="0.25">
      <c r="A2235" t="s">
        <v>2687</v>
      </c>
      <c r="B2235" t="str">
        <f t="shared" si="35"/>
        <v>CM1200001111</v>
      </c>
      <c r="C2235" t="s">
        <v>225</v>
      </c>
      <c r="D2235" t="s">
        <v>77</v>
      </c>
      <c r="E2235" t="s">
        <v>82</v>
      </c>
      <c r="F2235">
        <v>100000</v>
      </c>
      <c r="G2235" s="13">
        <v>44571</v>
      </c>
      <c r="H2235" s="13">
        <v>44755</v>
      </c>
      <c r="I2235">
        <v>68000</v>
      </c>
      <c r="J2235">
        <v>0</v>
      </c>
      <c r="K2235">
        <v>68000</v>
      </c>
      <c r="N2235">
        <v>66.666666666666657</v>
      </c>
      <c r="O2235">
        <v>2.9430999999999998</v>
      </c>
      <c r="P2235">
        <v>68</v>
      </c>
      <c r="Q2235">
        <v>2.9</v>
      </c>
      <c r="R2235">
        <v>2.9</v>
      </c>
      <c r="S2235">
        <v>2.9</v>
      </c>
      <c r="T2235">
        <v>98.533889000000002</v>
      </c>
      <c r="W2235" t="s">
        <v>875</v>
      </c>
    </row>
    <row r="2236" spans="1:23" x14ac:dyDescent="0.25">
      <c r="A2236" t="s">
        <v>2688</v>
      </c>
      <c r="B2236" t="str">
        <f t="shared" si="35"/>
        <v>CG1100000260</v>
      </c>
      <c r="C2236" t="s">
        <v>229</v>
      </c>
      <c r="D2236" t="s">
        <v>77</v>
      </c>
      <c r="E2236" t="s">
        <v>78</v>
      </c>
      <c r="F2236">
        <v>10000</v>
      </c>
      <c r="G2236" s="13">
        <v>44572</v>
      </c>
      <c r="H2236" s="13">
        <v>44665</v>
      </c>
      <c r="I2236">
        <v>2175</v>
      </c>
      <c r="J2236">
        <v>525</v>
      </c>
      <c r="K2236">
        <v>2700</v>
      </c>
      <c r="N2236">
        <v>17.391304347826086</v>
      </c>
      <c r="O2236">
        <v>6.0541999999999998</v>
      </c>
      <c r="P2236">
        <v>27</v>
      </c>
      <c r="Q2236">
        <v>6</v>
      </c>
      <c r="R2236">
        <v>5</v>
      </c>
      <c r="S2236">
        <v>6</v>
      </c>
      <c r="T2236">
        <v>98.492694999999998</v>
      </c>
      <c r="W2236" t="s">
        <v>497</v>
      </c>
    </row>
    <row r="2237" spans="1:23" x14ac:dyDescent="0.25">
      <c r="A2237" t="s">
        <v>2689</v>
      </c>
      <c r="B2237" t="str">
        <f t="shared" si="35"/>
        <v>GA1200001442</v>
      </c>
      <c r="C2237" t="s">
        <v>227</v>
      </c>
      <c r="D2237" t="s">
        <v>77</v>
      </c>
      <c r="E2237" t="s">
        <v>82</v>
      </c>
      <c r="F2237">
        <v>15000</v>
      </c>
      <c r="G2237" s="13">
        <v>44573</v>
      </c>
      <c r="H2237" s="13">
        <v>44757</v>
      </c>
      <c r="I2237">
        <v>2300</v>
      </c>
      <c r="J2237">
        <v>5347</v>
      </c>
      <c r="K2237">
        <v>7647</v>
      </c>
      <c r="N2237">
        <v>38.888888888888893</v>
      </c>
      <c r="O2237">
        <v>7.0209999999999999</v>
      </c>
      <c r="P2237">
        <v>50.98</v>
      </c>
      <c r="Q2237">
        <v>7.5</v>
      </c>
      <c r="R2237">
        <v>5.9</v>
      </c>
      <c r="S2237">
        <v>7.5</v>
      </c>
      <c r="T2237">
        <v>96.572146000000004</v>
      </c>
      <c r="W2237" t="s">
        <v>497</v>
      </c>
    </row>
    <row r="2238" spans="1:23" x14ac:dyDescent="0.25">
      <c r="A2238" t="s">
        <v>2690</v>
      </c>
      <c r="B2238" t="str">
        <f t="shared" si="35"/>
        <v>CG1100000260</v>
      </c>
      <c r="C2238" t="s">
        <v>229</v>
      </c>
      <c r="D2238" t="s">
        <v>77</v>
      </c>
      <c r="E2238" t="s">
        <v>78</v>
      </c>
      <c r="F2238">
        <v>6000</v>
      </c>
      <c r="G2238" s="13">
        <v>44579</v>
      </c>
      <c r="H2238" s="13">
        <v>44665</v>
      </c>
      <c r="I2238">
        <v>2907</v>
      </c>
      <c r="J2238">
        <v>3093</v>
      </c>
      <c r="K2238">
        <v>6000</v>
      </c>
      <c r="N2238">
        <v>21.739130434782609</v>
      </c>
      <c r="O2238">
        <v>6.3906999999999998</v>
      </c>
      <c r="P2238">
        <v>123.7167</v>
      </c>
      <c r="Q2238">
        <v>6.5</v>
      </c>
      <c r="R2238">
        <v>5.5</v>
      </c>
      <c r="S2238">
        <v>6.5</v>
      </c>
      <c r="T2238">
        <v>98.530738999999997</v>
      </c>
      <c r="W2238" t="s">
        <v>497</v>
      </c>
    </row>
    <row r="2239" spans="1:23" x14ac:dyDescent="0.25">
      <c r="A2239" t="s">
        <v>2691</v>
      </c>
      <c r="B2239" t="str">
        <f t="shared" si="35"/>
        <v>GA1200001376</v>
      </c>
      <c r="C2239" t="s">
        <v>227</v>
      </c>
      <c r="D2239" t="s">
        <v>77</v>
      </c>
      <c r="E2239" t="s">
        <v>82</v>
      </c>
      <c r="F2239">
        <v>8000</v>
      </c>
      <c r="G2239" s="13">
        <v>44580</v>
      </c>
      <c r="H2239" s="13">
        <v>44680</v>
      </c>
      <c r="I2239">
        <v>8000</v>
      </c>
      <c r="J2239">
        <v>0</v>
      </c>
      <c r="K2239">
        <v>8000</v>
      </c>
      <c r="N2239">
        <v>5.5555555555555554</v>
      </c>
      <c r="O2239">
        <v>6.4562999999999997</v>
      </c>
      <c r="P2239">
        <v>100</v>
      </c>
      <c r="Q2239">
        <v>6.5</v>
      </c>
      <c r="R2239">
        <v>6.4</v>
      </c>
      <c r="S2239">
        <v>6.5</v>
      </c>
      <c r="T2239">
        <v>98.242464999999996</v>
      </c>
      <c r="W2239" t="s">
        <v>497</v>
      </c>
    </row>
    <row r="2240" spans="1:23" x14ac:dyDescent="0.25">
      <c r="A2240" t="s">
        <v>2692</v>
      </c>
      <c r="B2240" t="str">
        <f t="shared" si="35"/>
        <v>GA1300000526</v>
      </c>
      <c r="C2240" t="s">
        <v>227</v>
      </c>
      <c r="D2240" t="s">
        <v>77</v>
      </c>
      <c r="E2240" t="s">
        <v>287</v>
      </c>
      <c r="F2240">
        <v>11000</v>
      </c>
      <c r="G2240" s="13">
        <v>44580</v>
      </c>
      <c r="H2240" s="13">
        <v>44946</v>
      </c>
      <c r="I2240">
        <v>505</v>
      </c>
      <c r="J2240">
        <v>4980</v>
      </c>
      <c r="K2240">
        <v>5485</v>
      </c>
      <c r="N2240">
        <v>44.444444444444443</v>
      </c>
      <c r="O2240">
        <v>6.7782999999999998</v>
      </c>
      <c r="P2240">
        <v>101.24550000000001</v>
      </c>
      <c r="Q2240">
        <v>7</v>
      </c>
      <c r="R2240">
        <v>6</v>
      </c>
      <c r="S2240">
        <v>7</v>
      </c>
      <c r="T2240">
        <v>93.146427000000003</v>
      </c>
      <c r="W2240" t="s">
        <v>497</v>
      </c>
    </row>
    <row r="2241" spans="1:23" x14ac:dyDescent="0.25">
      <c r="A2241" t="s">
        <v>2693</v>
      </c>
      <c r="B2241" t="str">
        <f t="shared" si="35"/>
        <v>GQ1300001104</v>
      </c>
      <c r="C2241" t="s">
        <v>528</v>
      </c>
      <c r="D2241" t="s">
        <v>77</v>
      </c>
      <c r="E2241" t="s">
        <v>287</v>
      </c>
      <c r="F2241">
        <v>20000</v>
      </c>
      <c r="G2241" s="13">
        <v>44579</v>
      </c>
      <c r="H2241" s="13">
        <v>44945</v>
      </c>
      <c r="I2241">
        <v>7000</v>
      </c>
      <c r="J2241">
        <v>12785</v>
      </c>
      <c r="K2241">
        <v>19785</v>
      </c>
      <c r="N2241">
        <v>50</v>
      </c>
      <c r="O2241">
        <v>8.6273999999999997</v>
      </c>
      <c r="P2241">
        <v>98.924999999999997</v>
      </c>
      <c r="Q2241">
        <v>9</v>
      </c>
      <c r="R2241">
        <v>8.3000000000000007</v>
      </c>
      <c r="S2241">
        <v>9</v>
      </c>
      <c r="T2241">
        <v>91.276770999999997</v>
      </c>
      <c r="W2241" t="s">
        <v>497</v>
      </c>
    </row>
    <row r="2242" spans="1:23" x14ac:dyDescent="0.25">
      <c r="A2242" t="s">
        <v>2694</v>
      </c>
      <c r="B2242" t="str">
        <f t="shared" si="35"/>
        <v>CM1300000583</v>
      </c>
      <c r="C2242" t="s">
        <v>225</v>
      </c>
      <c r="D2242" t="s">
        <v>77</v>
      </c>
      <c r="E2242" t="s">
        <v>287</v>
      </c>
      <c r="F2242">
        <v>20000</v>
      </c>
      <c r="G2242" s="13">
        <v>44585</v>
      </c>
      <c r="H2242" s="13">
        <v>44951</v>
      </c>
      <c r="J2242">
        <v>0</v>
      </c>
      <c r="N2242">
        <v>0</v>
      </c>
      <c r="T2242" t="s">
        <v>2672</v>
      </c>
      <c r="W2242" t="s">
        <v>497</v>
      </c>
    </row>
    <row r="2243" spans="1:23" x14ac:dyDescent="0.25">
      <c r="A2243" t="s">
        <v>2695</v>
      </c>
      <c r="B2243" t="str">
        <f t="shared" si="35"/>
        <v>CG1200000608</v>
      </c>
      <c r="C2243" t="s">
        <v>229</v>
      </c>
      <c r="D2243" t="s">
        <v>77</v>
      </c>
      <c r="E2243" t="s">
        <v>82</v>
      </c>
      <c r="F2243">
        <v>11000</v>
      </c>
      <c r="G2243" s="13">
        <v>44586</v>
      </c>
      <c r="H2243" s="13">
        <v>44770</v>
      </c>
      <c r="I2243">
        <v>2658</v>
      </c>
      <c r="J2243">
        <v>235</v>
      </c>
      <c r="K2243">
        <v>2893</v>
      </c>
      <c r="N2243">
        <v>17.391304347826086</v>
      </c>
      <c r="O2243">
        <v>7.1412000000000004</v>
      </c>
      <c r="P2243">
        <v>26.3</v>
      </c>
      <c r="Q2243">
        <v>7</v>
      </c>
      <c r="R2243">
        <v>6</v>
      </c>
      <c r="S2243">
        <v>7</v>
      </c>
      <c r="T2243">
        <v>96.515546000000001</v>
      </c>
      <c r="W2243" t="s">
        <v>497</v>
      </c>
    </row>
    <row r="2244" spans="1:23" x14ac:dyDescent="0.25">
      <c r="A2244" t="s">
        <v>2685</v>
      </c>
      <c r="B2244" t="str">
        <f t="shared" si="35"/>
        <v>GA1200001434</v>
      </c>
      <c r="C2244" t="s">
        <v>227</v>
      </c>
      <c r="D2244" t="s">
        <v>77</v>
      </c>
      <c r="E2244" t="s">
        <v>82</v>
      </c>
      <c r="F2244">
        <v>8000</v>
      </c>
      <c r="G2244" s="13">
        <v>44587</v>
      </c>
      <c r="H2244" s="13">
        <v>44750</v>
      </c>
      <c r="I2244">
        <v>3022</v>
      </c>
      <c r="J2244">
        <v>4978</v>
      </c>
      <c r="K2244">
        <v>8000</v>
      </c>
      <c r="N2244">
        <v>38.888888888888893</v>
      </c>
      <c r="O2244">
        <v>6.3902999999999999</v>
      </c>
      <c r="P2244">
        <v>150.9</v>
      </c>
      <c r="Q2244">
        <v>6.5</v>
      </c>
      <c r="R2244">
        <v>5.75</v>
      </c>
      <c r="S2244">
        <v>6.5</v>
      </c>
      <c r="T2244">
        <v>97.221502999999998</v>
      </c>
      <c r="W2244" t="s">
        <v>497</v>
      </c>
    </row>
    <row r="2245" spans="1:23" x14ac:dyDescent="0.25">
      <c r="A2245" t="s">
        <v>2696</v>
      </c>
      <c r="B2245" t="str">
        <f t="shared" si="35"/>
        <v>CM1200001111</v>
      </c>
      <c r="C2245" t="s">
        <v>225</v>
      </c>
      <c r="D2245" t="s">
        <v>77</v>
      </c>
      <c r="E2245" t="s">
        <v>82</v>
      </c>
      <c r="F2245">
        <v>100000</v>
      </c>
      <c r="G2245" s="13">
        <v>44592</v>
      </c>
      <c r="H2245" s="13">
        <v>44755</v>
      </c>
      <c r="I2245">
        <v>15000</v>
      </c>
      <c r="J2245">
        <v>0</v>
      </c>
      <c r="K2245">
        <v>15000</v>
      </c>
      <c r="N2245">
        <v>33.333333333333329</v>
      </c>
      <c r="O2245">
        <v>2.9380999999999999</v>
      </c>
      <c r="P2245">
        <v>15</v>
      </c>
      <c r="Q2245">
        <v>2.9</v>
      </c>
      <c r="R2245">
        <v>2.9</v>
      </c>
      <c r="S2245">
        <v>2.9</v>
      </c>
      <c r="T2245">
        <v>98.703056000000004</v>
      </c>
      <c r="W2245" t="s">
        <v>875</v>
      </c>
    </row>
    <row r="2246" spans="1:23" x14ac:dyDescent="0.25">
      <c r="A2246" t="s">
        <v>2697</v>
      </c>
      <c r="B2246" t="str">
        <f t="shared" si="35"/>
        <v>CG1200000608</v>
      </c>
      <c r="C2246" t="s">
        <v>229</v>
      </c>
      <c r="D2246" t="s">
        <v>77</v>
      </c>
      <c r="E2246" t="s">
        <v>82</v>
      </c>
      <c r="F2246">
        <v>12000</v>
      </c>
      <c r="G2246" s="13">
        <v>44593</v>
      </c>
      <c r="H2246" s="13">
        <v>44770</v>
      </c>
      <c r="I2246">
        <v>6207</v>
      </c>
      <c r="J2246">
        <v>5793</v>
      </c>
      <c r="K2246">
        <v>12000</v>
      </c>
      <c r="N2246">
        <v>34.782608695652172</v>
      </c>
      <c r="O2246">
        <v>6.6238999999999999</v>
      </c>
      <c r="P2246">
        <v>119.61669999999999</v>
      </c>
      <c r="Q2246">
        <v>7</v>
      </c>
      <c r="R2246">
        <v>6</v>
      </c>
      <c r="S2246">
        <v>7</v>
      </c>
      <c r="T2246">
        <v>96.880482999999998</v>
      </c>
      <c r="W2246" t="s">
        <v>497</v>
      </c>
    </row>
    <row r="2247" spans="1:23" x14ac:dyDescent="0.25">
      <c r="A2247" t="s">
        <v>2698</v>
      </c>
      <c r="B2247" t="str">
        <f t="shared" si="35"/>
        <v>CG1100000278</v>
      </c>
      <c r="C2247" t="s">
        <v>229</v>
      </c>
      <c r="D2247" t="s">
        <v>77</v>
      </c>
      <c r="E2247" t="s">
        <v>78</v>
      </c>
      <c r="F2247">
        <v>5000</v>
      </c>
      <c r="G2247" s="13">
        <v>44593</v>
      </c>
      <c r="H2247" s="13">
        <v>44686</v>
      </c>
      <c r="I2247">
        <v>1000</v>
      </c>
      <c r="J2247">
        <v>3000</v>
      </c>
      <c r="K2247">
        <v>4000</v>
      </c>
      <c r="N2247">
        <v>8.695652173913043</v>
      </c>
      <c r="O2247">
        <v>6.4794</v>
      </c>
      <c r="P2247">
        <v>80</v>
      </c>
      <c r="Q2247">
        <v>6.5</v>
      </c>
      <c r="R2247">
        <v>6</v>
      </c>
      <c r="S2247">
        <v>6.5</v>
      </c>
      <c r="T2247">
        <v>98.388542000000001</v>
      </c>
      <c r="W2247" t="s">
        <v>497</v>
      </c>
    </row>
    <row r="2248" spans="1:23" x14ac:dyDescent="0.25">
      <c r="A2248" t="s">
        <v>2699</v>
      </c>
      <c r="B2248" t="str">
        <f t="shared" si="35"/>
        <v>GA1200001459</v>
      </c>
      <c r="C2248" t="s">
        <v>227</v>
      </c>
      <c r="D2248" t="s">
        <v>77</v>
      </c>
      <c r="E2248" t="s">
        <v>82</v>
      </c>
      <c r="F2248">
        <v>10000</v>
      </c>
      <c r="G2248" s="13">
        <v>44594</v>
      </c>
      <c r="H2248" s="13">
        <v>44778</v>
      </c>
      <c r="I2248">
        <v>8700</v>
      </c>
      <c r="J2248">
        <v>1300</v>
      </c>
      <c r="K2248">
        <v>10000</v>
      </c>
      <c r="N2248">
        <v>50</v>
      </c>
      <c r="O2248">
        <v>6.3654999999999999</v>
      </c>
      <c r="P2248">
        <v>240.41</v>
      </c>
      <c r="Q2248">
        <v>6.5</v>
      </c>
      <c r="R2248">
        <v>5.9</v>
      </c>
      <c r="S2248">
        <v>6.5</v>
      </c>
      <c r="T2248">
        <v>96.882238999999998</v>
      </c>
      <c r="W2248" t="s">
        <v>497</v>
      </c>
    </row>
    <row r="2249" spans="1:23" x14ac:dyDescent="0.25">
      <c r="A2249" t="s">
        <v>2700</v>
      </c>
      <c r="B2249" t="str">
        <f t="shared" si="35"/>
        <v>GQ1300001112</v>
      </c>
      <c r="C2249" t="s">
        <v>528</v>
      </c>
      <c r="D2249" t="s">
        <v>77</v>
      </c>
      <c r="E2249" t="s">
        <v>287</v>
      </c>
      <c r="F2249">
        <v>17000</v>
      </c>
      <c r="G2249" s="13">
        <v>44593</v>
      </c>
      <c r="H2249" s="13">
        <v>44959</v>
      </c>
      <c r="I2249">
        <v>9054</v>
      </c>
      <c r="J2249">
        <v>7946</v>
      </c>
      <c r="K2249">
        <v>17000</v>
      </c>
      <c r="N2249">
        <v>75</v>
      </c>
      <c r="O2249">
        <v>8.5</v>
      </c>
      <c r="P2249">
        <v>216.5882</v>
      </c>
      <c r="Q2249">
        <v>8.5</v>
      </c>
      <c r="R2249">
        <v>7.5</v>
      </c>
      <c r="S2249">
        <v>8.5</v>
      </c>
      <c r="T2249">
        <v>91.716324</v>
      </c>
      <c r="W2249" t="s">
        <v>497</v>
      </c>
    </row>
    <row r="2250" spans="1:23" x14ac:dyDescent="0.25">
      <c r="A2250" t="s">
        <v>2701</v>
      </c>
      <c r="B2250" t="str">
        <f t="shared" si="35"/>
        <v>CM1200001129</v>
      </c>
      <c r="C2250" t="s">
        <v>225</v>
      </c>
      <c r="D2250" t="s">
        <v>77</v>
      </c>
      <c r="E2250" t="s">
        <v>82</v>
      </c>
      <c r="F2250">
        <v>20000</v>
      </c>
      <c r="G2250" s="13">
        <v>44599</v>
      </c>
      <c r="H2250" s="13">
        <v>44783</v>
      </c>
      <c r="I2250">
        <v>8500</v>
      </c>
      <c r="J2250">
        <v>4000</v>
      </c>
      <c r="K2250">
        <v>12500</v>
      </c>
      <c r="N2250">
        <v>19.047619047619047</v>
      </c>
      <c r="O2250">
        <v>2.5566</v>
      </c>
      <c r="P2250">
        <v>72.5</v>
      </c>
      <c r="Q2250">
        <v>3</v>
      </c>
      <c r="R2250">
        <v>2.0499999999999998</v>
      </c>
      <c r="S2250">
        <v>3</v>
      </c>
      <c r="T2250">
        <v>98.723978000000002</v>
      </c>
      <c r="W2250" t="s">
        <v>497</v>
      </c>
    </row>
    <row r="2251" spans="1:23" x14ac:dyDescent="0.25">
      <c r="A2251" t="s">
        <v>2702</v>
      </c>
      <c r="B2251" t="str">
        <f t="shared" si="35"/>
        <v>CG1200000616</v>
      </c>
      <c r="C2251" t="s">
        <v>229</v>
      </c>
      <c r="D2251" t="s">
        <v>77</v>
      </c>
      <c r="E2251" t="s">
        <v>82</v>
      </c>
      <c r="F2251">
        <v>10000</v>
      </c>
      <c r="G2251" s="13">
        <v>44600</v>
      </c>
      <c r="H2251" s="13">
        <v>44784</v>
      </c>
      <c r="I2251">
        <v>1721</v>
      </c>
      <c r="J2251">
        <v>8279</v>
      </c>
      <c r="K2251">
        <v>10000</v>
      </c>
      <c r="N2251">
        <v>21.739130434782609</v>
      </c>
      <c r="O2251">
        <v>7.0671999999999997</v>
      </c>
      <c r="P2251">
        <v>102.02</v>
      </c>
      <c r="Q2251">
        <v>7</v>
      </c>
      <c r="R2251">
        <v>6</v>
      </c>
      <c r="S2251">
        <v>7</v>
      </c>
      <c r="T2251">
        <v>96.550392000000002</v>
      </c>
      <c r="W2251" t="s">
        <v>497</v>
      </c>
    </row>
    <row r="2252" spans="1:23" x14ac:dyDescent="0.25">
      <c r="A2252" t="s">
        <v>2703</v>
      </c>
      <c r="B2252" t="str">
        <f t="shared" si="35"/>
        <v>GA1200001467</v>
      </c>
      <c r="C2252" t="s">
        <v>227</v>
      </c>
      <c r="D2252" t="s">
        <v>77</v>
      </c>
      <c r="E2252" t="s">
        <v>82</v>
      </c>
      <c r="F2252">
        <v>12000</v>
      </c>
      <c r="G2252" s="13">
        <v>44601</v>
      </c>
      <c r="H2252" s="13">
        <v>44783</v>
      </c>
      <c r="I2252">
        <v>5000</v>
      </c>
      <c r="J2252">
        <v>7000</v>
      </c>
      <c r="K2252">
        <v>12000</v>
      </c>
      <c r="N2252">
        <v>33.333333333333329</v>
      </c>
      <c r="O2252">
        <v>6.1988000000000003</v>
      </c>
      <c r="P2252">
        <v>150.6833</v>
      </c>
      <c r="Q2252">
        <v>6.25</v>
      </c>
      <c r="R2252">
        <v>5.75</v>
      </c>
      <c r="S2252">
        <v>6.25</v>
      </c>
      <c r="T2252">
        <v>96.961399999999998</v>
      </c>
      <c r="W2252" t="s">
        <v>497</v>
      </c>
    </row>
    <row r="2253" spans="1:23" x14ac:dyDescent="0.25">
      <c r="A2253" t="s">
        <v>2704</v>
      </c>
      <c r="B2253" t="str">
        <f t="shared" si="35"/>
        <v>CM1200001137</v>
      </c>
      <c r="C2253" t="s">
        <v>225</v>
      </c>
      <c r="D2253" t="s">
        <v>77</v>
      </c>
      <c r="E2253" t="s">
        <v>82</v>
      </c>
      <c r="F2253">
        <v>10000</v>
      </c>
      <c r="G2253" s="13">
        <v>44606</v>
      </c>
      <c r="H2253" s="13"/>
      <c r="J2253">
        <v>0</v>
      </c>
      <c r="N2253" t="e">
        <v>#DIV/0!</v>
      </c>
      <c r="T2253" t="s">
        <v>750</v>
      </c>
      <c r="W2253" t="s">
        <v>497</v>
      </c>
    </row>
    <row r="2254" spans="1:23" x14ac:dyDescent="0.25">
      <c r="A2254" t="s">
        <v>2705</v>
      </c>
      <c r="B2254" t="str">
        <f t="shared" si="35"/>
        <v>CG1300000185</v>
      </c>
      <c r="C2254" t="s">
        <v>229</v>
      </c>
      <c r="D2254" t="s">
        <v>77</v>
      </c>
      <c r="E2254" t="s">
        <v>287</v>
      </c>
      <c r="F2254">
        <v>10000</v>
      </c>
      <c r="G2254" s="13">
        <v>44607</v>
      </c>
      <c r="H2254" s="13">
        <v>44973</v>
      </c>
      <c r="I2254">
        <v>164</v>
      </c>
      <c r="J2254">
        <v>3070</v>
      </c>
      <c r="K2254">
        <v>3234</v>
      </c>
      <c r="N2254">
        <v>30.434782608695656</v>
      </c>
      <c r="O2254">
        <v>7.3098000000000001</v>
      </c>
      <c r="P2254">
        <v>32.840000000000003</v>
      </c>
      <c r="Q2254">
        <v>7</v>
      </c>
      <c r="R2254">
        <v>6</v>
      </c>
      <c r="S2254">
        <v>7</v>
      </c>
      <c r="T2254">
        <v>93.117690999999994</v>
      </c>
      <c r="W2254" t="s">
        <v>497</v>
      </c>
    </row>
    <row r="2255" spans="1:23" x14ac:dyDescent="0.25">
      <c r="A2255" t="s">
        <v>2706</v>
      </c>
      <c r="B2255" t="str">
        <f t="shared" si="35"/>
        <v>GA1100001450</v>
      </c>
      <c r="C2255" t="s">
        <v>227</v>
      </c>
      <c r="D2255" t="s">
        <v>77</v>
      </c>
      <c r="E2255" t="s">
        <v>78</v>
      </c>
      <c r="F2255">
        <v>8500</v>
      </c>
      <c r="G2255" s="13">
        <v>44608</v>
      </c>
      <c r="H2255" s="13">
        <v>44701</v>
      </c>
      <c r="I2255">
        <v>3771</v>
      </c>
      <c r="J2255">
        <v>4729</v>
      </c>
      <c r="K2255">
        <v>8500</v>
      </c>
      <c r="N2255">
        <v>27.777777777777779</v>
      </c>
      <c r="O2255">
        <v>5.9104999999999999</v>
      </c>
      <c r="P2255">
        <v>142.83529999999999</v>
      </c>
      <c r="Q2255">
        <v>6</v>
      </c>
      <c r="R2255">
        <v>5.5</v>
      </c>
      <c r="S2255">
        <v>6</v>
      </c>
      <c r="T2255">
        <v>98.527940999999998</v>
      </c>
      <c r="W2255" t="s">
        <v>497</v>
      </c>
    </row>
    <row r="2256" spans="1:23" x14ac:dyDescent="0.25">
      <c r="A2256" t="s">
        <v>2707</v>
      </c>
      <c r="B2256" t="str">
        <f t="shared" si="35"/>
        <v>CM1200001145</v>
      </c>
      <c r="C2256" t="s">
        <v>225</v>
      </c>
      <c r="D2256" t="s">
        <v>77</v>
      </c>
      <c r="E2256" t="s">
        <v>82</v>
      </c>
      <c r="F2256">
        <v>15000</v>
      </c>
      <c r="G2256" s="13">
        <v>44613</v>
      </c>
      <c r="H2256" s="13">
        <v>44797</v>
      </c>
      <c r="I2256">
        <v>12500</v>
      </c>
      <c r="J2256">
        <v>500</v>
      </c>
      <c r="K2256">
        <v>13000</v>
      </c>
      <c r="N2256">
        <v>28.571428571428569</v>
      </c>
      <c r="O2256">
        <v>2.8893</v>
      </c>
      <c r="P2256">
        <v>87.4</v>
      </c>
      <c r="Q2256">
        <v>3.2</v>
      </c>
      <c r="R2256">
        <v>2.35</v>
      </c>
      <c r="S2256">
        <v>3.2</v>
      </c>
      <c r="T2256">
        <v>98.560333</v>
      </c>
      <c r="W2256" t="s">
        <v>497</v>
      </c>
    </row>
    <row r="2257" spans="1:23" x14ac:dyDescent="0.25">
      <c r="A2257" t="s">
        <v>2708</v>
      </c>
      <c r="B2257" t="str">
        <f t="shared" si="35"/>
        <v>GA1200001475</v>
      </c>
      <c r="C2257" t="s">
        <v>227</v>
      </c>
      <c r="D2257" t="s">
        <v>77</v>
      </c>
      <c r="E2257" t="s">
        <v>82</v>
      </c>
      <c r="F2257">
        <v>8500</v>
      </c>
      <c r="G2257" s="13">
        <v>44615</v>
      </c>
      <c r="H2257" s="13">
        <v>44799</v>
      </c>
      <c r="I2257">
        <v>2005</v>
      </c>
      <c r="J2257">
        <v>6495</v>
      </c>
      <c r="K2257">
        <v>8500</v>
      </c>
      <c r="N2257">
        <v>44.444444444444443</v>
      </c>
      <c r="O2257">
        <v>6.2592999999999996</v>
      </c>
      <c r="P2257">
        <v>142.29409999999999</v>
      </c>
      <c r="Q2257">
        <v>6.2</v>
      </c>
      <c r="R2257">
        <v>5.75</v>
      </c>
      <c r="S2257">
        <v>6.2</v>
      </c>
      <c r="T2257">
        <v>96.932625000000002</v>
      </c>
      <c r="W2257" t="s">
        <v>497</v>
      </c>
    </row>
    <row r="2258" spans="1:23" x14ac:dyDescent="0.25">
      <c r="A2258" t="s">
        <v>2709</v>
      </c>
      <c r="B2258" t="str">
        <f t="shared" si="35"/>
        <v>GQ1300001120</v>
      </c>
      <c r="C2258" t="s">
        <v>528</v>
      </c>
      <c r="D2258" t="s">
        <v>77</v>
      </c>
      <c r="E2258" t="s">
        <v>287</v>
      </c>
      <c r="F2258">
        <v>20000</v>
      </c>
      <c r="G2258" s="13">
        <v>44614</v>
      </c>
      <c r="H2258" s="13">
        <v>44980</v>
      </c>
      <c r="I2258">
        <v>6000</v>
      </c>
      <c r="J2258">
        <v>7115</v>
      </c>
      <c r="K2258">
        <v>13115</v>
      </c>
      <c r="N2258">
        <v>58.333333333333336</v>
      </c>
      <c r="O2258">
        <v>8.1153999999999993</v>
      </c>
      <c r="P2258">
        <v>140.255</v>
      </c>
      <c r="Q2258">
        <v>7.5</v>
      </c>
      <c r="R2258">
        <v>7.5</v>
      </c>
      <c r="S2258">
        <v>7.5</v>
      </c>
      <c r="T2258">
        <v>92.416667000000004</v>
      </c>
      <c r="W2258" t="s">
        <v>497</v>
      </c>
    </row>
    <row r="2259" spans="1:23" x14ac:dyDescent="0.25">
      <c r="A2259" t="s">
        <v>2710</v>
      </c>
      <c r="B2259" t="str">
        <f t="shared" si="35"/>
        <v>GA1300005234</v>
      </c>
      <c r="C2259" t="s">
        <v>227</v>
      </c>
      <c r="D2259" t="s">
        <v>77</v>
      </c>
      <c r="E2259" t="s">
        <v>287</v>
      </c>
      <c r="F2259">
        <v>8500</v>
      </c>
      <c r="G2259" s="13">
        <v>44622</v>
      </c>
      <c r="H2259" s="13">
        <v>44988</v>
      </c>
      <c r="I2259">
        <v>2108</v>
      </c>
      <c r="J2259">
        <v>6392</v>
      </c>
      <c r="K2259">
        <v>8500</v>
      </c>
      <c r="N2259">
        <v>38.888888888888893</v>
      </c>
      <c r="O2259">
        <v>6.5202999999999998</v>
      </c>
      <c r="P2259">
        <v>189.4941</v>
      </c>
      <c r="Q2259">
        <v>6.5</v>
      </c>
      <c r="R2259">
        <v>5.75</v>
      </c>
      <c r="S2259">
        <v>6.5</v>
      </c>
      <c r="T2259">
        <v>93.815004000000002</v>
      </c>
      <c r="W2259" t="s">
        <v>497</v>
      </c>
    </row>
    <row r="2260" spans="1:23" x14ac:dyDescent="0.25">
      <c r="A2260" t="s">
        <v>2711</v>
      </c>
      <c r="B2260" t="str">
        <f t="shared" si="35"/>
        <v>CM1100000932</v>
      </c>
      <c r="C2260" t="s">
        <v>225</v>
      </c>
      <c r="D2260" t="s">
        <v>77</v>
      </c>
      <c r="E2260" t="s">
        <v>78</v>
      </c>
      <c r="F2260">
        <v>25000</v>
      </c>
      <c r="G2260" s="13">
        <v>44620</v>
      </c>
      <c r="H2260" s="13"/>
      <c r="N2260" t="e">
        <v>#DIV/0!</v>
      </c>
      <c r="T2260" t="s">
        <v>1418</v>
      </c>
      <c r="W2260" t="s">
        <v>497</v>
      </c>
    </row>
    <row r="2261" spans="1:23" x14ac:dyDescent="0.25">
      <c r="A2261" t="s">
        <v>2712</v>
      </c>
      <c r="B2261" t="str">
        <f t="shared" si="35"/>
        <v>TD1300000577</v>
      </c>
      <c r="C2261" t="s">
        <v>237</v>
      </c>
      <c r="D2261" t="s">
        <v>77</v>
      </c>
      <c r="E2261" t="s">
        <v>287</v>
      </c>
      <c r="F2261">
        <v>15000</v>
      </c>
      <c r="G2261" s="13">
        <v>44622</v>
      </c>
      <c r="H2261" s="13"/>
      <c r="N2261" t="e">
        <v>#DIV/0!</v>
      </c>
      <c r="T2261" t="s">
        <v>1418</v>
      </c>
      <c r="W2261" t="s">
        <v>497</v>
      </c>
    </row>
    <row r="2262" spans="1:23" x14ac:dyDescent="0.25">
      <c r="A2262" t="s">
        <v>2713</v>
      </c>
      <c r="B2262" t="str">
        <f t="shared" si="35"/>
        <v>CG1100000286</v>
      </c>
      <c r="C2262" t="s">
        <v>229</v>
      </c>
      <c r="D2262" t="s">
        <v>77</v>
      </c>
      <c r="E2262" t="s">
        <v>78</v>
      </c>
      <c r="F2262">
        <v>7000</v>
      </c>
      <c r="G2262" s="13">
        <v>44628</v>
      </c>
      <c r="H2262" s="13">
        <v>44721</v>
      </c>
      <c r="I2262">
        <v>1165</v>
      </c>
      <c r="J2262">
        <v>5835</v>
      </c>
      <c r="K2262">
        <v>7000</v>
      </c>
      <c r="N2262">
        <v>26.086956521739129</v>
      </c>
      <c r="O2262">
        <v>6.5320999999999998</v>
      </c>
      <c r="P2262">
        <v>121.2</v>
      </c>
      <c r="Q2262">
        <v>6.5</v>
      </c>
      <c r="R2262">
        <v>5</v>
      </c>
      <c r="S2262">
        <v>6.5</v>
      </c>
      <c r="T2262">
        <v>98.375649999999993</v>
      </c>
      <c r="W2262" t="s">
        <v>497</v>
      </c>
    </row>
    <row r="2263" spans="1:23" x14ac:dyDescent="0.25">
      <c r="A2263" t="s">
        <v>2714</v>
      </c>
      <c r="B2263" t="str">
        <f t="shared" si="35"/>
        <v>GA1200001483</v>
      </c>
      <c r="C2263" t="s">
        <v>227</v>
      </c>
      <c r="D2263" t="s">
        <v>77</v>
      </c>
      <c r="E2263" t="s">
        <v>82</v>
      </c>
      <c r="F2263">
        <v>11500</v>
      </c>
      <c r="G2263" s="13">
        <v>44629</v>
      </c>
      <c r="H2263" s="13">
        <v>44813</v>
      </c>
      <c r="I2263">
        <v>7082</v>
      </c>
      <c r="J2263">
        <v>4418</v>
      </c>
      <c r="K2263">
        <v>11500</v>
      </c>
      <c r="N2263">
        <v>50</v>
      </c>
      <c r="O2263">
        <v>5.8807</v>
      </c>
      <c r="P2263">
        <v>176.65219999999999</v>
      </c>
      <c r="Q2263">
        <v>6</v>
      </c>
      <c r="R2263">
        <v>5.2</v>
      </c>
      <c r="S2263">
        <v>6</v>
      </c>
      <c r="T2263">
        <v>97.112837999999996</v>
      </c>
      <c r="W2263" t="s">
        <v>497</v>
      </c>
    </row>
    <row r="2264" spans="1:23" x14ac:dyDescent="0.25">
      <c r="A2264" t="s">
        <v>2715</v>
      </c>
      <c r="B2264" t="str">
        <f t="shared" si="35"/>
        <v>GA1200001491</v>
      </c>
      <c r="C2264" t="s">
        <v>227</v>
      </c>
      <c r="D2264" t="s">
        <v>77</v>
      </c>
      <c r="E2264" t="s">
        <v>82</v>
      </c>
      <c r="F2264">
        <v>11500</v>
      </c>
      <c r="G2264" s="13">
        <v>44636</v>
      </c>
      <c r="H2264" s="13">
        <v>44820</v>
      </c>
      <c r="I2264">
        <v>5962</v>
      </c>
      <c r="J2264">
        <v>5538</v>
      </c>
      <c r="K2264">
        <v>11500</v>
      </c>
      <c r="N2264">
        <v>55.555555555555557</v>
      </c>
      <c r="O2264">
        <v>5.8808999999999996</v>
      </c>
      <c r="P2264">
        <v>269.5478</v>
      </c>
      <c r="Q2264">
        <v>5.9</v>
      </c>
      <c r="R2264">
        <v>5.5</v>
      </c>
      <c r="S2264">
        <v>5.9</v>
      </c>
      <c r="T2264">
        <v>97.112706000000003</v>
      </c>
      <c r="W2264" t="s">
        <v>497</v>
      </c>
    </row>
    <row r="2265" spans="1:23" x14ac:dyDescent="0.25">
      <c r="A2265" t="s">
        <v>2716</v>
      </c>
      <c r="B2265" t="str">
        <f t="shared" si="35"/>
        <v>TD1200001279</v>
      </c>
      <c r="C2265" t="s">
        <v>237</v>
      </c>
      <c r="D2265" t="s">
        <v>77</v>
      </c>
      <c r="E2265" t="s">
        <v>82</v>
      </c>
      <c r="F2265">
        <v>15000</v>
      </c>
      <c r="G2265" s="13">
        <v>44636</v>
      </c>
      <c r="H2265" s="13">
        <v>44820</v>
      </c>
      <c r="I2265">
        <v>1500</v>
      </c>
      <c r="J2265">
        <v>13500</v>
      </c>
      <c r="K2265">
        <v>15000</v>
      </c>
      <c r="N2265">
        <v>50</v>
      </c>
      <c r="O2265">
        <v>6.7209000000000003</v>
      </c>
      <c r="P2265">
        <v>179.33330000000001</v>
      </c>
      <c r="Q2265">
        <v>6.5</v>
      </c>
      <c r="R2265">
        <v>6.5</v>
      </c>
      <c r="S2265">
        <v>6.5</v>
      </c>
      <c r="T2265">
        <v>96.713888999999995</v>
      </c>
      <c r="W2265" t="s">
        <v>497</v>
      </c>
    </row>
    <row r="2266" spans="1:23" x14ac:dyDescent="0.25">
      <c r="A2266" t="s">
        <v>2717</v>
      </c>
      <c r="B2266" t="str">
        <f t="shared" si="35"/>
        <v>CG1200000624</v>
      </c>
      <c r="C2266" t="s">
        <v>229</v>
      </c>
      <c r="D2266" t="s">
        <v>77</v>
      </c>
      <c r="E2266" t="s">
        <v>82</v>
      </c>
      <c r="F2266">
        <v>10000</v>
      </c>
      <c r="G2266" s="13">
        <v>44642</v>
      </c>
      <c r="H2266" s="13">
        <v>44826</v>
      </c>
      <c r="I2266">
        <v>0</v>
      </c>
      <c r="J2266">
        <v>7306</v>
      </c>
      <c r="K2266">
        <v>7306</v>
      </c>
      <c r="N2266">
        <v>21.739130434782609</v>
      </c>
      <c r="O2266">
        <v>6.6725000000000003</v>
      </c>
      <c r="P2266">
        <v>89.06</v>
      </c>
      <c r="Q2266">
        <v>6.5</v>
      </c>
      <c r="R2266">
        <v>6</v>
      </c>
      <c r="S2266">
        <v>6.5</v>
      </c>
      <c r="T2266">
        <v>96.736744999999999</v>
      </c>
      <c r="W2266" t="s">
        <v>497</v>
      </c>
    </row>
    <row r="2267" spans="1:23" x14ac:dyDescent="0.25">
      <c r="A2267" t="s">
        <v>2718</v>
      </c>
      <c r="B2267" t="str">
        <f t="shared" ref="B2267:B2330" si="36">MID(A2267,1,12)</f>
        <v>GA1200001509</v>
      </c>
      <c r="C2267" t="s">
        <v>227</v>
      </c>
      <c r="D2267" t="s">
        <v>77</v>
      </c>
      <c r="E2267" t="s">
        <v>82</v>
      </c>
      <c r="F2267">
        <v>9500</v>
      </c>
      <c r="G2267" s="13">
        <v>44643</v>
      </c>
      <c r="H2267" s="13">
        <v>44827</v>
      </c>
      <c r="I2267">
        <v>3747</v>
      </c>
      <c r="J2267">
        <v>5753</v>
      </c>
      <c r="K2267">
        <v>9500</v>
      </c>
      <c r="N2267">
        <v>33.333333333333329</v>
      </c>
      <c r="O2267">
        <v>5.9244000000000003</v>
      </c>
      <c r="P2267">
        <v>169.52629999999999</v>
      </c>
      <c r="Q2267">
        <v>5.9244000000000003</v>
      </c>
      <c r="R2267">
        <v>5.5</v>
      </c>
      <c r="S2267">
        <v>5.95</v>
      </c>
      <c r="T2267">
        <v>97.091990999999993</v>
      </c>
      <c r="W2267" t="s">
        <v>497</v>
      </c>
    </row>
    <row r="2268" spans="1:23" x14ac:dyDescent="0.25">
      <c r="A2268" t="s">
        <v>2719</v>
      </c>
      <c r="B2268" t="str">
        <f t="shared" si="36"/>
        <v>TD1200001287</v>
      </c>
      <c r="C2268" t="s">
        <v>237</v>
      </c>
      <c r="D2268" t="s">
        <v>77</v>
      </c>
      <c r="E2268" t="s">
        <v>82</v>
      </c>
      <c r="F2268">
        <v>44000</v>
      </c>
      <c r="G2268" s="13">
        <v>44643</v>
      </c>
      <c r="H2268" s="13">
        <v>44827</v>
      </c>
      <c r="I2268">
        <v>4500</v>
      </c>
      <c r="J2268">
        <v>7000</v>
      </c>
      <c r="K2268">
        <v>11500</v>
      </c>
      <c r="N2268">
        <v>33.333333333333329</v>
      </c>
      <c r="O2268">
        <v>6.6618000000000004</v>
      </c>
      <c r="P2268">
        <v>26.159099999999999</v>
      </c>
      <c r="Q2268">
        <v>6.5</v>
      </c>
      <c r="R2268">
        <v>6.25</v>
      </c>
      <c r="S2268">
        <v>6.5</v>
      </c>
      <c r="T2268">
        <v>96.741804000000002</v>
      </c>
      <c r="W2268" t="s">
        <v>497</v>
      </c>
    </row>
    <row r="2269" spans="1:23" x14ac:dyDescent="0.25">
      <c r="A2269" t="s">
        <v>2720</v>
      </c>
      <c r="B2269" t="str">
        <f t="shared" si="36"/>
        <v>CM1100000940</v>
      </c>
      <c r="C2269" t="s">
        <v>225</v>
      </c>
      <c r="D2269" t="s">
        <v>77</v>
      </c>
      <c r="E2269" t="s">
        <v>78</v>
      </c>
      <c r="F2269">
        <v>10000</v>
      </c>
      <c r="G2269" s="13">
        <v>44648</v>
      </c>
      <c r="H2269" s="13">
        <v>44741</v>
      </c>
      <c r="I2269">
        <v>3500</v>
      </c>
      <c r="J2269">
        <v>500</v>
      </c>
      <c r="K2269">
        <v>4000</v>
      </c>
      <c r="N2269">
        <v>14.285714285714285</v>
      </c>
      <c r="O2269">
        <v>2.5286</v>
      </c>
      <c r="P2269">
        <v>40</v>
      </c>
      <c r="Q2269">
        <v>3</v>
      </c>
      <c r="R2269">
        <v>1.45</v>
      </c>
      <c r="S2269">
        <v>3</v>
      </c>
      <c r="T2269">
        <v>99.364896000000002</v>
      </c>
      <c r="W2269" t="s">
        <v>497</v>
      </c>
    </row>
    <row r="2270" spans="1:23" x14ac:dyDescent="0.25">
      <c r="A2270" t="s">
        <v>2721</v>
      </c>
      <c r="B2270" t="str">
        <f t="shared" si="36"/>
        <v>CG1100000294</v>
      </c>
      <c r="C2270" t="s">
        <v>229</v>
      </c>
      <c r="D2270" t="s">
        <v>77</v>
      </c>
      <c r="E2270" t="s">
        <v>78</v>
      </c>
      <c r="F2270">
        <v>12000</v>
      </c>
      <c r="G2270" s="13">
        <v>44649</v>
      </c>
      <c r="H2270" s="13">
        <v>44742</v>
      </c>
      <c r="I2270">
        <v>6600</v>
      </c>
      <c r="J2270">
        <v>5131</v>
      </c>
      <c r="K2270">
        <v>11731</v>
      </c>
      <c r="N2270">
        <v>21.739130434782609</v>
      </c>
      <c r="O2270">
        <v>6.1249000000000002</v>
      </c>
      <c r="P2270">
        <v>97.758300000000006</v>
      </c>
      <c r="Q2270">
        <v>6.5</v>
      </c>
      <c r="R2270">
        <v>5.5</v>
      </c>
      <c r="S2270">
        <v>6.5</v>
      </c>
      <c r="T2270">
        <v>98.475361000000007</v>
      </c>
      <c r="W2270" t="s">
        <v>497</v>
      </c>
    </row>
    <row r="2271" spans="1:23" x14ac:dyDescent="0.25">
      <c r="A2271" t="s">
        <v>2722</v>
      </c>
      <c r="B2271" t="str">
        <f t="shared" si="36"/>
        <v>GA1100001468</v>
      </c>
      <c r="C2271" t="s">
        <v>227</v>
      </c>
      <c r="D2271" t="s">
        <v>77</v>
      </c>
      <c r="E2271" t="s">
        <v>78</v>
      </c>
      <c r="F2271">
        <v>12000</v>
      </c>
      <c r="G2271" s="13">
        <v>44650</v>
      </c>
      <c r="H2271" s="13">
        <v>44743</v>
      </c>
      <c r="I2271">
        <v>2000</v>
      </c>
      <c r="J2271">
        <v>10000</v>
      </c>
      <c r="K2271">
        <v>12000</v>
      </c>
      <c r="N2271">
        <v>33.333333333333329</v>
      </c>
      <c r="O2271">
        <v>5.6264000000000003</v>
      </c>
      <c r="P2271">
        <v>123.5583</v>
      </c>
      <c r="Q2271">
        <v>5.8</v>
      </c>
      <c r="R2271">
        <v>5.4</v>
      </c>
      <c r="S2271">
        <v>5.8</v>
      </c>
      <c r="T2271">
        <v>98.597714999999994</v>
      </c>
      <c r="W2271" t="s">
        <v>497</v>
      </c>
    </row>
    <row r="2272" spans="1:23" x14ac:dyDescent="0.25">
      <c r="A2272" t="s">
        <v>2723</v>
      </c>
      <c r="B2272" t="str">
        <f t="shared" si="36"/>
        <v>TD1300000585</v>
      </c>
      <c r="C2272" t="s">
        <v>237</v>
      </c>
      <c r="D2272" t="s">
        <v>77</v>
      </c>
      <c r="E2272" t="s">
        <v>287</v>
      </c>
      <c r="F2272">
        <v>20000</v>
      </c>
      <c r="G2272" s="13">
        <v>44650</v>
      </c>
      <c r="H2272" s="13">
        <v>45016</v>
      </c>
      <c r="I2272">
        <v>500</v>
      </c>
      <c r="J2272">
        <v>2000</v>
      </c>
      <c r="K2272">
        <v>2500</v>
      </c>
      <c r="N2272">
        <v>25</v>
      </c>
      <c r="O2272">
        <v>6.9572000000000003</v>
      </c>
      <c r="P2272">
        <v>13.05</v>
      </c>
      <c r="Q2272">
        <v>6.5</v>
      </c>
      <c r="R2272">
        <v>6.5</v>
      </c>
      <c r="S2272">
        <v>6.5</v>
      </c>
      <c r="T2272">
        <v>93.427778000000004</v>
      </c>
      <c r="W2272" t="s">
        <v>497</v>
      </c>
    </row>
    <row r="2273" spans="1:23" x14ac:dyDescent="0.25">
      <c r="A2273" t="s">
        <v>2724</v>
      </c>
      <c r="B2273" t="str">
        <f t="shared" si="36"/>
        <v>CG1300000193</v>
      </c>
      <c r="C2273" t="s">
        <v>229</v>
      </c>
      <c r="D2273" t="s">
        <v>77</v>
      </c>
      <c r="E2273" t="s">
        <v>287</v>
      </c>
      <c r="F2273">
        <v>15000</v>
      </c>
      <c r="G2273" s="13">
        <v>44656</v>
      </c>
      <c r="H2273" s="13">
        <v>45022</v>
      </c>
      <c r="I2273">
        <v>7400</v>
      </c>
      <c r="J2273">
        <v>7345</v>
      </c>
      <c r="K2273">
        <v>14745</v>
      </c>
      <c r="N2273">
        <v>39.130434782608695</v>
      </c>
      <c r="O2273">
        <v>7.0400999999999998</v>
      </c>
      <c r="P2273">
        <v>98.3</v>
      </c>
      <c r="Q2273">
        <v>5.55</v>
      </c>
      <c r="R2273">
        <v>7</v>
      </c>
      <c r="S2273">
        <v>7</v>
      </c>
      <c r="T2273">
        <v>93.354733999999993</v>
      </c>
      <c r="W2273" t="s">
        <v>497</v>
      </c>
    </row>
    <row r="2274" spans="1:23" x14ac:dyDescent="0.25">
      <c r="A2274" t="s">
        <v>2725</v>
      </c>
      <c r="B2274" t="str">
        <f t="shared" si="36"/>
        <v>GA1200001517</v>
      </c>
      <c r="C2274" t="s">
        <v>227</v>
      </c>
      <c r="D2274" t="s">
        <v>77</v>
      </c>
      <c r="E2274" t="s">
        <v>82</v>
      </c>
      <c r="F2274">
        <v>13500</v>
      </c>
      <c r="G2274" s="13">
        <v>44657</v>
      </c>
      <c r="H2274" s="13">
        <v>44841</v>
      </c>
      <c r="I2274">
        <v>0</v>
      </c>
      <c r="J2274">
        <v>13500</v>
      </c>
      <c r="K2274">
        <v>13500</v>
      </c>
      <c r="N2274">
        <v>27.777777777777779</v>
      </c>
      <c r="O2274">
        <v>6.3978999999999999</v>
      </c>
      <c r="P2274">
        <v>118.1778</v>
      </c>
      <c r="Q2274">
        <v>6.5</v>
      </c>
      <c r="R2274">
        <v>5.5</v>
      </c>
      <c r="S2274">
        <v>6.5</v>
      </c>
      <c r="T2274">
        <v>96.866867999999997</v>
      </c>
      <c r="W2274" t="s">
        <v>497</v>
      </c>
    </row>
    <row r="2275" spans="1:23" x14ac:dyDescent="0.25">
      <c r="A2275" t="s">
        <v>2726</v>
      </c>
      <c r="B2275" t="str">
        <f t="shared" si="36"/>
        <v>CG1200000632</v>
      </c>
      <c r="C2275" t="s">
        <v>229</v>
      </c>
      <c r="D2275" t="s">
        <v>77</v>
      </c>
      <c r="E2275" t="s">
        <v>82</v>
      </c>
      <c r="F2275">
        <v>11000</v>
      </c>
      <c r="G2275" s="13">
        <v>44663</v>
      </c>
      <c r="H2275" s="13">
        <v>44847</v>
      </c>
      <c r="I2275">
        <v>2650</v>
      </c>
      <c r="J2275">
        <v>5145</v>
      </c>
      <c r="K2275">
        <v>7795</v>
      </c>
      <c r="N2275">
        <v>13.043478260869565</v>
      </c>
      <c r="O2275">
        <v>6.8924000000000003</v>
      </c>
      <c r="P2275">
        <v>70.863900000000001</v>
      </c>
      <c r="Q2275">
        <v>7</v>
      </c>
      <c r="R2275">
        <v>6</v>
      </c>
      <c r="S2275">
        <v>7</v>
      </c>
      <c r="T2275">
        <v>96.632818</v>
      </c>
      <c r="W2275" t="s">
        <v>497</v>
      </c>
    </row>
    <row r="2276" spans="1:23" x14ac:dyDescent="0.25">
      <c r="A2276" t="s">
        <v>2727</v>
      </c>
      <c r="B2276" t="str">
        <f t="shared" si="36"/>
        <v>GA1200001525</v>
      </c>
      <c r="C2276" t="s">
        <v>227</v>
      </c>
      <c r="D2276" t="s">
        <v>77</v>
      </c>
      <c r="E2276" t="s">
        <v>82</v>
      </c>
      <c r="F2276">
        <v>9500</v>
      </c>
      <c r="G2276" s="13">
        <v>44664</v>
      </c>
      <c r="H2276" s="13">
        <v>44848</v>
      </c>
      <c r="I2276">
        <v>1186</v>
      </c>
      <c r="J2276">
        <v>8314</v>
      </c>
      <c r="K2276">
        <v>9500</v>
      </c>
      <c r="N2276">
        <v>44.444444444444443</v>
      </c>
      <c r="O2276">
        <v>6.3863000000000003</v>
      </c>
      <c r="P2276">
        <v>202.98949999999999</v>
      </c>
      <c r="Q2276">
        <v>6.5</v>
      </c>
      <c r="R2276">
        <v>5.5</v>
      </c>
      <c r="S2276">
        <v>6.5</v>
      </c>
      <c r="T2276">
        <v>96.872337999999999</v>
      </c>
      <c r="W2276" t="s">
        <v>497</v>
      </c>
    </row>
    <row r="2277" spans="1:23" x14ac:dyDescent="0.25">
      <c r="A2277" t="s">
        <v>2728</v>
      </c>
      <c r="B2277" t="str">
        <f t="shared" si="36"/>
        <v>GQ1300001138</v>
      </c>
      <c r="C2277" t="s">
        <v>528</v>
      </c>
      <c r="D2277" t="s">
        <v>77</v>
      </c>
      <c r="E2277" t="s">
        <v>287</v>
      </c>
      <c r="F2277">
        <v>20000</v>
      </c>
      <c r="G2277" s="13">
        <v>44663</v>
      </c>
      <c r="H2277" s="13">
        <v>45029</v>
      </c>
      <c r="I2277">
        <v>9810</v>
      </c>
      <c r="J2277">
        <v>10190</v>
      </c>
      <c r="K2277">
        <v>20000</v>
      </c>
      <c r="N2277">
        <v>50</v>
      </c>
      <c r="O2277">
        <v>8.3104999999999993</v>
      </c>
      <c r="P2277">
        <v>184.85</v>
      </c>
      <c r="Q2277">
        <v>7.9</v>
      </c>
      <c r="R2277">
        <v>6.6</v>
      </c>
      <c r="S2277">
        <v>7.9</v>
      </c>
      <c r="T2277">
        <v>92.248531999999997</v>
      </c>
      <c r="W2277" t="s">
        <v>497</v>
      </c>
    </row>
    <row r="2278" spans="1:23" x14ac:dyDescent="0.25">
      <c r="A2278" t="s">
        <v>2729</v>
      </c>
      <c r="B2278" t="str">
        <f t="shared" si="36"/>
        <v>TD1200001295</v>
      </c>
      <c r="C2278" t="s">
        <v>237</v>
      </c>
      <c r="D2278" t="s">
        <v>77</v>
      </c>
      <c r="E2278" t="s">
        <v>82</v>
      </c>
      <c r="F2278">
        <v>24000</v>
      </c>
      <c r="G2278" s="13">
        <v>44664</v>
      </c>
      <c r="H2278" s="13">
        <v>44848</v>
      </c>
      <c r="I2278">
        <v>3361</v>
      </c>
      <c r="J2278">
        <v>0</v>
      </c>
      <c r="K2278">
        <v>3361</v>
      </c>
      <c r="N2278">
        <v>16.666666666666664</v>
      </c>
      <c r="O2278">
        <v>6.7870999999999997</v>
      </c>
      <c r="P2278">
        <v>14.0458</v>
      </c>
      <c r="Q2278">
        <v>6.6</v>
      </c>
      <c r="R2278">
        <v>6.52</v>
      </c>
      <c r="S2278">
        <v>6.6</v>
      </c>
      <c r="T2278">
        <v>96.682569000000001</v>
      </c>
      <c r="W2278" t="s">
        <v>497</v>
      </c>
    </row>
    <row r="2279" spans="1:23" x14ac:dyDescent="0.25">
      <c r="A2279" t="s">
        <v>2730</v>
      </c>
      <c r="B2279" t="str">
        <f t="shared" si="36"/>
        <v>CG1100000302</v>
      </c>
      <c r="C2279" t="s">
        <v>229</v>
      </c>
      <c r="D2279" t="s">
        <v>77</v>
      </c>
      <c r="E2279" t="s">
        <v>78</v>
      </c>
      <c r="F2279">
        <v>8000</v>
      </c>
      <c r="G2279" s="13">
        <v>44670</v>
      </c>
      <c r="H2279" s="13">
        <v>44763</v>
      </c>
      <c r="I2279">
        <v>5025</v>
      </c>
      <c r="J2279">
        <v>2975</v>
      </c>
      <c r="K2279">
        <v>8000</v>
      </c>
      <c r="N2279">
        <v>30.434782608695656</v>
      </c>
      <c r="O2279">
        <v>6.2907999999999999</v>
      </c>
      <c r="P2279">
        <v>148.9375</v>
      </c>
      <c r="Q2279">
        <v>6.5</v>
      </c>
      <c r="R2279">
        <v>5.9</v>
      </c>
      <c r="S2279">
        <v>6.5</v>
      </c>
      <c r="T2279">
        <v>98.434713000000002</v>
      </c>
      <c r="W2279" t="s">
        <v>497</v>
      </c>
    </row>
    <row r="2280" spans="1:23" x14ac:dyDescent="0.25">
      <c r="A2280" t="s">
        <v>2731</v>
      </c>
      <c r="B2280" t="str">
        <f t="shared" si="36"/>
        <v>GA1100001476</v>
      </c>
      <c r="C2280" t="s">
        <v>227</v>
      </c>
      <c r="D2280" t="s">
        <v>77</v>
      </c>
      <c r="E2280" t="s">
        <v>78</v>
      </c>
      <c r="F2280">
        <v>12000</v>
      </c>
      <c r="G2280" s="13">
        <v>44671</v>
      </c>
      <c r="H2280" s="13">
        <v>44764</v>
      </c>
      <c r="I2280">
        <v>5400</v>
      </c>
      <c r="J2280">
        <v>5208</v>
      </c>
      <c r="K2280">
        <v>10608</v>
      </c>
      <c r="N2280">
        <v>33.333333333333329</v>
      </c>
      <c r="O2280">
        <v>5.774</v>
      </c>
      <c r="P2280">
        <v>105.0667</v>
      </c>
      <c r="Q2280">
        <v>6.05</v>
      </c>
      <c r="R2280">
        <v>5</v>
      </c>
      <c r="S2280">
        <v>6.05</v>
      </c>
      <c r="T2280">
        <v>98.561469000000002</v>
      </c>
      <c r="W2280" t="s">
        <v>497</v>
      </c>
    </row>
    <row r="2281" spans="1:23" x14ac:dyDescent="0.25">
      <c r="A2281" t="s">
        <v>2732</v>
      </c>
      <c r="B2281" t="str">
        <f t="shared" si="36"/>
        <v>GQ1300001146</v>
      </c>
      <c r="C2281" t="s">
        <v>528</v>
      </c>
      <c r="D2281" t="s">
        <v>77</v>
      </c>
      <c r="E2281" t="s">
        <v>287</v>
      </c>
      <c r="F2281">
        <v>17000</v>
      </c>
      <c r="G2281" s="13">
        <v>44670</v>
      </c>
      <c r="H2281" s="13">
        <v>45036</v>
      </c>
      <c r="I2281">
        <v>13521</v>
      </c>
      <c r="J2281">
        <v>3479</v>
      </c>
      <c r="K2281">
        <v>17000</v>
      </c>
      <c r="N2281">
        <v>50</v>
      </c>
      <c r="O2281">
        <v>7.0217000000000001</v>
      </c>
      <c r="P2281">
        <v>213.05289999999999</v>
      </c>
      <c r="Q2281">
        <v>7.5</v>
      </c>
      <c r="R2281">
        <v>4.5</v>
      </c>
      <c r="S2281">
        <v>7.5</v>
      </c>
      <c r="T2281">
        <v>93.370918000000003</v>
      </c>
      <c r="W2281" t="s">
        <v>497</v>
      </c>
    </row>
    <row r="2282" spans="1:23" x14ac:dyDescent="0.25">
      <c r="A2282" t="s">
        <v>2733</v>
      </c>
      <c r="B2282" t="str">
        <f t="shared" si="36"/>
        <v>TD1200001303</v>
      </c>
      <c r="C2282" t="s">
        <v>237</v>
      </c>
      <c r="D2282" t="s">
        <v>77</v>
      </c>
      <c r="E2282" t="s">
        <v>82</v>
      </c>
      <c r="F2282">
        <v>10000</v>
      </c>
      <c r="G2282" s="13">
        <v>44671</v>
      </c>
      <c r="H2282" s="13">
        <v>44855</v>
      </c>
      <c r="I2282">
        <v>6000</v>
      </c>
      <c r="J2282">
        <v>0</v>
      </c>
      <c r="K2282">
        <v>6000</v>
      </c>
      <c r="N2282">
        <v>16.666666666666664</v>
      </c>
      <c r="O2282">
        <v>6.7209000000000003</v>
      </c>
      <c r="P2282">
        <v>60.1</v>
      </c>
      <c r="Q2282">
        <v>6.5</v>
      </c>
      <c r="R2282">
        <v>6.5</v>
      </c>
      <c r="S2282">
        <v>6.5</v>
      </c>
      <c r="T2282">
        <v>96.713888999999995</v>
      </c>
      <c r="W2282" t="s">
        <v>497</v>
      </c>
    </row>
    <row r="2283" spans="1:23" x14ac:dyDescent="0.25">
      <c r="A2283" t="s">
        <v>2734</v>
      </c>
      <c r="B2283" t="str">
        <f t="shared" si="36"/>
        <v>CG1200000640</v>
      </c>
      <c r="C2283" t="s">
        <v>229</v>
      </c>
      <c r="D2283" t="s">
        <v>77</v>
      </c>
      <c r="E2283" t="s">
        <v>82</v>
      </c>
      <c r="F2283">
        <v>10000</v>
      </c>
      <c r="G2283" s="13">
        <v>44677</v>
      </c>
      <c r="H2283" s="13">
        <v>44861</v>
      </c>
      <c r="I2283">
        <v>0</v>
      </c>
      <c r="J2283">
        <v>4009</v>
      </c>
      <c r="K2283">
        <v>4009</v>
      </c>
      <c r="N2283">
        <v>26.086956521739129</v>
      </c>
      <c r="O2283">
        <v>6.5496999999999996</v>
      </c>
      <c r="P2283">
        <v>95.19</v>
      </c>
      <c r="Q2283">
        <v>6.5</v>
      </c>
      <c r="R2283">
        <v>6</v>
      </c>
      <c r="S2283">
        <v>6.5</v>
      </c>
      <c r="T2283">
        <v>96.794910999999999</v>
      </c>
      <c r="W2283" t="s">
        <v>497</v>
      </c>
    </row>
    <row r="2284" spans="1:23" x14ac:dyDescent="0.25">
      <c r="A2284" t="s">
        <v>2735</v>
      </c>
      <c r="B2284" t="str">
        <f t="shared" si="36"/>
        <v>GA1100001484</v>
      </c>
      <c r="C2284" t="s">
        <v>227</v>
      </c>
      <c r="D2284" t="s">
        <v>77</v>
      </c>
      <c r="E2284" t="s">
        <v>78</v>
      </c>
      <c r="F2284">
        <v>13500</v>
      </c>
      <c r="G2284" s="13">
        <v>44678</v>
      </c>
      <c r="H2284" s="13">
        <v>44771</v>
      </c>
      <c r="I2284">
        <v>9325</v>
      </c>
      <c r="J2284">
        <v>4175</v>
      </c>
      <c r="K2284">
        <v>13500</v>
      </c>
      <c r="N2284">
        <v>22.222222222222221</v>
      </c>
      <c r="O2284">
        <v>5.8543000000000003</v>
      </c>
      <c r="P2284">
        <v>148.37039999999999</v>
      </c>
      <c r="Q2284">
        <v>5.9</v>
      </c>
      <c r="R2284">
        <v>5.6</v>
      </c>
      <c r="S2284">
        <v>5.9</v>
      </c>
      <c r="T2284">
        <v>98.541734000000005</v>
      </c>
      <c r="W2284" t="s">
        <v>497</v>
      </c>
    </row>
    <row r="2285" spans="1:23" x14ac:dyDescent="0.25">
      <c r="A2285" t="s">
        <v>2736</v>
      </c>
      <c r="B2285" t="str">
        <f t="shared" si="36"/>
        <v>TD1200001311</v>
      </c>
      <c r="C2285" t="s">
        <v>237</v>
      </c>
      <c r="D2285" t="s">
        <v>77</v>
      </c>
      <c r="E2285" t="s">
        <v>82</v>
      </c>
      <c r="F2285">
        <v>20000</v>
      </c>
      <c r="G2285" s="13">
        <v>44678</v>
      </c>
      <c r="H2285" s="13">
        <v>44862</v>
      </c>
      <c r="I2285">
        <v>0</v>
      </c>
      <c r="J2285">
        <v>11019</v>
      </c>
      <c r="K2285">
        <v>11019</v>
      </c>
      <c r="N2285">
        <v>25</v>
      </c>
      <c r="O2285">
        <v>6.7209000000000003</v>
      </c>
      <c r="P2285">
        <v>57.594999999999999</v>
      </c>
      <c r="Q2285">
        <v>6.5</v>
      </c>
      <c r="R2285">
        <v>6.5</v>
      </c>
      <c r="S2285">
        <v>6.5</v>
      </c>
      <c r="T2285">
        <v>96.713888999999995</v>
      </c>
      <c r="W2285" t="s">
        <v>497</v>
      </c>
    </row>
    <row r="2286" spans="1:23" x14ac:dyDescent="0.25">
      <c r="A2286" t="s">
        <v>2737</v>
      </c>
      <c r="B2286" t="str">
        <f t="shared" si="36"/>
        <v>CG1100000310</v>
      </c>
      <c r="C2286" t="s">
        <v>229</v>
      </c>
      <c r="D2286" t="s">
        <v>77</v>
      </c>
      <c r="E2286" t="s">
        <v>78</v>
      </c>
      <c r="F2286">
        <v>7000</v>
      </c>
      <c r="G2286" s="13">
        <v>44684</v>
      </c>
      <c r="H2286" s="13">
        <v>44777</v>
      </c>
      <c r="I2286">
        <v>3850</v>
      </c>
      <c r="J2286">
        <v>1700</v>
      </c>
      <c r="K2286">
        <v>5550</v>
      </c>
      <c r="N2286">
        <v>17.391304347826086</v>
      </c>
      <c r="O2286">
        <v>6.2122999999999999</v>
      </c>
      <c r="P2286">
        <v>79.285700000000006</v>
      </c>
      <c r="Q2286">
        <v>6.5</v>
      </c>
      <c r="R2286">
        <v>5.6</v>
      </c>
      <c r="S2286">
        <v>6.5</v>
      </c>
      <c r="T2286">
        <v>98.453956000000005</v>
      </c>
      <c r="W2286" t="s">
        <v>497</v>
      </c>
    </row>
    <row r="2287" spans="1:23" x14ac:dyDescent="0.25">
      <c r="A2287" t="s">
        <v>2738</v>
      </c>
      <c r="B2287" t="str">
        <f t="shared" si="36"/>
        <v>GA1300000542</v>
      </c>
      <c r="C2287" t="s">
        <v>227</v>
      </c>
      <c r="D2287" t="s">
        <v>77</v>
      </c>
      <c r="E2287" t="s">
        <v>287</v>
      </c>
      <c r="F2287">
        <v>12000</v>
      </c>
      <c r="G2287" s="13">
        <v>44685</v>
      </c>
      <c r="H2287" s="13">
        <v>45051</v>
      </c>
      <c r="I2287">
        <v>5000</v>
      </c>
      <c r="J2287">
        <v>4494</v>
      </c>
      <c r="K2287">
        <v>9494</v>
      </c>
      <c r="N2287">
        <v>38.888888888888893</v>
      </c>
      <c r="O2287">
        <v>6.7438000000000002</v>
      </c>
      <c r="P2287">
        <v>100.0333</v>
      </c>
      <c r="Q2287">
        <v>6.55</v>
      </c>
      <c r="R2287">
        <v>5.75</v>
      </c>
      <c r="S2287">
        <v>6.55</v>
      </c>
      <c r="T2287">
        <v>93.616495999999998</v>
      </c>
      <c r="W2287" t="s">
        <v>497</v>
      </c>
    </row>
    <row r="2288" spans="1:23" x14ac:dyDescent="0.25">
      <c r="A2288" t="s">
        <v>2739</v>
      </c>
      <c r="B2288" t="str">
        <f t="shared" si="36"/>
        <v>TD1300000593</v>
      </c>
      <c r="C2288" t="s">
        <v>237</v>
      </c>
      <c r="D2288" t="s">
        <v>77</v>
      </c>
      <c r="E2288" t="s">
        <v>287</v>
      </c>
      <c r="F2288">
        <v>20000</v>
      </c>
      <c r="G2288" s="13">
        <v>44685</v>
      </c>
      <c r="H2288" s="13"/>
      <c r="J2288">
        <v>0</v>
      </c>
      <c r="N2288" t="e">
        <v>#VALUE!</v>
      </c>
      <c r="W2288" t="s">
        <v>497</v>
      </c>
    </row>
    <row r="2289" spans="1:23" x14ac:dyDescent="0.25">
      <c r="A2289" t="s">
        <v>2740</v>
      </c>
      <c r="B2289" t="str">
        <f t="shared" si="36"/>
        <v>CG1200000657</v>
      </c>
      <c r="C2289" t="s">
        <v>229</v>
      </c>
      <c r="D2289" t="s">
        <v>77</v>
      </c>
      <c r="E2289" t="s">
        <v>82</v>
      </c>
      <c r="F2289">
        <v>12000</v>
      </c>
      <c r="G2289" s="13">
        <v>44691</v>
      </c>
      <c r="H2289" s="13">
        <v>44875</v>
      </c>
      <c r="I2289">
        <v>1500</v>
      </c>
      <c r="J2289">
        <v>10500</v>
      </c>
      <c r="K2289">
        <v>12000</v>
      </c>
      <c r="N2289">
        <v>13.043478260869565</v>
      </c>
      <c r="O2289">
        <v>6.7851999999999997</v>
      </c>
      <c r="P2289">
        <v>113.2333</v>
      </c>
      <c r="Q2289">
        <v>7</v>
      </c>
      <c r="R2289">
        <v>6</v>
      </c>
      <c r="S2289">
        <v>7</v>
      </c>
      <c r="T2289">
        <v>96.683470999999997</v>
      </c>
      <c r="W2289" t="s">
        <v>497</v>
      </c>
    </row>
    <row r="2290" spans="1:23" x14ac:dyDescent="0.25">
      <c r="A2290" t="s">
        <v>2741</v>
      </c>
      <c r="B2290" t="str">
        <f t="shared" si="36"/>
        <v>GQ1300001153</v>
      </c>
      <c r="C2290" t="s">
        <v>528</v>
      </c>
      <c r="D2290" t="s">
        <v>77</v>
      </c>
      <c r="E2290" t="s">
        <v>287</v>
      </c>
      <c r="F2290">
        <v>15000</v>
      </c>
      <c r="G2290" s="13">
        <v>44691</v>
      </c>
      <c r="H2290" s="13">
        <v>45057</v>
      </c>
      <c r="I2290">
        <v>14382</v>
      </c>
      <c r="J2290">
        <v>618</v>
      </c>
      <c r="K2290">
        <v>15000</v>
      </c>
      <c r="N2290">
        <v>33.333333333333329</v>
      </c>
      <c r="O2290">
        <v>7.6811999999999996</v>
      </c>
      <c r="P2290">
        <v>129.77330000000001</v>
      </c>
      <c r="Q2290">
        <v>7.5</v>
      </c>
      <c r="R2290">
        <v>5.0999999999999996</v>
      </c>
      <c r="S2290">
        <v>7.5</v>
      </c>
      <c r="T2290">
        <v>92.793190999999993</v>
      </c>
      <c r="W2290" t="s">
        <v>497</v>
      </c>
    </row>
    <row r="2291" spans="1:23" x14ac:dyDescent="0.25">
      <c r="A2291" t="s">
        <v>2742</v>
      </c>
      <c r="B2291" t="str">
        <f t="shared" si="36"/>
        <v>TD1200001329</v>
      </c>
      <c r="C2291" t="s">
        <v>237</v>
      </c>
      <c r="D2291" t="s">
        <v>77</v>
      </c>
      <c r="E2291" t="s">
        <v>82</v>
      </c>
      <c r="F2291">
        <v>30000</v>
      </c>
      <c r="G2291" s="13">
        <v>44691</v>
      </c>
      <c r="H2291" s="13">
        <v>44876</v>
      </c>
      <c r="I2291">
        <v>5500</v>
      </c>
      <c r="J2291">
        <v>5139</v>
      </c>
      <c r="K2291">
        <v>10639</v>
      </c>
      <c r="N2291">
        <v>16.666666666666664</v>
      </c>
      <c r="O2291">
        <v>6.7209000000000003</v>
      </c>
      <c r="P2291">
        <v>35.463299999999997</v>
      </c>
      <c r="Q2291">
        <v>6.5</v>
      </c>
      <c r="R2291">
        <v>6.5</v>
      </c>
      <c r="S2291">
        <v>6.5</v>
      </c>
      <c r="T2291">
        <v>96.713888999999995</v>
      </c>
      <c r="W2291" t="s">
        <v>497</v>
      </c>
    </row>
    <row r="2292" spans="1:23" x14ac:dyDescent="0.25">
      <c r="A2292" t="s">
        <v>2743</v>
      </c>
      <c r="B2292" t="str">
        <f t="shared" si="36"/>
        <v>GA1100001492</v>
      </c>
      <c r="C2292" t="s">
        <v>227</v>
      </c>
      <c r="D2292" t="s">
        <v>77</v>
      </c>
      <c r="E2292" t="s">
        <v>78</v>
      </c>
      <c r="F2292">
        <v>8000</v>
      </c>
      <c r="G2292" s="13">
        <v>44699</v>
      </c>
      <c r="H2292" s="13">
        <v>44792</v>
      </c>
      <c r="I2292">
        <v>5415</v>
      </c>
      <c r="J2292">
        <v>2585</v>
      </c>
      <c r="K2292">
        <v>8000</v>
      </c>
      <c r="N2292">
        <v>38.888888888888893</v>
      </c>
      <c r="O2292">
        <v>5.7877999999999998</v>
      </c>
      <c r="P2292">
        <v>135.125</v>
      </c>
      <c r="Q2292">
        <v>5.8</v>
      </c>
      <c r="R2292">
        <v>5.35</v>
      </c>
      <c r="S2292">
        <v>5.8</v>
      </c>
      <c r="T2292">
        <v>98.558060999999995</v>
      </c>
      <c r="W2292" t="s">
        <v>497</v>
      </c>
    </row>
    <row r="2293" spans="1:23" x14ac:dyDescent="0.25">
      <c r="A2293" t="s">
        <v>2744</v>
      </c>
      <c r="B2293" t="str">
        <f t="shared" si="36"/>
        <v>TD1200001337</v>
      </c>
      <c r="C2293" t="s">
        <v>237</v>
      </c>
      <c r="D2293" t="s">
        <v>77</v>
      </c>
      <c r="E2293" t="s">
        <v>82</v>
      </c>
      <c r="F2293">
        <v>25452</v>
      </c>
      <c r="G2293" s="13">
        <v>44699</v>
      </c>
      <c r="H2293" s="13">
        <v>44883</v>
      </c>
      <c r="I2293">
        <v>2700</v>
      </c>
      <c r="J2293">
        <v>1062</v>
      </c>
      <c r="K2293">
        <v>3762</v>
      </c>
      <c r="N2293">
        <v>16.666666666666664</v>
      </c>
      <c r="O2293">
        <v>6.7816999999999998</v>
      </c>
      <c r="P2293">
        <v>14.780799999999999</v>
      </c>
      <c r="Q2293">
        <v>6.62</v>
      </c>
      <c r="R2293">
        <v>6.5</v>
      </c>
      <c r="S2293">
        <v>6.62</v>
      </c>
      <c r="T2293">
        <v>96.685130999999998</v>
      </c>
      <c r="W2293" t="s">
        <v>497</v>
      </c>
    </row>
    <row r="2294" spans="1:23" x14ac:dyDescent="0.25">
      <c r="A2294" t="s">
        <v>2745</v>
      </c>
      <c r="B2294" t="str">
        <f t="shared" si="36"/>
        <v>CG1200000665</v>
      </c>
      <c r="C2294" t="s">
        <v>229</v>
      </c>
      <c r="D2294" t="s">
        <v>77</v>
      </c>
      <c r="E2294" t="s">
        <v>82</v>
      </c>
      <c r="F2294">
        <v>12000</v>
      </c>
      <c r="G2294" s="13">
        <v>44705</v>
      </c>
      <c r="H2294" s="13"/>
      <c r="J2294">
        <v>0</v>
      </c>
      <c r="N2294" t="e">
        <v>#VALUE!</v>
      </c>
      <c r="W2294" t="s">
        <v>497</v>
      </c>
    </row>
    <row r="2295" spans="1:23" x14ac:dyDescent="0.25">
      <c r="A2295" t="s">
        <v>2746</v>
      </c>
      <c r="B2295" t="str">
        <f t="shared" si="36"/>
        <v>GA1200001533</v>
      </c>
      <c r="C2295" t="s">
        <v>227</v>
      </c>
      <c r="D2295" t="s">
        <v>77</v>
      </c>
      <c r="E2295" t="s">
        <v>82</v>
      </c>
      <c r="F2295">
        <v>8500</v>
      </c>
      <c r="G2295" s="13">
        <v>44706</v>
      </c>
      <c r="H2295" s="13">
        <v>44890</v>
      </c>
      <c r="I2295">
        <v>3179</v>
      </c>
      <c r="J2295">
        <v>5321</v>
      </c>
      <c r="K2295">
        <v>8500</v>
      </c>
      <c r="N2295">
        <v>38.888888888888893</v>
      </c>
      <c r="O2295">
        <v>5.6715999999999998</v>
      </c>
      <c r="P2295">
        <v>199.29409999999999</v>
      </c>
      <c r="Q2295">
        <v>6</v>
      </c>
      <c r="R2295">
        <v>5.3</v>
      </c>
      <c r="S2295">
        <v>6</v>
      </c>
      <c r="T2295">
        <v>97.212604999999996</v>
      </c>
      <c r="W2295" t="s">
        <v>497</v>
      </c>
    </row>
    <row r="2296" spans="1:23" x14ac:dyDescent="0.25">
      <c r="A2296" t="s">
        <v>2747</v>
      </c>
      <c r="B2296" t="str">
        <f t="shared" si="36"/>
        <v>TD1300000601</v>
      </c>
      <c r="C2296" t="s">
        <v>237</v>
      </c>
      <c r="D2296" t="s">
        <v>77</v>
      </c>
      <c r="E2296" t="s">
        <v>287</v>
      </c>
      <c r="F2296">
        <v>10000</v>
      </c>
      <c r="G2296" s="13">
        <v>44706</v>
      </c>
      <c r="H2296" s="13"/>
      <c r="J2296">
        <v>0</v>
      </c>
      <c r="N2296" t="e">
        <v>#VALUE!</v>
      </c>
      <c r="W2296" t="s">
        <v>497</v>
      </c>
    </row>
    <row r="2297" spans="1:23" x14ac:dyDescent="0.25">
      <c r="A2297" t="s">
        <v>2748</v>
      </c>
      <c r="B2297" t="str">
        <f t="shared" si="36"/>
        <v>CG1100000328</v>
      </c>
      <c r="C2297" t="s">
        <v>229</v>
      </c>
      <c r="D2297" t="s">
        <v>77</v>
      </c>
      <c r="E2297" t="s">
        <v>78</v>
      </c>
      <c r="F2297">
        <v>8000</v>
      </c>
      <c r="G2297" s="13">
        <v>44712</v>
      </c>
      <c r="H2297" s="13">
        <v>44805</v>
      </c>
      <c r="I2297">
        <v>50</v>
      </c>
      <c r="J2297">
        <v>5524</v>
      </c>
      <c r="K2297">
        <v>5574</v>
      </c>
      <c r="N2297">
        <v>17.391304347826086</v>
      </c>
      <c r="O2297">
        <v>6.7408999999999999</v>
      </c>
      <c r="P2297">
        <v>69.674999999999997</v>
      </c>
      <c r="Q2297">
        <v>6.75</v>
      </c>
      <c r="R2297">
        <v>6</v>
      </c>
      <c r="S2297">
        <v>6.75</v>
      </c>
      <c r="T2297">
        <v>98.324610000000007</v>
      </c>
      <c r="W2297" t="s">
        <v>497</v>
      </c>
    </row>
    <row r="2298" spans="1:23" x14ac:dyDescent="0.25">
      <c r="A2298" t="s">
        <v>2749</v>
      </c>
      <c r="B2298" t="str">
        <f t="shared" si="36"/>
        <v>GA1100001500</v>
      </c>
      <c r="C2298" t="s">
        <v>227</v>
      </c>
      <c r="D2298" t="s">
        <v>77</v>
      </c>
      <c r="E2298" t="s">
        <v>78</v>
      </c>
      <c r="F2298">
        <v>8000</v>
      </c>
      <c r="G2298" s="13">
        <v>44713</v>
      </c>
      <c r="H2298" s="13">
        <v>44806</v>
      </c>
      <c r="I2298">
        <v>3100</v>
      </c>
      <c r="J2298">
        <v>4580</v>
      </c>
      <c r="K2298">
        <v>7680</v>
      </c>
      <c r="N2298">
        <v>33.333333333333329</v>
      </c>
      <c r="O2298">
        <v>5.4683999999999999</v>
      </c>
      <c r="P2298">
        <v>114.75</v>
      </c>
      <c r="Q2298">
        <v>5.7</v>
      </c>
      <c r="R2298">
        <v>5</v>
      </c>
      <c r="S2298">
        <v>5.7</v>
      </c>
      <c r="T2298">
        <v>98.636546999999993</v>
      </c>
      <c r="W2298" t="s">
        <v>497</v>
      </c>
    </row>
    <row r="2299" spans="1:23" x14ac:dyDescent="0.25">
      <c r="A2299" t="s">
        <v>2750</v>
      </c>
      <c r="B2299" t="str">
        <f t="shared" si="36"/>
        <v>TD1200001345</v>
      </c>
      <c r="C2299" t="s">
        <v>237</v>
      </c>
      <c r="D2299" t="s">
        <v>77</v>
      </c>
      <c r="E2299" t="s">
        <v>82</v>
      </c>
      <c r="F2299">
        <v>35022</v>
      </c>
      <c r="G2299" s="13">
        <v>44713</v>
      </c>
      <c r="H2299" s="13">
        <v>44897</v>
      </c>
      <c r="I2299">
        <v>10500</v>
      </c>
      <c r="J2299">
        <v>2005</v>
      </c>
      <c r="K2299">
        <v>12505</v>
      </c>
      <c r="N2299">
        <v>25</v>
      </c>
      <c r="O2299">
        <v>6.7636000000000003</v>
      </c>
      <c r="P2299">
        <v>35.706099999999999</v>
      </c>
      <c r="Q2299">
        <v>6.75</v>
      </c>
      <c r="R2299">
        <v>6.5</v>
      </c>
      <c r="S2299">
        <v>6.75</v>
      </c>
      <c r="T2299">
        <v>96.693674999999999</v>
      </c>
      <c r="W2299" t="s">
        <v>497</v>
      </c>
    </row>
    <row r="2300" spans="1:23" x14ac:dyDescent="0.25">
      <c r="A2300" t="s">
        <v>2751</v>
      </c>
      <c r="B2300" t="str">
        <f t="shared" si="36"/>
        <v>CG1200000673</v>
      </c>
      <c r="C2300" t="s">
        <v>229</v>
      </c>
      <c r="D2300" t="s">
        <v>77</v>
      </c>
      <c r="E2300" t="s">
        <v>82</v>
      </c>
      <c r="F2300">
        <v>11000</v>
      </c>
      <c r="G2300" s="13">
        <v>44719</v>
      </c>
      <c r="H2300" s="13">
        <v>44903</v>
      </c>
      <c r="I2300">
        <v>26</v>
      </c>
      <c r="J2300">
        <v>10480</v>
      </c>
      <c r="K2300">
        <v>10506</v>
      </c>
      <c r="N2300">
        <v>17.391304347826086</v>
      </c>
      <c r="O2300">
        <v>7.0012999999999996</v>
      </c>
      <c r="P2300">
        <v>95.509100000000004</v>
      </c>
      <c r="Q2300">
        <v>7</v>
      </c>
      <c r="R2300">
        <v>6</v>
      </c>
      <c r="S2300">
        <v>7</v>
      </c>
      <c r="T2300">
        <v>96.581461000000004</v>
      </c>
      <c r="W2300" t="s">
        <v>497</v>
      </c>
    </row>
    <row r="2301" spans="1:23" x14ac:dyDescent="0.25">
      <c r="A2301" t="s">
        <v>2752</v>
      </c>
      <c r="B2301" t="str">
        <f t="shared" si="36"/>
        <v>GA1300000559</v>
      </c>
      <c r="C2301" t="s">
        <v>227</v>
      </c>
      <c r="D2301" t="s">
        <v>77</v>
      </c>
      <c r="E2301" t="s">
        <v>287</v>
      </c>
      <c r="F2301">
        <v>12000</v>
      </c>
      <c r="G2301" s="13">
        <v>44720</v>
      </c>
      <c r="H2301" s="13">
        <v>45086</v>
      </c>
      <c r="I2301">
        <v>5093</v>
      </c>
      <c r="J2301">
        <v>6907</v>
      </c>
      <c r="K2301">
        <v>12000</v>
      </c>
      <c r="N2301">
        <v>22.222222222222221</v>
      </c>
      <c r="O2301">
        <v>6.4580000000000002</v>
      </c>
      <c r="P2301">
        <v>112.575</v>
      </c>
      <c r="Q2301">
        <v>6.5</v>
      </c>
      <c r="R2301">
        <v>5.75</v>
      </c>
      <c r="S2301">
        <v>6.5</v>
      </c>
      <c r="T2301">
        <v>93.870518000000004</v>
      </c>
      <c r="W2301" t="s">
        <v>497</v>
      </c>
    </row>
    <row r="2302" spans="1:23" x14ac:dyDescent="0.25">
      <c r="A2302" t="s">
        <v>2753</v>
      </c>
      <c r="B2302" t="str">
        <f t="shared" si="36"/>
        <v>TD1200001352</v>
      </c>
      <c r="C2302" t="s">
        <v>237</v>
      </c>
      <c r="D2302" t="s">
        <v>77</v>
      </c>
      <c r="E2302" t="s">
        <v>82</v>
      </c>
      <c r="F2302">
        <v>20000</v>
      </c>
      <c r="G2302" s="13">
        <v>44720</v>
      </c>
      <c r="H2302" s="13">
        <v>44904</v>
      </c>
      <c r="I2302">
        <v>2000</v>
      </c>
      <c r="J2302">
        <v>28</v>
      </c>
      <c r="K2302">
        <v>2028</v>
      </c>
      <c r="N2302">
        <v>16.666666666666664</v>
      </c>
      <c r="O2302">
        <v>6.7244999999999999</v>
      </c>
      <c r="P2302">
        <v>10.14</v>
      </c>
      <c r="Q2302">
        <v>6.75</v>
      </c>
      <c r="R2302">
        <v>6.5</v>
      </c>
      <c r="S2302">
        <v>6.75</v>
      </c>
      <c r="T2302">
        <v>96.712143999999995</v>
      </c>
      <c r="W2302" t="s">
        <v>497</v>
      </c>
    </row>
    <row r="2303" spans="1:23" x14ac:dyDescent="0.25">
      <c r="A2303" t="s">
        <v>2754</v>
      </c>
      <c r="B2303" t="str">
        <f t="shared" si="36"/>
        <v>CG1100000336</v>
      </c>
      <c r="C2303" t="s">
        <v>229</v>
      </c>
      <c r="D2303" t="s">
        <v>77</v>
      </c>
      <c r="E2303" t="s">
        <v>78</v>
      </c>
      <c r="F2303">
        <v>10000</v>
      </c>
      <c r="G2303" s="13">
        <v>44726</v>
      </c>
      <c r="H2303" s="13">
        <v>44819</v>
      </c>
      <c r="I2303">
        <v>6560</v>
      </c>
      <c r="J2303">
        <v>3440</v>
      </c>
      <c r="K2303">
        <v>10000</v>
      </c>
      <c r="N2303">
        <v>26.086956521739129</v>
      </c>
      <c r="O2303">
        <v>6.2465999999999999</v>
      </c>
      <c r="P2303">
        <v>135.01</v>
      </c>
      <c r="Q2303">
        <v>6.25</v>
      </c>
      <c r="R2303">
        <v>5.85</v>
      </c>
      <c r="S2303">
        <v>6.25</v>
      </c>
      <c r="T2303">
        <v>98.445543000000001</v>
      </c>
      <c r="W2303" t="s">
        <v>497</v>
      </c>
    </row>
    <row r="2304" spans="1:23" x14ac:dyDescent="0.25">
      <c r="A2304" t="s">
        <v>2755</v>
      </c>
      <c r="B2304" t="str">
        <f t="shared" si="36"/>
        <v>GA1200001541</v>
      </c>
      <c r="C2304" t="s">
        <v>227</v>
      </c>
      <c r="D2304" t="s">
        <v>77</v>
      </c>
      <c r="E2304" t="s">
        <v>82</v>
      </c>
      <c r="F2304">
        <v>8000</v>
      </c>
      <c r="G2304" s="13">
        <v>44727</v>
      </c>
      <c r="H2304" s="13">
        <v>44911</v>
      </c>
      <c r="I2304">
        <v>4200</v>
      </c>
      <c r="J2304">
        <v>3761</v>
      </c>
      <c r="K2304">
        <v>7961</v>
      </c>
      <c r="N2304">
        <v>33.333333333333329</v>
      </c>
      <c r="O2304">
        <v>6.1196000000000002</v>
      </c>
      <c r="P2304">
        <v>99.575000000000003</v>
      </c>
      <c r="Q2304">
        <v>6</v>
      </c>
      <c r="R2304">
        <v>5.75</v>
      </c>
      <c r="S2304">
        <v>6</v>
      </c>
      <c r="T2304">
        <v>96.999047000000004</v>
      </c>
      <c r="W2304" t="s">
        <v>497</v>
      </c>
    </row>
    <row r="2305" spans="1:23" x14ac:dyDescent="0.25">
      <c r="A2305" t="s">
        <v>2756</v>
      </c>
      <c r="B2305" t="str">
        <f t="shared" si="36"/>
        <v>TD1200001360</v>
      </c>
      <c r="C2305" t="s">
        <v>237</v>
      </c>
      <c r="D2305" t="s">
        <v>77</v>
      </c>
      <c r="E2305" t="s">
        <v>82</v>
      </c>
      <c r="F2305">
        <v>42742</v>
      </c>
      <c r="G2305" s="13">
        <v>44727</v>
      </c>
      <c r="H2305" s="13">
        <v>44911</v>
      </c>
      <c r="I2305">
        <v>21573</v>
      </c>
      <c r="J2305">
        <v>9030</v>
      </c>
      <c r="K2305">
        <v>30603</v>
      </c>
      <c r="N2305">
        <v>16.666666666666664</v>
      </c>
      <c r="O2305">
        <v>6.8787000000000003</v>
      </c>
      <c r="P2305">
        <v>71.599400000000003</v>
      </c>
      <c r="Q2305">
        <v>7</v>
      </c>
      <c r="R2305">
        <v>6.5</v>
      </c>
      <c r="S2305">
        <v>7</v>
      </c>
      <c r="T2305">
        <v>96.639302000000001</v>
      </c>
      <c r="W2305" t="s">
        <v>497</v>
      </c>
    </row>
    <row r="2306" spans="1:23" x14ac:dyDescent="0.25">
      <c r="A2306" t="s">
        <v>2757</v>
      </c>
      <c r="B2306" t="str">
        <f t="shared" si="36"/>
        <v>CM1200001152</v>
      </c>
      <c r="C2306" t="s">
        <v>225</v>
      </c>
      <c r="D2306" t="s">
        <v>77</v>
      </c>
      <c r="E2306" t="s">
        <v>82</v>
      </c>
      <c r="F2306">
        <v>10000</v>
      </c>
      <c r="G2306" s="13">
        <v>44732</v>
      </c>
      <c r="H2306" s="13">
        <v>44916</v>
      </c>
      <c r="I2306">
        <v>1000</v>
      </c>
      <c r="J2306">
        <v>9000</v>
      </c>
      <c r="K2306">
        <v>10000</v>
      </c>
      <c r="N2306">
        <v>23.809523809523807</v>
      </c>
      <c r="O2306">
        <v>2.5423</v>
      </c>
      <c r="P2306">
        <v>245</v>
      </c>
      <c r="Q2306">
        <v>2.8</v>
      </c>
      <c r="R2306">
        <v>2.4</v>
      </c>
      <c r="S2306">
        <v>2.8</v>
      </c>
      <c r="T2306">
        <v>98.731055999999995</v>
      </c>
      <c r="W2306" t="s">
        <v>497</v>
      </c>
    </row>
    <row r="2307" spans="1:23" x14ac:dyDescent="0.25">
      <c r="A2307" t="s">
        <v>2758</v>
      </c>
      <c r="B2307" t="str">
        <f t="shared" si="36"/>
        <v>CG1100000336</v>
      </c>
      <c r="C2307" t="s">
        <v>229</v>
      </c>
      <c r="D2307" t="s">
        <v>77</v>
      </c>
      <c r="E2307" t="s">
        <v>78</v>
      </c>
      <c r="F2307">
        <v>5000</v>
      </c>
      <c r="G2307" s="13">
        <v>44733</v>
      </c>
      <c r="H2307" s="13">
        <v>44819</v>
      </c>
      <c r="I2307">
        <v>3564</v>
      </c>
      <c r="J2307">
        <v>1436</v>
      </c>
      <c r="K2307">
        <v>5000</v>
      </c>
      <c r="N2307">
        <v>17.391304347826086</v>
      </c>
      <c r="O2307">
        <v>6.5979000000000001</v>
      </c>
      <c r="P2307">
        <v>140.22</v>
      </c>
      <c r="Q2307">
        <v>6.5</v>
      </c>
      <c r="R2307">
        <v>5.5</v>
      </c>
      <c r="S2307">
        <v>6.5</v>
      </c>
      <c r="T2307">
        <v>98.483823000000001</v>
      </c>
      <c r="W2307" t="s">
        <v>497</v>
      </c>
    </row>
    <row r="2308" spans="1:23" x14ac:dyDescent="0.25">
      <c r="A2308" t="s">
        <v>2759</v>
      </c>
      <c r="B2308" t="str">
        <f t="shared" si="36"/>
        <v>GA1200001558</v>
      </c>
      <c r="C2308" t="s">
        <v>227</v>
      </c>
      <c r="D2308" t="s">
        <v>77</v>
      </c>
      <c r="E2308" t="s">
        <v>82</v>
      </c>
      <c r="F2308">
        <v>12000</v>
      </c>
      <c r="G2308" s="13">
        <v>44734</v>
      </c>
      <c r="H2308" s="13">
        <v>44918</v>
      </c>
      <c r="I2308">
        <v>6755</v>
      </c>
      <c r="J2308">
        <v>5245</v>
      </c>
      <c r="K2308">
        <v>12000</v>
      </c>
      <c r="N2308">
        <v>33.333333333333329</v>
      </c>
      <c r="O2308">
        <v>6.0877999999999997</v>
      </c>
      <c r="P2308">
        <v>108.38330000000001</v>
      </c>
      <c r="Q2308">
        <v>6</v>
      </c>
      <c r="R2308">
        <v>5.75</v>
      </c>
      <c r="S2308">
        <v>6</v>
      </c>
      <c r="T2308">
        <v>97.014167999999998</v>
      </c>
      <c r="W2308" t="s">
        <v>497</v>
      </c>
    </row>
    <row r="2309" spans="1:23" x14ac:dyDescent="0.25">
      <c r="A2309" t="s">
        <v>2760</v>
      </c>
      <c r="B2309" t="str">
        <f t="shared" si="36"/>
        <v>TD1200001378</v>
      </c>
      <c r="C2309" t="s">
        <v>237</v>
      </c>
      <c r="D2309" t="s">
        <v>77</v>
      </c>
      <c r="E2309" t="s">
        <v>82</v>
      </c>
      <c r="F2309">
        <v>20260</v>
      </c>
      <c r="G2309" s="13">
        <v>44734</v>
      </c>
      <c r="H2309" s="13">
        <v>44918</v>
      </c>
      <c r="I2309">
        <v>15994</v>
      </c>
      <c r="J2309">
        <v>47</v>
      </c>
      <c r="K2309">
        <v>16041</v>
      </c>
      <c r="N2309">
        <v>41.666666666666671</v>
      </c>
      <c r="O2309">
        <v>6.7199</v>
      </c>
      <c r="P2309">
        <v>79.501499999999993</v>
      </c>
      <c r="Q2309">
        <v>6.5</v>
      </c>
      <c r="R2309">
        <v>6.5</v>
      </c>
      <c r="S2309">
        <v>6.5</v>
      </c>
      <c r="T2309">
        <v>96.714361999999994</v>
      </c>
      <c r="W2309" t="s">
        <v>497</v>
      </c>
    </row>
    <row r="2310" spans="1:23" x14ac:dyDescent="0.25">
      <c r="A2310" t="s">
        <v>2761</v>
      </c>
      <c r="B2310" t="str">
        <f t="shared" si="36"/>
        <v>CM1200001160</v>
      </c>
      <c r="C2310" t="s">
        <v>225</v>
      </c>
      <c r="D2310" t="s">
        <v>77</v>
      </c>
      <c r="E2310" t="s">
        <v>82</v>
      </c>
      <c r="F2310">
        <v>10000</v>
      </c>
      <c r="G2310" s="13">
        <v>44739</v>
      </c>
      <c r="H2310" s="13">
        <v>44923</v>
      </c>
      <c r="I2310">
        <v>10000</v>
      </c>
      <c r="J2310">
        <v>0</v>
      </c>
      <c r="K2310">
        <v>10000</v>
      </c>
      <c r="N2310">
        <v>19.047619047619047</v>
      </c>
      <c r="O2310">
        <v>2.8172999999999999</v>
      </c>
      <c r="P2310">
        <v>130</v>
      </c>
      <c r="Q2310">
        <v>2.9</v>
      </c>
      <c r="R2310">
        <v>2.5</v>
      </c>
      <c r="S2310">
        <v>2.9</v>
      </c>
      <c r="T2310">
        <v>98.595692999999997</v>
      </c>
      <c r="W2310" t="s">
        <v>497</v>
      </c>
    </row>
    <row r="2311" spans="1:23" x14ac:dyDescent="0.25">
      <c r="A2311" t="s">
        <v>2762</v>
      </c>
      <c r="B2311" t="str">
        <f t="shared" si="36"/>
        <v>CG1200000681</v>
      </c>
      <c r="C2311" t="s">
        <v>229</v>
      </c>
      <c r="D2311" t="s">
        <v>77</v>
      </c>
      <c r="E2311" t="s">
        <v>82</v>
      </c>
      <c r="F2311">
        <v>13000</v>
      </c>
      <c r="G2311" s="13">
        <v>44740</v>
      </c>
      <c r="H2311" s="13">
        <v>44924</v>
      </c>
      <c r="I2311">
        <v>1640</v>
      </c>
      <c r="J2311">
        <v>8181</v>
      </c>
      <c r="K2311">
        <v>9821</v>
      </c>
      <c r="N2311">
        <v>30.434782608695656</v>
      </c>
      <c r="O2311">
        <v>6.8388999999999998</v>
      </c>
      <c r="P2311">
        <v>75.546199999999999</v>
      </c>
      <c r="Q2311">
        <v>7</v>
      </c>
      <c r="R2311">
        <v>5.6</v>
      </c>
      <c r="S2311">
        <v>7</v>
      </c>
      <c r="T2311">
        <v>96.658092999999994</v>
      </c>
      <c r="W2311" t="s">
        <v>497</v>
      </c>
    </row>
    <row r="2312" spans="1:23" x14ac:dyDescent="0.25">
      <c r="A2312" t="s">
        <v>2763</v>
      </c>
      <c r="B2312" t="str">
        <f t="shared" si="36"/>
        <v>GQ1300001161</v>
      </c>
      <c r="C2312" t="s">
        <v>528</v>
      </c>
      <c r="D2312" t="s">
        <v>77</v>
      </c>
      <c r="E2312" t="s">
        <v>287</v>
      </c>
      <c r="F2312">
        <v>20000</v>
      </c>
      <c r="G2312" s="13">
        <v>44740</v>
      </c>
      <c r="H2312" s="13">
        <v>45106</v>
      </c>
      <c r="I2312">
        <v>16774</v>
      </c>
      <c r="J2312">
        <v>3226</v>
      </c>
      <c r="K2312">
        <v>20000</v>
      </c>
      <c r="N2312">
        <v>41.666666666666671</v>
      </c>
      <c r="O2312">
        <v>8.2100000000000009</v>
      </c>
      <c r="P2312">
        <v>112.875</v>
      </c>
      <c r="Q2312">
        <v>8.5</v>
      </c>
      <c r="R2312">
        <v>6</v>
      </c>
      <c r="S2312">
        <v>8.5</v>
      </c>
      <c r="T2312">
        <v>92.335070000000002</v>
      </c>
      <c r="W2312" t="s">
        <v>497</v>
      </c>
    </row>
    <row r="2313" spans="1:23" x14ac:dyDescent="0.25">
      <c r="A2313" t="s">
        <v>2764</v>
      </c>
      <c r="B2313" t="str">
        <f t="shared" si="36"/>
        <v>GA1100001518</v>
      </c>
      <c r="C2313" t="s">
        <v>227</v>
      </c>
      <c r="D2313" t="s">
        <v>77</v>
      </c>
      <c r="E2313" t="s">
        <v>78</v>
      </c>
      <c r="F2313">
        <v>11000</v>
      </c>
      <c r="G2313" s="13">
        <v>44741</v>
      </c>
      <c r="H2313" s="13">
        <v>44834</v>
      </c>
      <c r="I2313">
        <v>5800</v>
      </c>
      <c r="J2313">
        <v>4016</v>
      </c>
      <c r="K2313">
        <v>9816</v>
      </c>
      <c r="N2313">
        <v>38.888888888888893</v>
      </c>
      <c r="O2313">
        <v>5.9595000000000002</v>
      </c>
      <c r="P2313">
        <v>89.327299999999994</v>
      </c>
      <c r="Q2313">
        <v>6</v>
      </c>
      <c r="R2313">
        <v>5.25</v>
      </c>
      <c r="S2313">
        <v>6</v>
      </c>
      <c r="T2313">
        <v>98.515922000000003</v>
      </c>
      <c r="W2313" t="s">
        <v>497</v>
      </c>
    </row>
    <row r="2314" spans="1:23" x14ac:dyDescent="0.25">
      <c r="A2314" t="s">
        <v>2765</v>
      </c>
      <c r="B2314" t="str">
        <f t="shared" si="36"/>
        <v>CG1100000344</v>
      </c>
      <c r="C2314" t="s">
        <v>229</v>
      </c>
      <c r="D2314" t="s">
        <v>77</v>
      </c>
      <c r="E2314" t="s">
        <v>78</v>
      </c>
      <c r="F2314">
        <v>7000</v>
      </c>
      <c r="G2314" s="13">
        <v>44747</v>
      </c>
      <c r="H2314" s="13">
        <v>44840</v>
      </c>
      <c r="I2314">
        <v>5125</v>
      </c>
      <c r="J2314">
        <v>50</v>
      </c>
      <c r="K2314">
        <v>5175</v>
      </c>
      <c r="N2314">
        <v>26.086956521739129</v>
      </c>
      <c r="O2314">
        <v>6.0869</v>
      </c>
      <c r="P2314">
        <v>125.51430000000001</v>
      </c>
      <c r="Q2314">
        <v>6</v>
      </c>
      <c r="R2314">
        <v>5.7</v>
      </c>
      <c r="S2314">
        <v>6</v>
      </c>
      <c r="T2314">
        <v>98.484677000000005</v>
      </c>
      <c r="W2314" t="s">
        <v>497</v>
      </c>
    </row>
    <row r="2315" spans="1:23" x14ac:dyDescent="0.25">
      <c r="A2315" t="s">
        <v>2766</v>
      </c>
      <c r="B2315" t="str">
        <f t="shared" si="36"/>
        <v>GA1200001566</v>
      </c>
      <c r="C2315" t="s">
        <v>227</v>
      </c>
      <c r="D2315" t="s">
        <v>77</v>
      </c>
      <c r="E2315" t="s">
        <v>82</v>
      </c>
      <c r="F2315">
        <v>12000</v>
      </c>
      <c r="G2315" s="13">
        <v>44748</v>
      </c>
      <c r="H2315" s="13">
        <v>44932</v>
      </c>
      <c r="I2315">
        <v>4200</v>
      </c>
      <c r="J2315">
        <v>7114</v>
      </c>
      <c r="K2315">
        <v>11314</v>
      </c>
      <c r="N2315">
        <v>38.888888888888893</v>
      </c>
      <c r="O2315">
        <v>6.0232000000000001</v>
      </c>
      <c r="P2315">
        <v>124.85</v>
      </c>
      <c r="Q2315">
        <v>6</v>
      </c>
      <c r="R2315">
        <v>4.1100000000000003</v>
      </c>
      <c r="S2315">
        <v>6</v>
      </c>
      <c r="T2315">
        <v>97.044922</v>
      </c>
      <c r="W2315" t="s">
        <v>497</v>
      </c>
    </row>
    <row r="2316" spans="1:23" x14ac:dyDescent="0.25">
      <c r="A2316" t="s">
        <v>2767</v>
      </c>
      <c r="B2316" t="str">
        <f t="shared" si="36"/>
        <v>CM1200001178</v>
      </c>
      <c r="C2316" t="s">
        <v>225</v>
      </c>
      <c r="D2316" t="s">
        <v>77</v>
      </c>
      <c r="E2316" t="s">
        <v>82</v>
      </c>
      <c r="F2316">
        <v>83000</v>
      </c>
      <c r="G2316" s="13">
        <v>44753</v>
      </c>
      <c r="H2316" s="13">
        <v>44937</v>
      </c>
      <c r="I2316">
        <v>83000</v>
      </c>
      <c r="J2316">
        <v>0</v>
      </c>
      <c r="K2316">
        <v>83000</v>
      </c>
      <c r="N2316">
        <v>66.666666666666657</v>
      </c>
      <c r="O2316">
        <v>2.9430999999999998</v>
      </c>
      <c r="P2316">
        <v>100</v>
      </c>
      <c r="Q2316">
        <v>2.9</v>
      </c>
      <c r="R2316">
        <v>2.9</v>
      </c>
      <c r="S2316">
        <v>2.9</v>
      </c>
      <c r="T2316">
        <v>98.533889000000002</v>
      </c>
      <c r="W2316" t="s">
        <v>875</v>
      </c>
    </row>
    <row r="2317" spans="1:23" x14ac:dyDescent="0.25">
      <c r="A2317" t="s">
        <v>2768</v>
      </c>
      <c r="B2317" t="str">
        <f t="shared" si="36"/>
        <v>CG1200000699</v>
      </c>
      <c r="C2317" t="s">
        <v>229</v>
      </c>
      <c r="D2317" t="s">
        <v>77</v>
      </c>
      <c r="E2317" t="s">
        <v>82</v>
      </c>
      <c r="F2317">
        <v>10000</v>
      </c>
      <c r="G2317" s="13">
        <v>44754</v>
      </c>
      <c r="H2317" s="13">
        <v>44938</v>
      </c>
      <c r="I2317">
        <v>2500</v>
      </c>
      <c r="J2317">
        <v>15</v>
      </c>
      <c r="K2317">
        <v>2515</v>
      </c>
      <c r="N2317">
        <v>17.391304347826086</v>
      </c>
      <c r="O2317">
        <v>6.3997999999999999</v>
      </c>
      <c r="P2317">
        <v>25.46</v>
      </c>
      <c r="Q2317">
        <v>6.2</v>
      </c>
      <c r="R2317">
        <v>6</v>
      </c>
      <c r="S2317">
        <v>6.2</v>
      </c>
      <c r="T2317">
        <v>96.866158999999996</v>
      </c>
      <c r="W2317" t="s">
        <v>497</v>
      </c>
    </row>
    <row r="2318" spans="1:23" x14ac:dyDescent="0.25">
      <c r="A2318" t="s">
        <v>2769</v>
      </c>
      <c r="B2318" t="str">
        <f t="shared" si="36"/>
        <v>GA1200001574</v>
      </c>
      <c r="C2318" t="s">
        <v>227</v>
      </c>
      <c r="D2318" t="s">
        <v>77</v>
      </c>
      <c r="E2318" t="s">
        <v>82</v>
      </c>
      <c r="F2318">
        <v>10500</v>
      </c>
      <c r="G2318" s="13">
        <v>44755</v>
      </c>
      <c r="H2318" s="13">
        <v>44939</v>
      </c>
      <c r="I2318">
        <v>6959</v>
      </c>
      <c r="J2318">
        <v>3541</v>
      </c>
      <c r="K2318">
        <v>10500</v>
      </c>
      <c r="N2318">
        <v>38.888888888888893</v>
      </c>
      <c r="O2318">
        <v>6</v>
      </c>
      <c r="P2318">
        <v>177.87620000000001</v>
      </c>
      <c r="Q2318">
        <v>6</v>
      </c>
      <c r="R2318">
        <v>5.25</v>
      </c>
      <c r="S2318">
        <v>6</v>
      </c>
      <c r="T2318">
        <v>97.024348000000003</v>
      </c>
      <c r="W2318" t="s">
        <v>497</v>
      </c>
    </row>
    <row r="2319" spans="1:23" x14ac:dyDescent="0.25">
      <c r="A2319" t="s">
        <v>2770</v>
      </c>
      <c r="B2319" t="str">
        <f t="shared" si="36"/>
        <v>TD1200001402</v>
      </c>
      <c r="C2319" t="s">
        <v>237</v>
      </c>
      <c r="D2319" t="s">
        <v>77</v>
      </c>
      <c r="E2319" t="s">
        <v>82</v>
      </c>
      <c r="F2319">
        <v>25000</v>
      </c>
      <c r="G2319" s="13">
        <v>44755</v>
      </c>
      <c r="H2319" s="13">
        <v>44939</v>
      </c>
      <c r="I2319">
        <v>5000</v>
      </c>
      <c r="J2319">
        <v>180</v>
      </c>
      <c r="K2319">
        <v>5180</v>
      </c>
      <c r="N2319">
        <v>33.333333333333329</v>
      </c>
      <c r="O2319">
        <v>6.7070999999999996</v>
      </c>
      <c r="P2319">
        <v>20.72</v>
      </c>
      <c r="Q2319">
        <v>6.5</v>
      </c>
      <c r="R2319">
        <v>5.25</v>
      </c>
      <c r="S2319">
        <v>6.5</v>
      </c>
      <c r="T2319">
        <v>96.720378999999994</v>
      </c>
      <c r="W2319" t="s">
        <v>497</v>
      </c>
    </row>
    <row r="2320" spans="1:23" x14ac:dyDescent="0.25">
      <c r="A2320" t="s">
        <v>2771</v>
      </c>
      <c r="B2320" t="str">
        <f t="shared" si="36"/>
        <v>CG1300000201</v>
      </c>
      <c r="C2320" t="s">
        <v>229</v>
      </c>
      <c r="D2320" t="s">
        <v>77</v>
      </c>
      <c r="E2320" t="s">
        <v>287</v>
      </c>
      <c r="F2320">
        <v>7000</v>
      </c>
      <c r="G2320" s="13">
        <v>44761</v>
      </c>
      <c r="H2320" s="13">
        <v>45127</v>
      </c>
      <c r="I2320">
        <v>2000</v>
      </c>
      <c r="J2320">
        <v>5000</v>
      </c>
      <c r="K2320">
        <v>7000</v>
      </c>
      <c r="N2320">
        <v>17.391304347826086</v>
      </c>
      <c r="O2320">
        <v>7.2712000000000003</v>
      </c>
      <c r="P2320">
        <v>131.65710000000001</v>
      </c>
      <c r="Q2320">
        <v>7</v>
      </c>
      <c r="R2320">
        <v>6</v>
      </c>
      <c r="S2320">
        <v>7</v>
      </c>
      <c r="T2320">
        <v>93.151492000000005</v>
      </c>
      <c r="W2320" t="s">
        <v>497</v>
      </c>
    </row>
    <row r="2321" spans="1:23" x14ac:dyDescent="0.25">
      <c r="A2321" t="s">
        <v>2772</v>
      </c>
      <c r="B2321" t="str">
        <f t="shared" si="36"/>
        <v>GA1100001526</v>
      </c>
      <c r="C2321" t="s">
        <v>227</v>
      </c>
      <c r="D2321" t="s">
        <v>77</v>
      </c>
      <c r="E2321" t="s">
        <v>78</v>
      </c>
      <c r="F2321">
        <v>10500</v>
      </c>
      <c r="G2321" s="13">
        <v>44762</v>
      </c>
      <c r="H2321" s="13">
        <v>44855</v>
      </c>
      <c r="I2321">
        <v>4747</v>
      </c>
      <c r="J2321">
        <v>5753</v>
      </c>
      <c r="K2321">
        <v>10500</v>
      </c>
      <c r="N2321">
        <v>44.444444444444443</v>
      </c>
      <c r="O2321">
        <v>5.7064000000000004</v>
      </c>
      <c r="P2321">
        <v>143.74289999999999</v>
      </c>
      <c r="Q2321">
        <v>5.85</v>
      </c>
      <c r="R2321">
        <v>5.23</v>
      </c>
      <c r="S2321">
        <v>5.85</v>
      </c>
      <c r="T2321">
        <v>98.578048999999993</v>
      </c>
      <c r="W2321" t="s">
        <v>497</v>
      </c>
    </row>
    <row r="2322" spans="1:23" x14ac:dyDescent="0.25">
      <c r="A2322" t="s">
        <v>2773</v>
      </c>
      <c r="B2322" t="str">
        <f t="shared" si="36"/>
        <v>TD1200001410</v>
      </c>
      <c r="C2322" t="s">
        <v>237</v>
      </c>
      <c r="D2322" t="s">
        <v>77</v>
      </c>
      <c r="E2322" t="s">
        <v>82</v>
      </c>
      <c r="F2322">
        <v>5000</v>
      </c>
      <c r="G2322" s="13">
        <v>44762</v>
      </c>
      <c r="H2322" s="13"/>
      <c r="J2322">
        <v>0</v>
      </c>
      <c r="N2322">
        <v>0</v>
      </c>
      <c r="T2322" t="s">
        <v>2672</v>
      </c>
      <c r="W2322" t="s">
        <v>497</v>
      </c>
    </row>
    <row r="2323" spans="1:23" x14ac:dyDescent="0.25">
      <c r="A2323" t="s">
        <v>2774</v>
      </c>
      <c r="B2323" t="str">
        <f t="shared" si="36"/>
        <v>CM1300000591</v>
      </c>
      <c r="C2323" t="s">
        <v>225</v>
      </c>
      <c r="D2323" t="s">
        <v>77</v>
      </c>
      <c r="E2323" t="s">
        <v>287</v>
      </c>
      <c r="F2323">
        <v>15000</v>
      </c>
      <c r="G2323" s="13">
        <v>44767</v>
      </c>
      <c r="H2323" s="13">
        <v>44768</v>
      </c>
      <c r="J2323">
        <v>0</v>
      </c>
      <c r="N2323" t="e">
        <v>#REF!</v>
      </c>
      <c r="T2323" t="s">
        <v>2672</v>
      </c>
      <c r="W2323" t="s">
        <v>497</v>
      </c>
    </row>
    <row r="2324" spans="1:23" x14ac:dyDescent="0.25">
      <c r="A2324" t="s">
        <v>2775</v>
      </c>
      <c r="B2324" t="str">
        <f t="shared" si="36"/>
        <v>GA1100001534</v>
      </c>
      <c r="C2324" t="s">
        <v>227</v>
      </c>
      <c r="D2324" t="s">
        <v>77</v>
      </c>
      <c r="E2324" t="s">
        <v>78</v>
      </c>
      <c r="F2324">
        <v>10500</v>
      </c>
      <c r="G2324" s="13">
        <v>44769</v>
      </c>
      <c r="H2324" s="13">
        <v>44862</v>
      </c>
      <c r="I2324">
        <v>1050</v>
      </c>
      <c r="J2324">
        <v>9450</v>
      </c>
      <c r="K2324">
        <v>10500</v>
      </c>
      <c r="N2324">
        <v>44.444444444444443</v>
      </c>
      <c r="O2324">
        <v>5.66</v>
      </c>
      <c r="P2324">
        <v>350.34289999999999</v>
      </c>
      <c r="Q2324">
        <v>5.75</v>
      </c>
      <c r="R2324">
        <v>5</v>
      </c>
      <c r="S2324">
        <v>5.75</v>
      </c>
      <c r="T2324">
        <v>98.589451999999994</v>
      </c>
      <c r="W2324" t="s">
        <v>497</v>
      </c>
    </row>
    <row r="2325" spans="1:23" x14ac:dyDescent="0.25">
      <c r="A2325" t="s">
        <v>2776</v>
      </c>
      <c r="B2325" t="str">
        <f t="shared" si="36"/>
        <v>GQ1300001179</v>
      </c>
      <c r="C2325" t="s">
        <v>528</v>
      </c>
      <c r="D2325" t="s">
        <v>77</v>
      </c>
      <c r="E2325" t="s">
        <v>287</v>
      </c>
      <c r="F2325">
        <v>10000</v>
      </c>
      <c r="G2325" s="13">
        <v>44768</v>
      </c>
      <c r="H2325" s="13">
        <v>45134</v>
      </c>
      <c r="I2325">
        <v>2942</v>
      </c>
      <c r="J2325">
        <v>233</v>
      </c>
      <c r="K2325">
        <v>3175</v>
      </c>
      <c r="N2325">
        <v>25</v>
      </c>
      <c r="O2325">
        <v>8.1001999999999992</v>
      </c>
      <c r="P2325">
        <v>31.75</v>
      </c>
      <c r="Q2325">
        <v>7.95</v>
      </c>
      <c r="R2325">
        <v>5.75</v>
      </c>
      <c r="S2325">
        <v>7.95</v>
      </c>
      <c r="T2325">
        <v>92.429771000000002</v>
      </c>
      <c r="W2325" t="s">
        <v>497</v>
      </c>
    </row>
    <row r="2326" spans="1:23" x14ac:dyDescent="0.25">
      <c r="A2326" t="s">
        <v>2777</v>
      </c>
      <c r="B2326" t="str">
        <f t="shared" si="36"/>
        <v>TD1200001428</v>
      </c>
      <c r="C2326" t="s">
        <v>237</v>
      </c>
      <c r="D2326" t="s">
        <v>77</v>
      </c>
      <c r="E2326" t="s">
        <v>82</v>
      </c>
      <c r="F2326">
        <v>12000</v>
      </c>
      <c r="G2326" s="13">
        <v>44769</v>
      </c>
      <c r="H2326" s="13">
        <v>44953</v>
      </c>
      <c r="I2326">
        <v>3000</v>
      </c>
      <c r="J2326">
        <v>1280</v>
      </c>
      <c r="K2326">
        <v>4280</v>
      </c>
      <c r="N2326">
        <v>25</v>
      </c>
      <c r="O2326">
        <v>6.7565</v>
      </c>
      <c r="P2326">
        <v>58.933300000000003</v>
      </c>
      <c r="Q2326">
        <v>6.55</v>
      </c>
      <c r="R2326">
        <v>6.4</v>
      </c>
      <c r="S2326">
        <v>6.55</v>
      </c>
      <c r="T2326">
        <v>96.697057000000001</v>
      </c>
      <c r="W2326" t="s">
        <v>497</v>
      </c>
    </row>
    <row r="2327" spans="1:23" x14ac:dyDescent="0.25">
      <c r="A2327" t="s">
        <v>2778</v>
      </c>
      <c r="B2327" t="str">
        <f t="shared" si="36"/>
        <v>CM1300000609</v>
      </c>
      <c r="C2327" t="s">
        <v>225</v>
      </c>
      <c r="D2327" t="s">
        <v>77</v>
      </c>
      <c r="E2327" t="s">
        <v>287</v>
      </c>
      <c r="F2327">
        <v>15000</v>
      </c>
      <c r="G2327" s="13">
        <v>44774</v>
      </c>
      <c r="H2327" s="13">
        <v>45140</v>
      </c>
      <c r="I2327">
        <v>3500</v>
      </c>
      <c r="J2327">
        <v>0</v>
      </c>
      <c r="K2327">
        <v>3500</v>
      </c>
      <c r="N2327">
        <v>14.285714285714285</v>
      </c>
      <c r="O2327">
        <v>3.3069999999999999</v>
      </c>
      <c r="P2327">
        <v>23.4</v>
      </c>
      <c r="Q2327">
        <v>3.35</v>
      </c>
      <c r="R2327">
        <v>3.05</v>
      </c>
      <c r="S2327">
        <v>3.35</v>
      </c>
      <c r="T2327">
        <v>96.764443999999997</v>
      </c>
      <c r="W2327" t="s">
        <v>497</v>
      </c>
    </row>
    <row r="2328" spans="1:23" x14ac:dyDescent="0.25">
      <c r="A2328" t="s">
        <v>2779</v>
      </c>
      <c r="B2328" t="str">
        <f t="shared" si="36"/>
        <v>CG1200000707</v>
      </c>
      <c r="C2328" t="s">
        <v>229</v>
      </c>
      <c r="D2328" t="s">
        <v>77</v>
      </c>
      <c r="E2328" t="s">
        <v>82</v>
      </c>
      <c r="F2328">
        <v>13000</v>
      </c>
      <c r="G2328" s="13">
        <v>44775</v>
      </c>
      <c r="H2328" s="13">
        <v>44959</v>
      </c>
      <c r="I2328">
        <v>4035</v>
      </c>
      <c r="J2328">
        <v>6324</v>
      </c>
      <c r="K2328">
        <v>10359</v>
      </c>
      <c r="N2328">
        <v>21.739130434782609</v>
      </c>
      <c r="O2328">
        <v>6.5727000000000002</v>
      </c>
      <c r="P2328">
        <v>79.684600000000003</v>
      </c>
      <c r="Q2328">
        <v>6.5</v>
      </c>
      <c r="R2328">
        <v>5.8</v>
      </c>
      <c r="S2328">
        <v>6.5</v>
      </c>
      <c r="T2328">
        <v>96.783990000000003</v>
      </c>
      <c r="W2328" t="s">
        <v>497</v>
      </c>
    </row>
    <row r="2329" spans="1:23" x14ac:dyDescent="0.25">
      <c r="A2329" t="s">
        <v>2780</v>
      </c>
      <c r="B2329" t="str">
        <f t="shared" si="36"/>
        <v>GA1300000567</v>
      </c>
      <c r="C2329" t="s">
        <v>227</v>
      </c>
      <c r="D2329" t="s">
        <v>77</v>
      </c>
      <c r="E2329" t="s">
        <v>287</v>
      </c>
      <c r="F2329">
        <v>9500</v>
      </c>
      <c r="G2329" s="13">
        <v>44776</v>
      </c>
      <c r="H2329" s="13">
        <v>45142</v>
      </c>
      <c r="I2329">
        <v>4059</v>
      </c>
      <c r="J2329">
        <v>5441</v>
      </c>
      <c r="K2329">
        <v>9500</v>
      </c>
      <c r="N2329">
        <v>27.777777777777779</v>
      </c>
      <c r="O2329">
        <v>6.2534999999999998</v>
      </c>
      <c r="P2329">
        <v>184.2105</v>
      </c>
      <c r="Q2329">
        <v>6</v>
      </c>
      <c r="R2329">
        <v>5.7</v>
      </c>
      <c r="S2329">
        <v>6</v>
      </c>
      <c r="T2329">
        <v>94.053070000000005</v>
      </c>
      <c r="W2329" t="s">
        <v>497</v>
      </c>
    </row>
    <row r="2330" spans="1:23" x14ac:dyDescent="0.25">
      <c r="A2330" t="s">
        <v>2781</v>
      </c>
      <c r="B2330" t="str">
        <f t="shared" si="36"/>
        <v>TD1200001436</v>
      </c>
      <c r="C2330" t="s">
        <v>237</v>
      </c>
      <c r="D2330" t="s">
        <v>77</v>
      </c>
      <c r="E2330" t="s">
        <v>82</v>
      </c>
      <c r="F2330">
        <v>20000</v>
      </c>
      <c r="G2330" s="13">
        <v>44776</v>
      </c>
      <c r="H2330" s="13">
        <v>44960</v>
      </c>
      <c r="I2330">
        <v>2592</v>
      </c>
      <c r="J2330">
        <v>8928</v>
      </c>
      <c r="K2330">
        <v>11520</v>
      </c>
      <c r="N2330">
        <v>25</v>
      </c>
      <c r="O2330">
        <v>6.8837999999999999</v>
      </c>
      <c r="P2330">
        <v>57.625</v>
      </c>
      <c r="Q2330">
        <v>6.75</v>
      </c>
      <c r="R2330">
        <v>6.5</v>
      </c>
      <c r="S2330">
        <v>6.75</v>
      </c>
      <c r="T2330">
        <v>96.636887999999999</v>
      </c>
      <c r="W2330" t="s">
        <v>497</v>
      </c>
    </row>
    <row r="2331" spans="1:23" x14ac:dyDescent="0.25">
      <c r="A2331" t="s">
        <v>2782</v>
      </c>
      <c r="B2331" t="str">
        <f t="shared" ref="B2331:B2394" si="37">MID(A2331,1,12)</f>
        <v>CM1200001186</v>
      </c>
      <c r="C2331" t="s">
        <v>225</v>
      </c>
      <c r="D2331" t="s">
        <v>77</v>
      </c>
      <c r="E2331" t="s">
        <v>82</v>
      </c>
      <c r="F2331">
        <v>15000</v>
      </c>
      <c r="G2331" s="13">
        <v>44781</v>
      </c>
      <c r="H2331" s="13">
        <v>44965</v>
      </c>
      <c r="I2331">
        <v>15000</v>
      </c>
      <c r="J2331">
        <v>0</v>
      </c>
      <c r="K2331">
        <v>15000</v>
      </c>
      <c r="N2331">
        <v>23.809523809523807</v>
      </c>
      <c r="O2331">
        <v>2.9035000000000002</v>
      </c>
      <c r="P2331">
        <v>168.4</v>
      </c>
      <c r="Q2331">
        <v>3.15</v>
      </c>
      <c r="R2331">
        <v>2.35</v>
      </c>
      <c r="S2331">
        <v>3.15</v>
      </c>
      <c r="T2331">
        <v>98.553353000000001</v>
      </c>
      <c r="W2331" t="s">
        <v>497</v>
      </c>
    </row>
    <row r="2332" spans="1:23" x14ac:dyDescent="0.25">
      <c r="A2332" t="s">
        <v>2783</v>
      </c>
      <c r="B2332" t="str">
        <f t="shared" si="37"/>
        <v>CG1100000351</v>
      </c>
      <c r="C2332" t="s">
        <v>229</v>
      </c>
      <c r="D2332" t="s">
        <v>77</v>
      </c>
      <c r="E2332" t="s">
        <v>78</v>
      </c>
      <c r="F2332">
        <v>8000</v>
      </c>
      <c r="G2332" s="13">
        <v>44782</v>
      </c>
      <c r="H2332" s="13">
        <v>44875</v>
      </c>
      <c r="I2332">
        <v>4150</v>
      </c>
      <c r="J2332">
        <v>3430</v>
      </c>
      <c r="K2332">
        <v>7580</v>
      </c>
      <c r="N2332">
        <v>34.782608695652172</v>
      </c>
      <c r="O2332">
        <v>6.1313000000000004</v>
      </c>
      <c r="P2332">
        <v>101</v>
      </c>
      <c r="Q2332">
        <v>6.3</v>
      </c>
      <c r="R2332">
        <v>5.91</v>
      </c>
      <c r="S2332">
        <v>6.3</v>
      </c>
      <c r="T2332">
        <v>98.473795999999993</v>
      </c>
      <c r="W2332" t="s">
        <v>497</v>
      </c>
    </row>
    <row r="2333" spans="1:23" x14ac:dyDescent="0.25">
      <c r="A2333" t="s">
        <v>2784</v>
      </c>
      <c r="B2333" t="str">
        <f t="shared" si="37"/>
        <v>GA1200001582</v>
      </c>
      <c r="C2333" t="s">
        <v>227</v>
      </c>
      <c r="D2333" t="s">
        <v>77</v>
      </c>
      <c r="E2333" t="s">
        <v>82</v>
      </c>
      <c r="F2333">
        <v>11500</v>
      </c>
      <c r="G2333" s="13">
        <v>44783</v>
      </c>
      <c r="H2333" s="13">
        <v>44967</v>
      </c>
      <c r="I2333">
        <v>4000</v>
      </c>
      <c r="J2333">
        <v>7500</v>
      </c>
      <c r="K2333">
        <v>11500</v>
      </c>
      <c r="N2333">
        <v>38.888888888888893</v>
      </c>
      <c r="O2333">
        <v>5.9158999999999997</v>
      </c>
      <c r="P2333">
        <v>138.6174</v>
      </c>
      <c r="Q2333">
        <v>5.8</v>
      </c>
      <c r="R2333">
        <v>5.5</v>
      </c>
      <c r="S2333">
        <v>5.8</v>
      </c>
      <c r="T2333">
        <v>97.096013999999997</v>
      </c>
      <c r="W2333" t="s">
        <v>497</v>
      </c>
    </row>
    <row r="2334" spans="1:23" x14ac:dyDescent="0.25">
      <c r="A2334" t="s">
        <v>2785</v>
      </c>
      <c r="B2334" t="str">
        <f t="shared" si="37"/>
        <v>TD1300000619</v>
      </c>
      <c r="C2334" t="s">
        <v>237</v>
      </c>
      <c r="D2334" t="s">
        <v>77</v>
      </c>
      <c r="E2334" t="s">
        <v>287</v>
      </c>
      <c r="F2334">
        <v>8000</v>
      </c>
      <c r="G2334" s="13">
        <v>44783</v>
      </c>
      <c r="H2334" s="13"/>
      <c r="J2334">
        <v>0</v>
      </c>
      <c r="N2334">
        <v>0</v>
      </c>
      <c r="T2334" t="s">
        <v>2672</v>
      </c>
      <c r="W2334" t="s">
        <v>497</v>
      </c>
    </row>
    <row r="2335" spans="1:23" x14ac:dyDescent="0.25">
      <c r="A2335" t="s">
        <v>2786</v>
      </c>
      <c r="B2335" t="str">
        <f t="shared" si="37"/>
        <v>CG1300000219</v>
      </c>
      <c r="C2335" t="s">
        <v>229</v>
      </c>
      <c r="D2335" t="s">
        <v>77</v>
      </c>
      <c r="E2335" t="s">
        <v>287</v>
      </c>
      <c r="F2335">
        <v>12000</v>
      </c>
      <c r="G2335" s="13">
        <v>44790</v>
      </c>
      <c r="H2335" s="13">
        <v>45155</v>
      </c>
      <c r="I2335">
        <v>1500</v>
      </c>
      <c r="J2335">
        <v>2305</v>
      </c>
      <c r="K2335">
        <v>3805</v>
      </c>
      <c r="N2335">
        <v>17.391304347826086</v>
      </c>
      <c r="O2335">
        <v>6.9489999999999998</v>
      </c>
      <c r="P2335">
        <v>33.375</v>
      </c>
      <c r="Q2335">
        <v>6.75</v>
      </c>
      <c r="R2335">
        <v>6</v>
      </c>
      <c r="S2335">
        <v>6.75</v>
      </c>
      <c r="T2335">
        <v>93.435085000000001</v>
      </c>
      <c r="W2335" t="s">
        <v>497</v>
      </c>
    </row>
    <row r="2336" spans="1:23" x14ac:dyDescent="0.25">
      <c r="A2336" t="s">
        <v>2787</v>
      </c>
      <c r="B2336" t="str">
        <f t="shared" si="37"/>
        <v>GA1100001542</v>
      </c>
      <c r="C2336" t="s">
        <v>227</v>
      </c>
      <c r="D2336" t="s">
        <v>77</v>
      </c>
      <c r="E2336" t="s">
        <v>78</v>
      </c>
      <c r="F2336">
        <v>12000</v>
      </c>
      <c r="G2336" s="13">
        <v>44790</v>
      </c>
      <c r="H2336" s="13">
        <v>44883</v>
      </c>
      <c r="I2336">
        <v>0</v>
      </c>
      <c r="J2336">
        <v>5050</v>
      </c>
      <c r="K2336">
        <v>5050</v>
      </c>
      <c r="N2336">
        <v>27.777777777777779</v>
      </c>
      <c r="O2336">
        <v>5.6062000000000003</v>
      </c>
      <c r="P2336">
        <v>46.25</v>
      </c>
      <c r="Q2336">
        <v>5.7</v>
      </c>
      <c r="R2336">
        <v>5</v>
      </c>
      <c r="S2336">
        <v>5.7</v>
      </c>
      <c r="T2336">
        <v>98.602688999999998</v>
      </c>
      <c r="W2336" t="s">
        <v>497</v>
      </c>
    </row>
    <row r="2337" spans="1:23" x14ac:dyDescent="0.25">
      <c r="A2337" t="s">
        <v>2788</v>
      </c>
      <c r="B2337" t="str">
        <f t="shared" si="37"/>
        <v>TD1300000627</v>
      </c>
      <c r="C2337" t="s">
        <v>237</v>
      </c>
      <c r="D2337" t="s">
        <v>77</v>
      </c>
      <c r="E2337" t="s">
        <v>287</v>
      </c>
      <c r="F2337">
        <v>20000</v>
      </c>
      <c r="G2337" s="13">
        <v>44790</v>
      </c>
      <c r="H2337" s="13">
        <v>45156</v>
      </c>
      <c r="I2337">
        <v>4500</v>
      </c>
      <c r="J2337">
        <v>120</v>
      </c>
      <c r="K2337">
        <v>4620</v>
      </c>
      <c r="N2337">
        <v>33.333333333333329</v>
      </c>
      <c r="O2337">
        <v>6.9428999999999998</v>
      </c>
      <c r="P2337">
        <v>23.1</v>
      </c>
      <c r="Q2337">
        <v>6.7</v>
      </c>
      <c r="R2337">
        <v>5.9</v>
      </c>
      <c r="S2337">
        <v>6.7</v>
      </c>
      <c r="T2337">
        <v>93.440471000000002</v>
      </c>
      <c r="W2337" t="s">
        <v>497</v>
      </c>
    </row>
    <row r="2338" spans="1:23" x14ac:dyDescent="0.25">
      <c r="A2338" t="s">
        <v>2789</v>
      </c>
      <c r="B2338" t="str">
        <f t="shared" si="37"/>
        <v>CM1100000957</v>
      </c>
      <c r="C2338" t="s">
        <v>225</v>
      </c>
      <c r="D2338" t="s">
        <v>77</v>
      </c>
      <c r="E2338" t="s">
        <v>78</v>
      </c>
      <c r="F2338">
        <v>10000</v>
      </c>
      <c r="G2338" s="13">
        <v>44795</v>
      </c>
      <c r="H2338" s="13">
        <v>44888</v>
      </c>
      <c r="I2338">
        <v>10000</v>
      </c>
      <c r="J2338">
        <v>0</v>
      </c>
      <c r="K2338">
        <v>10000</v>
      </c>
      <c r="N2338">
        <v>23.809523809523807</v>
      </c>
      <c r="O2338">
        <v>2.5162</v>
      </c>
      <c r="P2338">
        <v>140.1</v>
      </c>
      <c r="Q2338">
        <v>2.85</v>
      </c>
      <c r="R2338">
        <v>1.9</v>
      </c>
      <c r="S2338">
        <v>2.85</v>
      </c>
      <c r="T2338">
        <v>99.367992000000001</v>
      </c>
      <c r="W2338" t="s">
        <v>497</v>
      </c>
    </row>
    <row r="2339" spans="1:23" x14ac:dyDescent="0.25">
      <c r="A2339" t="s">
        <v>2790</v>
      </c>
      <c r="B2339" t="str">
        <f t="shared" si="37"/>
        <v>CG1200000715</v>
      </c>
      <c r="C2339" t="s">
        <v>229</v>
      </c>
      <c r="D2339" t="s">
        <v>77</v>
      </c>
      <c r="E2339" t="s">
        <v>82</v>
      </c>
      <c r="F2339">
        <v>10000</v>
      </c>
      <c r="G2339" s="13">
        <v>44796</v>
      </c>
      <c r="H2339" s="13">
        <v>44980</v>
      </c>
      <c r="I2339">
        <v>6500</v>
      </c>
      <c r="J2339">
        <v>2360</v>
      </c>
      <c r="K2339">
        <v>8860</v>
      </c>
      <c r="N2339">
        <v>30.434782608695656</v>
      </c>
      <c r="O2339">
        <v>6.1852</v>
      </c>
      <c r="P2339">
        <v>100.27</v>
      </c>
      <c r="Q2339">
        <v>6</v>
      </c>
      <c r="R2339">
        <v>5.8</v>
      </c>
      <c r="S2339">
        <v>6</v>
      </c>
      <c r="T2339">
        <v>96.967865000000003</v>
      </c>
      <c r="W2339" t="s">
        <v>497</v>
      </c>
    </row>
    <row r="2340" spans="1:23" x14ac:dyDescent="0.25">
      <c r="A2340" t="s">
        <v>2791</v>
      </c>
      <c r="B2340" t="str">
        <f t="shared" si="37"/>
        <v>GA1200001590</v>
      </c>
      <c r="C2340" t="s">
        <v>227</v>
      </c>
      <c r="D2340" t="s">
        <v>77</v>
      </c>
      <c r="E2340" t="s">
        <v>82</v>
      </c>
      <c r="F2340">
        <v>10000</v>
      </c>
      <c r="G2340" s="13">
        <v>44797</v>
      </c>
      <c r="H2340" s="13">
        <v>44981</v>
      </c>
      <c r="I2340">
        <v>5400</v>
      </c>
      <c r="J2340">
        <v>4600</v>
      </c>
      <c r="K2340">
        <v>10000</v>
      </c>
      <c r="N2340">
        <v>38.888888888888893</v>
      </c>
      <c r="O2340">
        <v>5.8007</v>
      </c>
      <c r="P2340">
        <v>165.47</v>
      </c>
      <c r="Q2340">
        <v>5.75</v>
      </c>
      <c r="R2340">
        <v>5.25</v>
      </c>
      <c r="S2340">
        <v>5.75</v>
      </c>
      <c r="T2340">
        <v>97.150966999999994</v>
      </c>
      <c r="W2340" t="s">
        <v>497</v>
      </c>
    </row>
    <row r="2341" spans="1:23" x14ac:dyDescent="0.25">
      <c r="A2341" t="s">
        <v>2792</v>
      </c>
      <c r="B2341" t="str">
        <f t="shared" si="37"/>
        <v>TD1200001444</v>
      </c>
      <c r="C2341" t="s">
        <v>237</v>
      </c>
      <c r="D2341" t="s">
        <v>77</v>
      </c>
      <c r="E2341" t="s">
        <v>82</v>
      </c>
      <c r="F2341">
        <v>20000</v>
      </c>
      <c r="G2341" s="13">
        <v>44797</v>
      </c>
      <c r="H2341" s="13">
        <v>44981</v>
      </c>
      <c r="I2341">
        <v>4279</v>
      </c>
      <c r="J2341">
        <v>10000</v>
      </c>
      <c r="K2341">
        <v>14279</v>
      </c>
      <c r="N2341">
        <v>16.666666666666664</v>
      </c>
      <c r="O2341">
        <v>6.8442999999999996</v>
      </c>
      <c r="P2341">
        <v>71.394999999999996</v>
      </c>
      <c r="Q2341">
        <v>6.75</v>
      </c>
      <c r="R2341">
        <v>6.5</v>
      </c>
      <c r="S2341">
        <v>6.75</v>
      </c>
      <c r="T2341">
        <v>96.655544000000006</v>
      </c>
      <c r="W2341" t="s">
        <v>497</v>
      </c>
    </row>
    <row r="2342" spans="1:23" x14ac:dyDescent="0.25">
      <c r="A2342" t="s">
        <v>2793</v>
      </c>
      <c r="B2342" t="str">
        <f t="shared" si="37"/>
        <v>CG1100000369</v>
      </c>
      <c r="C2342" t="s">
        <v>229</v>
      </c>
      <c r="D2342" t="s">
        <v>77</v>
      </c>
      <c r="E2342" t="s">
        <v>78</v>
      </c>
      <c r="F2342">
        <v>10000</v>
      </c>
      <c r="G2342" s="13">
        <v>44803</v>
      </c>
      <c r="H2342" s="13">
        <v>44896</v>
      </c>
      <c r="I2342">
        <v>4147</v>
      </c>
      <c r="J2342">
        <v>5853</v>
      </c>
      <c r="K2342">
        <v>10000</v>
      </c>
      <c r="N2342">
        <v>26.086956521739129</v>
      </c>
      <c r="O2342">
        <v>6.0262000000000002</v>
      </c>
      <c r="P2342">
        <v>104.53</v>
      </c>
      <c r="Q2342">
        <v>6</v>
      </c>
      <c r="R2342">
        <v>4.75</v>
      </c>
      <c r="S2342">
        <v>6</v>
      </c>
      <c r="T2342">
        <v>98.499573999999996</v>
      </c>
      <c r="W2342" t="s">
        <v>497</v>
      </c>
    </row>
    <row r="2343" spans="1:23" x14ac:dyDescent="0.25">
      <c r="A2343" t="s">
        <v>2794</v>
      </c>
      <c r="B2343" t="str">
        <f t="shared" si="37"/>
        <v>GA1100001559</v>
      </c>
      <c r="C2343" t="s">
        <v>227</v>
      </c>
      <c r="D2343" t="s">
        <v>77</v>
      </c>
      <c r="E2343" t="s">
        <v>78</v>
      </c>
      <c r="F2343">
        <v>8000</v>
      </c>
      <c r="G2343" s="13">
        <v>44804</v>
      </c>
      <c r="H2343" s="13">
        <v>44897</v>
      </c>
      <c r="I2343">
        <v>3483</v>
      </c>
      <c r="J2343">
        <v>4517</v>
      </c>
      <c r="K2343">
        <v>8000</v>
      </c>
      <c r="N2343">
        <v>38.888888888888893</v>
      </c>
      <c r="O2343">
        <v>5.6904000000000003</v>
      </c>
      <c r="P2343">
        <v>235.5</v>
      </c>
      <c r="Q2343">
        <v>5.65</v>
      </c>
      <c r="R2343">
        <v>5.05</v>
      </c>
      <c r="S2343">
        <v>5.65</v>
      </c>
      <c r="T2343">
        <v>98.581993999999995</v>
      </c>
      <c r="W2343" t="s">
        <v>497</v>
      </c>
    </row>
    <row r="2344" spans="1:23" x14ac:dyDescent="0.25">
      <c r="A2344" t="s">
        <v>2795</v>
      </c>
      <c r="B2344" t="str">
        <f t="shared" si="37"/>
        <v>CG1200000723</v>
      </c>
      <c r="C2344" t="s">
        <v>229</v>
      </c>
      <c r="D2344" t="s">
        <v>77</v>
      </c>
      <c r="E2344" t="s">
        <v>82</v>
      </c>
      <c r="F2344">
        <v>14000</v>
      </c>
      <c r="G2344" s="13">
        <v>44810</v>
      </c>
      <c r="H2344" s="13">
        <v>44994</v>
      </c>
      <c r="I2344">
        <v>2125</v>
      </c>
      <c r="J2344">
        <v>6205</v>
      </c>
      <c r="K2344">
        <v>8330</v>
      </c>
      <c r="N2344">
        <v>43.478260869565219</v>
      </c>
      <c r="O2344">
        <v>6.4466999999999999</v>
      </c>
      <c r="P2344">
        <v>81</v>
      </c>
      <c r="Q2344">
        <v>6.5</v>
      </c>
      <c r="R2344">
        <v>5.5</v>
      </c>
      <c r="S2344">
        <v>6.5</v>
      </c>
      <c r="T2344">
        <v>96.843694999999997</v>
      </c>
      <c r="W2344" t="s">
        <v>497</v>
      </c>
    </row>
    <row r="2345" spans="1:23" x14ac:dyDescent="0.25">
      <c r="A2345" t="s">
        <v>2796</v>
      </c>
      <c r="B2345" t="str">
        <f t="shared" si="37"/>
        <v>GA1300000575</v>
      </c>
      <c r="C2345" t="s">
        <v>227</v>
      </c>
      <c r="D2345" t="s">
        <v>77</v>
      </c>
      <c r="E2345" t="s">
        <v>287</v>
      </c>
      <c r="F2345">
        <v>11500</v>
      </c>
      <c r="G2345" s="13">
        <v>44811</v>
      </c>
      <c r="H2345" s="13">
        <v>45177</v>
      </c>
      <c r="I2345">
        <v>3000</v>
      </c>
      <c r="J2345">
        <v>8059</v>
      </c>
      <c r="K2345">
        <v>11059</v>
      </c>
      <c r="N2345">
        <v>50</v>
      </c>
      <c r="O2345">
        <v>6.2504</v>
      </c>
      <c r="P2345">
        <v>156.3826</v>
      </c>
      <c r="Q2345">
        <v>5.95</v>
      </c>
      <c r="R2345">
        <v>5.5</v>
      </c>
      <c r="S2345">
        <v>5.95</v>
      </c>
      <c r="T2345">
        <v>94.055802</v>
      </c>
      <c r="W2345" t="s">
        <v>497</v>
      </c>
    </row>
    <row r="2346" spans="1:23" x14ac:dyDescent="0.25">
      <c r="A2346" t="s">
        <v>2797</v>
      </c>
      <c r="B2346" t="str">
        <f t="shared" si="37"/>
        <v>TD1200001451</v>
      </c>
      <c r="C2346" t="s">
        <v>237</v>
      </c>
      <c r="D2346" t="s">
        <v>77</v>
      </c>
      <c r="E2346" t="s">
        <v>82</v>
      </c>
      <c r="F2346">
        <v>40000</v>
      </c>
      <c r="G2346" s="13">
        <v>44811</v>
      </c>
      <c r="H2346" s="13">
        <v>44994</v>
      </c>
      <c r="J2346">
        <v>10124</v>
      </c>
      <c r="K2346">
        <v>10124</v>
      </c>
      <c r="N2346">
        <v>16.666666666666664</v>
      </c>
      <c r="O2346">
        <v>6.8516000000000004</v>
      </c>
      <c r="P2346">
        <v>25.31</v>
      </c>
      <c r="Q2346">
        <v>6.75</v>
      </c>
      <c r="R2346">
        <v>6.5</v>
      </c>
      <c r="S2346">
        <v>6.75</v>
      </c>
      <c r="T2346">
        <v>96.669866999999996</v>
      </c>
      <c r="W2346" t="s">
        <v>497</v>
      </c>
    </row>
    <row r="2347" spans="1:23" x14ac:dyDescent="0.25">
      <c r="A2347" t="s">
        <v>2798</v>
      </c>
      <c r="B2347" t="str">
        <f t="shared" si="37"/>
        <v>CM1200001194</v>
      </c>
      <c r="C2347" t="s">
        <v>225</v>
      </c>
      <c r="D2347" t="s">
        <v>77</v>
      </c>
      <c r="E2347" t="s">
        <v>82</v>
      </c>
      <c r="F2347">
        <v>20000</v>
      </c>
      <c r="G2347" s="13">
        <v>44816</v>
      </c>
      <c r="H2347" s="13">
        <v>45000</v>
      </c>
      <c r="I2347">
        <v>20000</v>
      </c>
      <c r="J2347">
        <v>0</v>
      </c>
      <c r="K2347">
        <v>20000</v>
      </c>
      <c r="N2347">
        <v>28.571428571428569</v>
      </c>
      <c r="O2347">
        <v>2.7826</v>
      </c>
      <c r="P2347">
        <v>115.05</v>
      </c>
      <c r="Q2347">
        <v>3</v>
      </c>
      <c r="R2347">
        <v>2.35</v>
      </c>
      <c r="S2347">
        <v>3</v>
      </c>
      <c r="T2347">
        <v>98.612756000000005</v>
      </c>
      <c r="W2347" t="s">
        <v>497</v>
      </c>
    </row>
    <row r="2348" spans="1:23" x14ac:dyDescent="0.25">
      <c r="A2348" t="s">
        <v>2799</v>
      </c>
      <c r="B2348" t="str">
        <f t="shared" si="37"/>
        <v>CG1100000377</v>
      </c>
      <c r="C2348" t="s">
        <v>229</v>
      </c>
      <c r="D2348" t="s">
        <v>77</v>
      </c>
      <c r="E2348" t="s">
        <v>78</v>
      </c>
      <c r="F2348">
        <v>15000</v>
      </c>
      <c r="G2348" s="13">
        <v>44817</v>
      </c>
      <c r="H2348" s="13">
        <v>44910</v>
      </c>
      <c r="I2348">
        <v>11978</v>
      </c>
      <c r="J2348">
        <v>3022</v>
      </c>
      <c r="K2348">
        <v>15000</v>
      </c>
      <c r="N2348">
        <v>34.782608695652172</v>
      </c>
      <c r="O2348">
        <v>6.1547000000000001</v>
      </c>
      <c r="P2348">
        <v>150.95330000000001</v>
      </c>
      <c r="Q2348">
        <v>6.2</v>
      </c>
      <c r="R2348">
        <v>5</v>
      </c>
      <c r="S2348">
        <v>6.2</v>
      </c>
      <c r="T2348">
        <v>98.468062000000003</v>
      </c>
      <c r="W2348" t="s">
        <v>497</v>
      </c>
    </row>
    <row r="2349" spans="1:23" x14ac:dyDescent="0.25">
      <c r="A2349" t="s">
        <v>2800</v>
      </c>
      <c r="B2349" t="str">
        <f t="shared" si="37"/>
        <v>GA1200001608</v>
      </c>
      <c r="C2349" t="s">
        <v>227</v>
      </c>
      <c r="D2349" t="s">
        <v>77</v>
      </c>
      <c r="E2349" t="s">
        <v>82</v>
      </c>
      <c r="F2349">
        <v>11000</v>
      </c>
      <c r="G2349" s="13">
        <v>44818</v>
      </c>
      <c r="H2349" s="13">
        <v>45002</v>
      </c>
      <c r="I2349">
        <v>3850</v>
      </c>
      <c r="J2349">
        <v>7150</v>
      </c>
      <c r="K2349">
        <v>11000</v>
      </c>
      <c r="N2349">
        <v>27.777777777777779</v>
      </c>
      <c r="O2349">
        <v>5.7404000000000002</v>
      </c>
      <c r="P2349">
        <v>217.70910000000001</v>
      </c>
      <c r="Q2349">
        <v>5.7</v>
      </c>
      <c r="R2349">
        <v>5.35</v>
      </c>
      <c r="S2349">
        <v>5.7</v>
      </c>
      <c r="T2349">
        <v>97.179754000000003</v>
      </c>
      <c r="W2349" t="s">
        <v>497</v>
      </c>
    </row>
    <row r="2350" spans="1:23" x14ac:dyDescent="0.25">
      <c r="A2350" t="s">
        <v>2801</v>
      </c>
      <c r="B2350" t="str">
        <f t="shared" si="37"/>
        <v>TD1200001469</v>
      </c>
      <c r="C2350" t="s">
        <v>237</v>
      </c>
      <c r="D2350" t="s">
        <v>77</v>
      </c>
      <c r="E2350" t="s">
        <v>82</v>
      </c>
      <c r="F2350">
        <v>15000</v>
      </c>
      <c r="G2350" s="13">
        <v>44818</v>
      </c>
      <c r="H2350" s="13">
        <v>45002</v>
      </c>
      <c r="I2350">
        <v>1000</v>
      </c>
      <c r="J2350">
        <v>10000</v>
      </c>
      <c r="K2350">
        <v>11000</v>
      </c>
      <c r="N2350">
        <v>16.666666666666664</v>
      </c>
      <c r="O2350">
        <v>6.9008000000000003</v>
      </c>
      <c r="P2350">
        <v>73.333299999999994</v>
      </c>
      <c r="Q2350">
        <v>6.75</v>
      </c>
      <c r="R2350">
        <v>5.85</v>
      </c>
      <c r="S2350">
        <v>6.75</v>
      </c>
      <c r="T2350">
        <v>96.628863999999993</v>
      </c>
      <c r="W2350" t="s">
        <v>497</v>
      </c>
    </row>
    <row r="2351" spans="1:23" x14ac:dyDescent="0.25">
      <c r="A2351" t="s">
        <v>2802</v>
      </c>
      <c r="B2351" t="str">
        <f t="shared" si="37"/>
        <v>CG1200000731</v>
      </c>
      <c r="C2351" t="s">
        <v>229</v>
      </c>
      <c r="D2351" t="s">
        <v>77</v>
      </c>
      <c r="E2351" t="s">
        <v>82</v>
      </c>
      <c r="F2351">
        <v>12000</v>
      </c>
      <c r="G2351" s="13">
        <v>44824</v>
      </c>
      <c r="H2351" s="13">
        <v>45008</v>
      </c>
      <c r="I2351">
        <v>120</v>
      </c>
      <c r="J2351">
        <v>7553</v>
      </c>
      <c r="K2351">
        <v>7673</v>
      </c>
      <c r="N2351">
        <v>26.086956521739129</v>
      </c>
      <c r="O2351">
        <v>6.5378999999999996</v>
      </c>
      <c r="P2351">
        <v>63.941699999999997</v>
      </c>
      <c r="Q2351">
        <v>6.5</v>
      </c>
      <c r="R2351">
        <v>5.5</v>
      </c>
      <c r="S2351">
        <v>6.5</v>
      </c>
      <c r="T2351">
        <v>96.800471999999999</v>
      </c>
      <c r="W2351" t="s">
        <v>497</v>
      </c>
    </row>
    <row r="2352" spans="1:23" x14ac:dyDescent="0.25">
      <c r="A2352" t="s">
        <v>2803</v>
      </c>
      <c r="B2352" t="str">
        <f t="shared" si="37"/>
        <v>GA1300000583</v>
      </c>
      <c r="C2352" t="s">
        <v>227</v>
      </c>
      <c r="D2352" t="s">
        <v>77</v>
      </c>
      <c r="E2352" t="s">
        <v>287</v>
      </c>
      <c r="F2352">
        <v>9000</v>
      </c>
      <c r="G2352" s="13">
        <v>44825</v>
      </c>
      <c r="H2352" s="13">
        <v>45191</v>
      </c>
      <c r="I2352">
        <v>5964</v>
      </c>
      <c r="J2352">
        <v>3036</v>
      </c>
      <c r="K2352">
        <v>9000</v>
      </c>
      <c r="N2352">
        <v>44.444444444444443</v>
      </c>
      <c r="O2352">
        <v>5.8476999999999997</v>
      </c>
      <c r="P2352">
        <v>237.5889</v>
      </c>
      <c r="Q2352">
        <v>5.95</v>
      </c>
      <c r="R2352">
        <v>4.8</v>
      </c>
      <c r="S2352">
        <v>5.95</v>
      </c>
      <c r="T2352">
        <v>94.417392000000007</v>
      </c>
      <c r="W2352" t="s">
        <v>497</v>
      </c>
    </row>
    <row r="2353" spans="1:23" x14ac:dyDescent="0.25">
      <c r="A2353" t="s">
        <v>2804</v>
      </c>
      <c r="B2353" t="str">
        <f t="shared" si="37"/>
        <v>TD1200001477</v>
      </c>
      <c r="C2353" t="s">
        <v>237</v>
      </c>
      <c r="D2353" t="s">
        <v>77</v>
      </c>
      <c r="E2353" t="s">
        <v>82</v>
      </c>
      <c r="F2353">
        <v>12000</v>
      </c>
      <c r="G2353" s="13">
        <v>44825</v>
      </c>
      <c r="H2353" s="13">
        <v>45009</v>
      </c>
      <c r="I2353">
        <v>2500</v>
      </c>
      <c r="J2353">
        <v>7200</v>
      </c>
      <c r="K2353">
        <v>9700</v>
      </c>
      <c r="N2353">
        <v>25</v>
      </c>
      <c r="O2353">
        <v>6.8945999999999996</v>
      </c>
      <c r="P2353">
        <v>80.833330000000004</v>
      </c>
      <c r="Q2353">
        <v>6.75</v>
      </c>
      <c r="R2353">
        <v>6.25</v>
      </c>
      <c r="S2353">
        <v>6.75</v>
      </c>
      <c r="T2353">
        <v>96.631800999999996</v>
      </c>
      <c r="W2353" t="s">
        <v>497</v>
      </c>
    </row>
    <row r="2354" spans="1:23" x14ac:dyDescent="0.25">
      <c r="A2354" t="s">
        <v>2805</v>
      </c>
      <c r="B2354" t="str">
        <f t="shared" si="37"/>
        <v>CM1200001202</v>
      </c>
      <c r="C2354" t="s">
        <v>225</v>
      </c>
      <c r="D2354" t="s">
        <v>77</v>
      </c>
      <c r="E2354" t="s">
        <v>82</v>
      </c>
      <c r="F2354">
        <v>10000</v>
      </c>
      <c r="G2354" s="13">
        <v>44830</v>
      </c>
      <c r="H2354" s="13">
        <v>45014</v>
      </c>
      <c r="I2354">
        <v>5500</v>
      </c>
      <c r="J2354">
        <v>0</v>
      </c>
      <c r="K2354">
        <v>5500</v>
      </c>
      <c r="N2354">
        <v>19.047619047619047</v>
      </c>
      <c r="O2354">
        <v>3.2206999999999999</v>
      </c>
      <c r="P2354">
        <v>65</v>
      </c>
      <c r="Q2354">
        <v>3.44</v>
      </c>
      <c r="R2354">
        <v>2.75</v>
      </c>
      <c r="S2354">
        <v>3.44</v>
      </c>
      <c r="T2354">
        <v>98.397847999999996</v>
      </c>
      <c r="W2354" t="s">
        <v>497</v>
      </c>
    </row>
    <row r="2355" spans="1:23" x14ac:dyDescent="0.25">
      <c r="A2355" t="s">
        <v>2806</v>
      </c>
      <c r="B2355" t="str">
        <f t="shared" si="37"/>
        <v>GA1200001616</v>
      </c>
      <c r="C2355" t="s">
        <v>227</v>
      </c>
      <c r="D2355" t="s">
        <v>77</v>
      </c>
      <c r="E2355" t="s">
        <v>82</v>
      </c>
      <c r="F2355">
        <v>11000</v>
      </c>
      <c r="G2355" s="13">
        <v>44832</v>
      </c>
      <c r="H2355" s="13">
        <v>45016</v>
      </c>
      <c r="I2355">
        <v>7460</v>
      </c>
      <c r="J2355">
        <v>3540</v>
      </c>
      <c r="K2355">
        <v>11000</v>
      </c>
      <c r="N2355">
        <v>38.888888888888893</v>
      </c>
      <c r="O2355">
        <v>5.5873999999999997</v>
      </c>
      <c r="P2355">
        <v>160.87270000000001</v>
      </c>
      <c r="Q2355">
        <v>5.68</v>
      </c>
      <c r="R2355">
        <v>5</v>
      </c>
      <c r="S2355">
        <v>5.68</v>
      </c>
      <c r="T2355">
        <v>97.252840000000006</v>
      </c>
      <c r="W2355" t="s">
        <v>497</v>
      </c>
    </row>
    <row r="2356" spans="1:23" x14ac:dyDescent="0.25">
      <c r="A2356" t="s">
        <v>2807</v>
      </c>
      <c r="B2356" t="str">
        <f t="shared" si="37"/>
        <v>CG1200000749</v>
      </c>
      <c r="C2356" t="s">
        <v>229</v>
      </c>
      <c r="D2356" t="s">
        <v>77</v>
      </c>
      <c r="E2356" t="s">
        <v>82</v>
      </c>
      <c r="F2356">
        <v>10000</v>
      </c>
      <c r="G2356" s="13">
        <v>44838</v>
      </c>
      <c r="H2356" s="13">
        <v>45022</v>
      </c>
      <c r="I2356">
        <v>2053</v>
      </c>
      <c r="J2356">
        <v>2476</v>
      </c>
      <c r="K2356">
        <v>4529</v>
      </c>
      <c r="N2356">
        <v>26.086956521739129</v>
      </c>
      <c r="O2356">
        <v>6.5500999999999996</v>
      </c>
      <c r="P2356">
        <v>45.29</v>
      </c>
      <c r="Q2356">
        <v>6.5</v>
      </c>
      <c r="R2356">
        <v>5</v>
      </c>
      <c r="S2356">
        <v>6.5</v>
      </c>
      <c r="T2356">
        <v>96.794706000000005</v>
      </c>
      <c r="W2356" t="s">
        <v>497</v>
      </c>
    </row>
    <row r="2357" spans="1:23" x14ac:dyDescent="0.25">
      <c r="A2357" t="s">
        <v>2808</v>
      </c>
      <c r="B2357" t="str">
        <f t="shared" si="37"/>
        <v>GA1200001624</v>
      </c>
      <c r="C2357" t="s">
        <v>227</v>
      </c>
      <c r="D2357" t="s">
        <v>77</v>
      </c>
      <c r="E2357" t="s">
        <v>82</v>
      </c>
      <c r="F2357">
        <v>12000</v>
      </c>
      <c r="G2357" s="13">
        <v>44839</v>
      </c>
      <c r="H2357" s="13">
        <v>45023</v>
      </c>
      <c r="I2357">
        <v>1675</v>
      </c>
      <c r="J2357">
        <v>5538</v>
      </c>
      <c r="K2357">
        <v>7213</v>
      </c>
      <c r="N2357">
        <v>33.333333333333329</v>
      </c>
      <c r="O2357">
        <v>5.8097000000000003</v>
      </c>
      <c r="P2357">
        <v>60.1083</v>
      </c>
      <c r="Q2357">
        <v>5.75</v>
      </c>
      <c r="R2357">
        <v>5.05</v>
      </c>
      <c r="S2357">
        <v>5.75</v>
      </c>
      <c r="T2357">
        <v>97.146702000000005</v>
      </c>
      <c r="W2357" t="s">
        <v>497</v>
      </c>
    </row>
    <row r="2358" spans="1:23" x14ac:dyDescent="0.25">
      <c r="A2358" t="s">
        <v>2787</v>
      </c>
      <c r="B2358" t="str">
        <f t="shared" si="37"/>
        <v>GA1100001542</v>
      </c>
      <c r="C2358" t="s">
        <v>227</v>
      </c>
      <c r="D2358" t="s">
        <v>77</v>
      </c>
      <c r="E2358" t="s">
        <v>78</v>
      </c>
      <c r="F2358">
        <v>5000</v>
      </c>
      <c r="G2358" s="13">
        <v>44846</v>
      </c>
      <c r="H2358" s="13">
        <v>44883</v>
      </c>
      <c r="I2358">
        <v>3853</v>
      </c>
      <c r="J2358">
        <v>1147</v>
      </c>
      <c r="K2358">
        <v>5000</v>
      </c>
      <c r="N2358">
        <v>33.333333333333329</v>
      </c>
      <c r="O2358">
        <v>4.9074</v>
      </c>
      <c r="P2358">
        <v>219.18</v>
      </c>
      <c r="Q2358">
        <v>4.95</v>
      </c>
      <c r="R2358">
        <v>4.75</v>
      </c>
      <c r="S2358">
        <v>4.95</v>
      </c>
      <c r="T2358">
        <v>99.525154999999998</v>
      </c>
      <c r="W2358" t="s">
        <v>497</v>
      </c>
    </row>
    <row r="2359" spans="1:23" x14ac:dyDescent="0.25">
      <c r="A2359" t="s">
        <v>2809</v>
      </c>
      <c r="B2359" t="str">
        <f t="shared" si="37"/>
        <v>GA1300000591</v>
      </c>
      <c r="C2359" t="s">
        <v>227</v>
      </c>
      <c r="D2359" t="s">
        <v>77</v>
      </c>
      <c r="E2359" t="s">
        <v>287</v>
      </c>
      <c r="F2359">
        <v>9000</v>
      </c>
      <c r="G2359" s="13">
        <v>44846</v>
      </c>
      <c r="H2359" s="13">
        <v>45212</v>
      </c>
      <c r="I2359">
        <v>3010</v>
      </c>
      <c r="J2359">
        <v>5140</v>
      </c>
      <c r="K2359">
        <v>8150</v>
      </c>
      <c r="N2359">
        <v>27.777777777777779</v>
      </c>
      <c r="O2359">
        <v>6.0757000000000003</v>
      </c>
      <c r="P2359">
        <v>157.5556</v>
      </c>
      <c r="Q2359">
        <v>6</v>
      </c>
      <c r="R2359">
        <v>5.5</v>
      </c>
      <c r="S2359">
        <v>6</v>
      </c>
      <c r="T2359">
        <v>94.212350000000001</v>
      </c>
      <c r="W2359" t="s">
        <v>497</v>
      </c>
    </row>
    <row r="2360" spans="1:23" x14ac:dyDescent="0.25">
      <c r="A2360" t="s">
        <v>2810</v>
      </c>
      <c r="B2360" t="str">
        <f t="shared" si="37"/>
        <v>TD1200001485</v>
      </c>
      <c r="C2360" t="s">
        <v>237</v>
      </c>
      <c r="D2360" t="s">
        <v>77</v>
      </c>
      <c r="E2360" t="s">
        <v>82</v>
      </c>
      <c r="F2360">
        <v>5000</v>
      </c>
      <c r="G2360" s="13">
        <v>44846</v>
      </c>
      <c r="H2360" s="13">
        <v>45030</v>
      </c>
      <c r="I2360">
        <v>3361</v>
      </c>
      <c r="J2360">
        <v>1478</v>
      </c>
      <c r="K2360">
        <v>4839</v>
      </c>
      <c r="N2360">
        <v>33.333333333333329</v>
      </c>
      <c r="O2360">
        <v>6.7683</v>
      </c>
      <c r="P2360">
        <v>96.78</v>
      </c>
      <c r="Q2360">
        <v>6.75</v>
      </c>
      <c r="R2360">
        <v>5.75</v>
      </c>
      <c r="S2360">
        <v>6.75</v>
      </c>
      <c r="T2360">
        <v>96.691447999999994</v>
      </c>
      <c r="W2360" t="s">
        <v>497</v>
      </c>
    </row>
    <row r="2361" spans="1:23" x14ac:dyDescent="0.25">
      <c r="A2361" t="s">
        <v>2811</v>
      </c>
      <c r="B2361" t="str">
        <f t="shared" si="37"/>
        <v>CM1200001210</v>
      </c>
      <c r="C2361" t="s">
        <v>225</v>
      </c>
      <c r="D2361" t="s">
        <v>77</v>
      </c>
      <c r="E2361" t="s">
        <v>82</v>
      </c>
      <c r="F2361">
        <v>20000</v>
      </c>
      <c r="G2361" s="13">
        <v>44851</v>
      </c>
      <c r="H2361" s="13">
        <v>45030</v>
      </c>
      <c r="I2361">
        <v>4000</v>
      </c>
      <c r="J2361">
        <v>0</v>
      </c>
      <c r="K2361">
        <v>4000</v>
      </c>
      <c r="N2361">
        <v>9.5238095238095237</v>
      </c>
      <c r="O2361">
        <v>3.3043</v>
      </c>
      <c r="P2361">
        <v>20.05</v>
      </c>
      <c r="Q2361">
        <v>3.3</v>
      </c>
      <c r="R2361">
        <v>3.2</v>
      </c>
      <c r="S2361">
        <v>3.3</v>
      </c>
      <c r="T2361">
        <v>98.356943999999999</v>
      </c>
      <c r="W2361" t="s">
        <v>497</v>
      </c>
    </row>
    <row r="2362" spans="1:23" x14ac:dyDescent="0.25">
      <c r="A2362" t="s">
        <v>2812</v>
      </c>
      <c r="B2362" t="str">
        <f t="shared" si="37"/>
        <v>CG1200000756</v>
      </c>
      <c r="C2362" t="s">
        <v>229</v>
      </c>
      <c r="D2362" t="s">
        <v>77</v>
      </c>
      <c r="E2362" t="s">
        <v>82</v>
      </c>
      <c r="F2362">
        <v>15000</v>
      </c>
      <c r="G2362" s="13">
        <v>44852</v>
      </c>
      <c r="H2362" s="13">
        <v>45036</v>
      </c>
      <c r="I2362">
        <v>7008</v>
      </c>
      <c r="J2362">
        <v>7992</v>
      </c>
      <c r="K2362">
        <v>15000</v>
      </c>
      <c r="N2362">
        <v>34.782608695652172</v>
      </c>
      <c r="O2362">
        <v>6.5</v>
      </c>
      <c r="P2362">
        <v>100.7533</v>
      </c>
      <c r="Q2362">
        <v>6.5</v>
      </c>
      <c r="R2362">
        <v>5.5</v>
      </c>
      <c r="S2362">
        <v>6.5</v>
      </c>
      <c r="T2362">
        <v>96.835205000000002</v>
      </c>
      <c r="W2362" t="s">
        <v>497</v>
      </c>
    </row>
    <row r="2363" spans="1:23" x14ac:dyDescent="0.25">
      <c r="A2363" t="s">
        <v>2813</v>
      </c>
      <c r="B2363" t="str">
        <f t="shared" si="37"/>
        <v>GA1200001632</v>
      </c>
      <c r="C2363" t="s">
        <v>227</v>
      </c>
      <c r="D2363" t="s">
        <v>77</v>
      </c>
      <c r="E2363" t="s">
        <v>82</v>
      </c>
      <c r="F2363">
        <v>10000</v>
      </c>
      <c r="G2363" s="13">
        <v>44853</v>
      </c>
      <c r="H2363" s="13">
        <v>45037</v>
      </c>
      <c r="I2363">
        <v>6530</v>
      </c>
      <c r="J2363">
        <v>2561</v>
      </c>
      <c r="K2363">
        <v>9091</v>
      </c>
      <c r="N2363">
        <v>33.333333333333329</v>
      </c>
      <c r="O2363">
        <v>5.4870000000000001</v>
      </c>
      <c r="P2363">
        <v>91.24</v>
      </c>
      <c r="Q2363">
        <v>5.75</v>
      </c>
      <c r="R2363">
        <v>4.8</v>
      </c>
      <c r="S2363">
        <v>5.75</v>
      </c>
      <c r="T2363">
        <v>97.300875000000005</v>
      </c>
      <c r="W2363" t="s">
        <v>497</v>
      </c>
    </row>
    <row r="2364" spans="1:23" x14ac:dyDescent="0.25">
      <c r="A2364" t="s">
        <v>2814</v>
      </c>
      <c r="B2364" t="str">
        <f t="shared" si="37"/>
        <v>TD1200001493</v>
      </c>
      <c r="C2364" t="s">
        <v>237</v>
      </c>
      <c r="D2364" t="s">
        <v>77</v>
      </c>
      <c r="E2364" t="s">
        <v>82</v>
      </c>
      <c r="G2364" s="13">
        <v>44853</v>
      </c>
      <c r="H2364" s="13"/>
      <c r="J2364">
        <v>0</v>
      </c>
      <c r="N2364">
        <v>0</v>
      </c>
      <c r="T2364" t="s">
        <v>750</v>
      </c>
      <c r="W2364" t="s">
        <v>497</v>
      </c>
    </row>
    <row r="2365" spans="1:23" x14ac:dyDescent="0.25">
      <c r="A2365" t="s">
        <v>2815</v>
      </c>
      <c r="B2365" t="str">
        <f t="shared" si="37"/>
        <v>CM1200001228</v>
      </c>
      <c r="C2365" t="s">
        <v>225</v>
      </c>
      <c r="D2365" t="s">
        <v>77</v>
      </c>
      <c r="E2365" t="s">
        <v>82</v>
      </c>
      <c r="F2365">
        <v>15000</v>
      </c>
      <c r="G2365" s="13">
        <v>44858</v>
      </c>
      <c r="H2365" s="13">
        <v>45042</v>
      </c>
      <c r="I2365">
        <v>5500</v>
      </c>
      <c r="J2365">
        <v>0</v>
      </c>
      <c r="K2365">
        <v>5500</v>
      </c>
      <c r="N2365">
        <v>14.285714285714285</v>
      </c>
      <c r="O2365">
        <v>3.3795000000000002</v>
      </c>
      <c r="P2365">
        <v>36.7333</v>
      </c>
      <c r="Q2365">
        <v>3.4</v>
      </c>
      <c r="R2365">
        <v>3.2</v>
      </c>
      <c r="S2365">
        <v>3.4</v>
      </c>
      <c r="T2365">
        <v>98.320177000000001</v>
      </c>
      <c r="W2365" t="s">
        <v>497</v>
      </c>
    </row>
    <row r="2366" spans="1:23" x14ac:dyDescent="0.25">
      <c r="A2366" t="s">
        <v>2816</v>
      </c>
      <c r="B2366" t="str">
        <f t="shared" si="37"/>
        <v>CG1300000227</v>
      </c>
      <c r="C2366" t="s">
        <v>229</v>
      </c>
      <c r="D2366" t="s">
        <v>77</v>
      </c>
      <c r="E2366" t="s">
        <v>287</v>
      </c>
      <c r="F2366">
        <v>7000</v>
      </c>
      <c r="G2366" s="13">
        <v>44859</v>
      </c>
      <c r="H2366" s="13">
        <v>45225</v>
      </c>
      <c r="I2366">
        <v>3307</v>
      </c>
      <c r="J2366">
        <v>2508</v>
      </c>
      <c r="K2366">
        <v>5815</v>
      </c>
      <c r="N2366">
        <v>39.130434782608695</v>
      </c>
      <c r="O2366">
        <v>6.8517000000000001</v>
      </c>
      <c r="P2366">
        <v>83.071399999999997</v>
      </c>
      <c r="Q2366">
        <v>7</v>
      </c>
      <c r="R2366">
        <v>6</v>
      </c>
      <c r="S2366">
        <v>7</v>
      </c>
      <c r="T2366">
        <v>93.520994999999999</v>
      </c>
      <c r="W2366" t="s">
        <v>497</v>
      </c>
    </row>
    <row r="2367" spans="1:23" x14ac:dyDescent="0.25">
      <c r="A2367" t="s">
        <v>2817</v>
      </c>
      <c r="B2367" t="str">
        <f t="shared" si="37"/>
        <v>GA1100001567</v>
      </c>
      <c r="C2367" t="s">
        <v>227</v>
      </c>
      <c r="D2367" t="s">
        <v>77</v>
      </c>
      <c r="E2367" t="s">
        <v>78</v>
      </c>
      <c r="F2367">
        <v>10000</v>
      </c>
      <c r="G2367" s="13">
        <v>44860</v>
      </c>
      <c r="H2367" s="13">
        <v>44953</v>
      </c>
      <c r="I2367">
        <v>8480</v>
      </c>
      <c r="J2367">
        <v>1520</v>
      </c>
      <c r="K2367">
        <v>10000</v>
      </c>
      <c r="N2367">
        <v>33.333333333333329</v>
      </c>
      <c r="O2367">
        <v>5.0849000000000002</v>
      </c>
      <c r="P2367">
        <v>200.86</v>
      </c>
      <c r="Q2367">
        <v>5.0999999999999996</v>
      </c>
      <c r="R2367">
        <v>4.8</v>
      </c>
      <c r="S2367">
        <v>5.0999999999999996</v>
      </c>
      <c r="T2367">
        <v>98.730953999999997</v>
      </c>
      <c r="W2367" t="s">
        <v>497</v>
      </c>
    </row>
    <row r="2368" spans="1:23" x14ac:dyDescent="0.25">
      <c r="A2368" t="s">
        <v>2818</v>
      </c>
      <c r="B2368" t="str">
        <f t="shared" si="37"/>
        <v>TD1200001501</v>
      </c>
      <c r="C2368" t="s">
        <v>237</v>
      </c>
      <c r="D2368" t="s">
        <v>77</v>
      </c>
      <c r="E2368" t="s">
        <v>82</v>
      </c>
      <c r="F2368">
        <v>10000</v>
      </c>
      <c r="G2368" s="13">
        <v>44860</v>
      </c>
      <c r="H2368" s="13">
        <v>45044</v>
      </c>
      <c r="I2368">
        <v>1200</v>
      </c>
      <c r="J2368">
        <v>7010</v>
      </c>
      <c r="K2368">
        <v>8210</v>
      </c>
      <c r="N2368">
        <v>25</v>
      </c>
      <c r="O2368">
        <v>6.9612999999999996</v>
      </c>
      <c r="P2368">
        <v>82.1</v>
      </c>
      <c r="Q2368">
        <v>6.75</v>
      </c>
      <c r="R2368">
        <v>6.4</v>
      </c>
      <c r="S2368">
        <v>6.75</v>
      </c>
      <c r="T2368">
        <v>96.600339000000005</v>
      </c>
      <c r="W2368" t="s">
        <v>497</v>
      </c>
    </row>
    <row r="2369" spans="1:23" x14ac:dyDescent="0.25">
      <c r="A2369" t="s">
        <v>2819</v>
      </c>
      <c r="B2369" t="str">
        <f t="shared" si="37"/>
        <v>CM1300000617</v>
      </c>
      <c r="C2369" t="s">
        <v>225</v>
      </c>
      <c r="D2369" t="s">
        <v>77</v>
      </c>
      <c r="E2369" t="s">
        <v>287</v>
      </c>
      <c r="F2369">
        <v>10000</v>
      </c>
      <c r="G2369" s="13">
        <v>44865</v>
      </c>
      <c r="H2369" s="13">
        <v>45231</v>
      </c>
      <c r="I2369">
        <v>7000</v>
      </c>
      <c r="J2369">
        <v>3000</v>
      </c>
      <c r="K2369">
        <v>10000</v>
      </c>
      <c r="N2369">
        <v>14.285714285714285</v>
      </c>
      <c r="O2369">
        <v>3.7683</v>
      </c>
      <c r="P2369">
        <v>130</v>
      </c>
      <c r="Q2369">
        <v>4</v>
      </c>
      <c r="R2369">
        <v>3</v>
      </c>
      <c r="S2369">
        <v>4</v>
      </c>
      <c r="T2369">
        <v>96.329667000000001</v>
      </c>
      <c r="W2369" t="s">
        <v>497</v>
      </c>
    </row>
    <row r="2370" spans="1:23" x14ac:dyDescent="0.25">
      <c r="A2370" t="s">
        <v>2820</v>
      </c>
      <c r="B2370" t="str">
        <f t="shared" si="37"/>
        <v>CF1200000427</v>
      </c>
      <c r="C2370" t="s">
        <v>2406</v>
      </c>
      <c r="D2370" t="s">
        <v>77</v>
      </c>
      <c r="E2370" t="s">
        <v>82</v>
      </c>
      <c r="F2370">
        <v>10000</v>
      </c>
      <c r="G2370" s="13">
        <v>44865</v>
      </c>
      <c r="H2370" s="13">
        <v>45049</v>
      </c>
      <c r="I2370">
        <v>5000</v>
      </c>
      <c r="J2370">
        <v>0</v>
      </c>
      <c r="K2370">
        <v>5000</v>
      </c>
      <c r="N2370">
        <v>11.111111111111111</v>
      </c>
      <c r="O2370">
        <v>8.8817000000000004</v>
      </c>
      <c r="P2370">
        <v>50</v>
      </c>
      <c r="Q2370">
        <v>8.5</v>
      </c>
      <c r="R2370">
        <v>8.5</v>
      </c>
      <c r="S2370">
        <v>8.5</v>
      </c>
      <c r="T2370">
        <v>95.702777999999995</v>
      </c>
      <c r="W2370" t="s">
        <v>497</v>
      </c>
    </row>
    <row r="2371" spans="1:23" x14ac:dyDescent="0.25">
      <c r="A2371" t="s">
        <v>2821</v>
      </c>
      <c r="B2371" t="str">
        <f t="shared" si="37"/>
        <v>CG1200000764</v>
      </c>
      <c r="C2371" t="s">
        <v>229</v>
      </c>
      <c r="D2371" t="s">
        <v>77</v>
      </c>
      <c r="E2371" t="s">
        <v>82</v>
      </c>
      <c r="F2371">
        <v>12000</v>
      </c>
      <c r="G2371" s="13">
        <v>44866</v>
      </c>
      <c r="H2371" s="13">
        <v>45050</v>
      </c>
      <c r="I2371">
        <v>2420</v>
      </c>
      <c r="J2371">
        <v>4890</v>
      </c>
      <c r="K2371">
        <v>7310</v>
      </c>
      <c r="N2371">
        <v>34.782608695652172</v>
      </c>
      <c r="O2371">
        <v>6.5061</v>
      </c>
      <c r="P2371">
        <v>60.916699999999999</v>
      </c>
      <c r="Q2371">
        <v>6.5</v>
      </c>
      <c r="R2371">
        <v>5.5</v>
      </c>
      <c r="S2371">
        <v>6.5</v>
      </c>
      <c r="T2371">
        <v>96.815539000000001</v>
      </c>
      <c r="W2371" t="s">
        <v>497</v>
      </c>
    </row>
    <row r="2372" spans="1:23" x14ac:dyDescent="0.25">
      <c r="A2372" t="s">
        <v>2822</v>
      </c>
      <c r="B2372" t="str">
        <f t="shared" si="37"/>
        <v>GA1100001575</v>
      </c>
      <c r="C2372" t="s">
        <v>227</v>
      </c>
      <c r="D2372" t="s">
        <v>77</v>
      </c>
      <c r="E2372" t="s">
        <v>78</v>
      </c>
      <c r="F2372">
        <v>7500</v>
      </c>
      <c r="G2372" s="13">
        <v>44867</v>
      </c>
      <c r="H2372" s="13">
        <v>44960</v>
      </c>
      <c r="I2372">
        <v>5624</v>
      </c>
      <c r="J2372">
        <v>1876</v>
      </c>
      <c r="K2372">
        <v>7500</v>
      </c>
      <c r="N2372">
        <v>22.222222222222221</v>
      </c>
      <c r="O2372">
        <v>5.0492999999999997</v>
      </c>
      <c r="P2372">
        <v>158.02670000000001</v>
      </c>
      <c r="Q2372">
        <v>5</v>
      </c>
      <c r="R2372">
        <v>4.8</v>
      </c>
      <c r="S2372">
        <v>5</v>
      </c>
      <c r="T2372">
        <v>98.739723999999995</v>
      </c>
      <c r="W2372" t="s">
        <v>497</v>
      </c>
    </row>
    <row r="2373" spans="1:23" x14ac:dyDescent="0.25">
      <c r="A2373" t="s">
        <v>2823</v>
      </c>
      <c r="B2373" t="str">
        <f t="shared" si="37"/>
        <v>CM1200001236</v>
      </c>
      <c r="C2373" t="s">
        <v>225</v>
      </c>
      <c r="D2373" t="s">
        <v>77</v>
      </c>
      <c r="E2373" t="s">
        <v>82</v>
      </c>
      <c r="F2373">
        <v>20000</v>
      </c>
      <c r="G2373" s="13">
        <v>44872</v>
      </c>
      <c r="H2373" s="13">
        <v>45056</v>
      </c>
      <c r="I2373">
        <v>20000</v>
      </c>
      <c r="J2373">
        <v>0</v>
      </c>
      <c r="K2373">
        <v>20000</v>
      </c>
      <c r="N2373">
        <v>23.809523809523807</v>
      </c>
      <c r="O2373">
        <v>3.4906000000000001</v>
      </c>
      <c r="P2373">
        <v>152.5</v>
      </c>
      <c r="Q2373">
        <v>3.5</v>
      </c>
      <c r="R2373">
        <v>3.3</v>
      </c>
      <c r="S2373">
        <v>3.5</v>
      </c>
      <c r="T2373">
        <v>98.265918999999997</v>
      </c>
      <c r="W2373" t="s">
        <v>497</v>
      </c>
    </row>
    <row r="2374" spans="1:23" x14ac:dyDescent="0.25">
      <c r="A2374" t="s">
        <v>2824</v>
      </c>
      <c r="B2374" t="str">
        <f t="shared" si="37"/>
        <v>CG1100000385</v>
      </c>
      <c r="C2374" t="s">
        <v>229</v>
      </c>
      <c r="D2374" t="s">
        <v>77</v>
      </c>
      <c r="E2374" t="s">
        <v>78</v>
      </c>
      <c r="F2374">
        <v>10000</v>
      </c>
      <c r="G2374" s="13">
        <v>44873</v>
      </c>
      <c r="H2374" s="13">
        <v>44966</v>
      </c>
      <c r="I2374">
        <v>7000</v>
      </c>
      <c r="J2374">
        <v>3000</v>
      </c>
      <c r="K2374">
        <v>10000</v>
      </c>
      <c r="N2374">
        <v>21.739130434782609</v>
      </c>
      <c r="O2374">
        <v>5.9439000000000002</v>
      </c>
      <c r="P2374">
        <v>120.91</v>
      </c>
      <c r="Q2374">
        <v>6.2</v>
      </c>
      <c r="R2374">
        <v>5</v>
      </c>
      <c r="S2374">
        <v>6.2</v>
      </c>
      <c r="T2374">
        <v>98.519761000000003</v>
      </c>
      <c r="W2374" t="s">
        <v>497</v>
      </c>
    </row>
    <row r="2375" spans="1:23" x14ac:dyDescent="0.25">
      <c r="A2375" t="s">
        <v>2825</v>
      </c>
      <c r="B2375" t="str">
        <f t="shared" si="37"/>
        <v>CG1200000772</v>
      </c>
      <c r="C2375" t="s">
        <v>229</v>
      </c>
      <c r="D2375" t="s">
        <v>77</v>
      </c>
      <c r="E2375" t="s">
        <v>82</v>
      </c>
      <c r="F2375">
        <v>10000</v>
      </c>
      <c r="G2375" s="13">
        <v>44873</v>
      </c>
      <c r="H2375" s="13">
        <v>45057</v>
      </c>
      <c r="I2375">
        <v>2400</v>
      </c>
      <c r="J2375">
        <v>6713</v>
      </c>
      <c r="K2375">
        <v>9113</v>
      </c>
      <c r="N2375">
        <v>30.434782608695656</v>
      </c>
      <c r="O2375">
        <v>6.6917</v>
      </c>
      <c r="P2375">
        <v>91.13</v>
      </c>
      <c r="Q2375">
        <v>6.5</v>
      </c>
      <c r="R2375">
        <v>5.5</v>
      </c>
      <c r="S2375">
        <v>6.5</v>
      </c>
      <c r="T2375">
        <v>96.727675000000005</v>
      </c>
      <c r="W2375" t="s">
        <v>497</v>
      </c>
    </row>
    <row r="2376" spans="1:23" x14ac:dyDescent="0.25">
      <c r="A2376" t="s">
        <v>2826</v>
      </c>
      <c r="B2376" t="str">
        <f t="shared" si="37"/>
        <v>TD1200001519</v>
      </c>
      <c r="C2376" t="s">
        <v>237</v>
      </c>
      <c r="D2376" t="s">
        <v>77</v>
      </c>
      <c r="E2376" t="s">
        <v>82</v>
      </c>
      <c r="F2376">
        <v>10000</v>
      </c>
      <c r="G2376" s="13">
        <v>44874</v>
      </c>
      <c r="H2376" s="13">
        <v>45058</v>
      </c>
      <c r="I2376">
        <v>4500</v>
      </c>
      <c r="J2376">
        <v>5011</v>
      </c>
      <c r="K2376">
        <v>9511</v>
      </c>
      <c r="N2376">
        <v>33.333333333333329</v>
      </c>
      <c r="O2376">
        <v>6.5</v>
      </c>
      <c r="P2376">
        <v>95.21</v>
      </c>
      <c r="Q2376">
        <v>6.5</v>
      </c>
      <c r="R2376">
        <v>5.75</v>
      </c>
      <c r="S2376">
        <v>6.5</v>
      </c>
      <c r="T2376">
        <v>96.714088000000004</v>
      </c>
      <c r="W2376" t="s">
        <v>497</v>
      </c>
    </row>
    <row r="2377" spans="1:23" x14ac:dyDescent="0.25">
      <c r="A2377" t="s">
        <v>2827</v>
      </c>
      <c r="B2377" t="str">
        <f t="shared" si="37"/>
        <v>CG1200000780</v>
      </c>
      <c r="C2377" t="s">
        <v>229</v>
      </c>
      <c r="D2377" t="s">
        <v>77</v>
      </c>
      <c r="E2377" t="s">
        <v>82</v>
      </c>
      <c r="F2377">
        <v>7000</v>
      </c>
      <c r="G2377" s="13">
        <v>44880</v>
      </c>
      <c r="H2377" s="13">
        <v>45064</v>
      </c>
      <c r="I2377">
        <v>968</v>
      </c>
      <c r="J2377">
        <v>6032</v>
      </c>
      <c r="K2377">
        <v>7000</v>
      </c>
      <c r="N2377">
        <v>34.782608695652172</v>
      </c>
      <c r="O2377">
        <v>6.665</v>
      </c>
      <c r="P2377">
        <v>132.80000000000001</v>
      </c>
      <c r="Q2377">
        <v>6.5</v>
      </c>
      <c r="R2377">
        <v>4.5</v>
      </c>
      <c r="S2377">
        <v>6.5</v>
      </c>
      <c r="T2377">
        <v>96.740285999999998</v>
      </c>
      <c r="W2377" t="s">
        <v>497</v>
      </c>
    </row>
    <row r="2378" spans="1:23" x14ac:dyDescent="0.25">
      <c r="A2378" t="s">
        <v>2828</v>
      </c>
      <c r="B2378" t="str">
        <f t="shared" si="37"/>
        <v>GA1100001583</v>
      </c>
      <c r="C2378" t="s">
        <v>227</v>
      </c>
      <c r="D2378" t="s">
        <v>77</v>
      </c>
      <c r="E2378" t="s">
        <v>78</v>
      </c>
      <c r="F2378">
        <v>9500</v>
      </c>
      <c r="G2378" s="13">
        <v>44881</v>
      </c>
      <c r="H2378" s="13">
        <v>44974</v>
      </c>
      <c r="I2378">
        <v>8065</v>
      </c>
      <c r="J2378">
        <v>1435</v>
      </c>
      <c r="K2378">
        <v>9500</v>
      </c>
      <c r="N2378">
        <v>27.777777777777779</v>
      </c>
      <c r="O2378">
        <v>5.0174000000000003</v>
      </c>
      <c r="P2378">
        <v>180.76840000000001</v>
      </c>
      <c r="Q2378">
        <v>5</v>
      </c>
      <c r="R2378">
        <v>4.8</v>
      </c>
      <c r="S2378">
        <v>5</v>
      </c>
      <c r="T2378">
        <v>98.747585000000001</v>
      </c>
      <c r="W2378" t="s">
        <v>497</v>
      </c>
    </row>
    <row r="2379" spans="1:23" x14ac:dyDescent="0.25">
      <c r="A2379" t="s">
        <v>2829</v>
      </c>
      <c r="B2379" t="str">
        <f t="shared" si="37"/>
        <v>CM1100000973</v>
      </c>
      <c r="C2379" t="s">
        <v>225</v>
      </c>
      <c r="D2379" t="s">
        <v>77</v>
      </c>
      <c r="E2379" t="s">
        <v>78</v>
      </c>
      <c r="F2379">
        <v>50000</v>
      </c>
      <c r="G2379" s="13">
        <v>44893</v>
      </c>
      <c r="H2379" s="13">
        <v>44986</v>
      </c>
      <c r="I2379">
        <v>44700</v>
      </c>
      <c r="J2379">
        <v>0</v>
      </c>
      <c r="K2379">
        <v>44700</v>
      </c>
      <c r="N2379">
        <v>19.047619047619047</v>
      </c>
      <c r="O2379">
        <v>3.5750000000000002</v>
      </c>
      <c r="P2379">
        <v>89.42</v>
      </c>
      <c r="Q2379">
        <v>3.6</v>
      </c>
      <c r="R2379">
        <v>3.04</v>
      </c>
      <c r="S2379">
        <v>3.6</v>
      </c>
      <c r="T2379">
        <v>99.104204999999993</v>
      </c>
      <c r="W2379" t="s">
        <v>497</v>
      </c>
    </row>
    <row r="2380" spans="1:23" x14ac:dyDescent="0.25">
      <c r="A2380" t="s">
        <v>2830</v>
      </c>
      <c r="B2380" t="str">
        <f t="shared" si="37"/>
        <v>GA1200001640</v>
      </c>
      <c r="C2380" t="s">
        <v>227</v>
      </c>
      <c r="D2380" t="s">
        <v>77</v>
      </c>
      <c r="E2380" t="s">
        <v>82</v>
      </c>
      <c r="F2380">
        <v>8000</v>
      </c>
      <c r="G2380" s="13">
        <v>44888</v>
      </c>
      <c r="H2380" s="13">
        <v>45072</v>
      </c>
      <c r="I2380">
        <v>0</v>
      </c>
      <c r="J2380">
        <v>8000</v>
      </c>
      <c r="K2380">
        <v>8000</v>
      </c>
      <c r="N2380">
        <v>38.888888888888893</v>
      </c>
      <c r="O2380">
        <v>5.657</v>
      </c>
      <c r="P2380">
        <v>195.47499999999999</v>
      </c>
      <c r="Q2380">
        <v>5.5</v>
      </c>
      <c r="R2380">
        <v>5.25</v>
      </c>
      <c r="S2380">
        <v>5.5</v>
      </c>
      <c r="T2380">
        <v>97.219601999999995</v>
      </c>
      <c r="W2380" t="s">
        <v>497</v>
      </c>
    </row>
    <row r="2381" spans="1:23" x14ac:dyDescent="0.25">
      <c r="A2381" t="s">
        <v>2831</v>
      </c>
      <c r="B2381" t="str">
        <f t="shared" si="37"/>
        <v>CG1200000798</v>
      </c>
      <c r="C2381" t="s">
        <v>229</v>
      </c>
      <c r="D2381" t="s">
        <v>77</v>
      </c>
      <c r="E2381" t="s">
        <v>82</v>
      </c>
      <c r="F2381">
        <v>15000</v>
      </c>
      <c r="G2381" s="13">
        <v>44887</v>
      </c>
      <c r="H2381" s="13">
        <v>45071</v>
      </c>
      <c r="I2381">
        <v>4075</v>
      </c>
      <c r="J2381">
        <v>6719</v>
      </c>
      <c r="K2381">
        <v>10794</v>
      </c>
      <c r="N2381">
        <v>30.434782608695656</v>
      </c>
      <c r="O2381">
        <v>6.6551</v>
      </c>
      <c r="P2381">
        <v>71.959999999999994</v>
      </c>
      <c r="Q2381">
        <v>6.75</v>
      </c>
      <c r="R2381">
        <v>4.5</v>
      </c>
      <c r="S2381">
        <v>6.75</v>
      </c>
      <c r="T2381">
        <v>96.745012000000003</v>
      </c>
      <c r="W2381" t="s">
        <v>497</v>
      </c>
    </row>
    <row r="2382" spans="1:23" x14ac:dyDescent="0.25">
      <c r="A2382" t="s">
        <v>2832</v>
      </c>
      <c r="B2382" t="str">
        <f t="shared" si="37"/>
        <v>CG1200000806</v>
      </c>
      <c r="C2382" t="s">
        <v>229</v>
      </c>
      <c r="D2382" t="s">
        <v>77</v>
      </c>
      <c r="E2382" t="s">
        <v>82</v>
      </c>
      <c r="F2382">
        <v>11000</v>
      </c>
      <c r="G2382" s="13">
        <v>44894</v>
      </c>
      <c r="H2382" s="13">
        <v>45078</v>
      </c>
      <c r="I2382">
        <v>1500</v>
      </c>
      <c r="J2382">
        <v>9342</v>
      </c>
      <c r="K2382">
        <v>10842</v>
      </c>
      <c r="N2382">
        <v>34.782608695652172</v>
      </c>
      <c r="O2382">
        <v>6.3079999999999998</v>
      </c>
      <c r="P2382">
        <v>98.563599999999994</v>
      </c>
      <c r="Q2382">
        <v>6.75</v>
      </c>
      <c r="R2382">
        <v>5.45</v>
      </c>
      <c r="S2382">
        <v>6.75</v>
      </c>
      <c r="T2382">
        <v>96.810947999999996</v>
      </c>
      <c r="W2382" t="s">
        <v>497</v>
      </c>
    </row>
    <row r="2383" spans="1:23" x14ac:dyDescent="0.25">
      <c r="A2383" t="s">
        <v>2833</v>
      </c>
      <c r="B2383" t="str">
        <f t="shared" si="37"/>
        <v>GA1200001657</v>
      </c>
      <c r="C2383" t="s">
        <v>227</v>
      </c>
      <c r="D2383" t="s">
        <v>77</v>
      </c>
      <c r="E2383" t="s">
        <v>82</v>
      </c>
      <c r="F2383">
        <v>8000</v>
      </c>
      <c r="G2383" s="13">
        <v>44895</v>
      </c>
      <c r="H2383" s="13">
        <v>45079</v>
      </c>
      <c r="I2383">
        <v>5390</v>
      </c>
      <c r="J2383">
        <v>2245</v>
      </c>
      <c r="K2383">
        <v>7635</v>
      </c>
      <c r="N2383">
        <v>27.777777777777779</v>
      </c>
      <c r="O2383">
        <v>5.3627000000000002</v>
      </c>
      <c r="P2383">
        <v>133.125</v>
      </c>
      <c r="Q2383">
        <v>5.5</v>
      </c>
      <c r="R2383">
        <v>5</v>
      </c>
      <c r="S2383">
        <v>5.5</v>
      </c>
      <c r="T2383">
        <v>97.360444000000001</v>
      </c>
      <c r="W2383" t="s">
        <v>497</v>
      </c>
    </row>
    <row r="2384" spans="1:23" x14ac:dyDescent="0.25">
      <c r="A2384" t="s">
        <v>2834</v>
      </c>
      <c r="B2384" t="str">
        <f t="shared" si="37"/>
        <v>TD1200001527</v>
      </c>
      <c r="C2384" t="s">
        <v>237</v>
      </c>
      <c r="D2384" t="s">
        <v>77</v>
      </c>
      <c r="E2384" t="s">
        <v>82</v>
      </c>
      <c r="F2384">
        <v>15000</v>
      </c>
      <c r="G2384" s="13">
        <v>44895</v>
      </c>
      <c r="H2384" s="13">
        <v>45079</v>
      </c>
      <c r="I2384">
        <v>10740</v>
      </c>
      <c r="J2384">
        <v>85</v>
      </c>
      <c r="K2384">
        <v>10825</v>
      </c>
      <c r="N2384">
        <v>41.666666666666671</v>
      </c>
      <c r="O2384">
        <v>6.7572000000000001</v>
      </c>
      <c r="P2384">
        <v>72.166700000000006</v>
      </c>
      <c r="Q2384">
        <v>6.65</v>
      </c>
      <c r="R2384">
        <v>6</v>
      </c>
      <c r="S2384">
        <v>6.65</v>
      </c>
      <c r="T2384">
        <v>96.696725999999998</v>
      </c>
      <c r="W2384" t="s">
        <v>497</v>
      </c>
    </row>
    <row r="2385" spans="1:23" x14ac:dyDescent="0.25">
      <c r="A2385" t="s">
        <v>2835</v>
      </c>
      <c r="B2385" t="str">
        <f t="shared" si="37"/>
        <v>CG1100000393</v>
      </c>
      <c r="C2385" t="s">
        <v>229</v>
      </c>
      <c r="D2385" t="s">
        <v>77</v>
      </c>
      <c r="E2385" t="s">
        <v>78</v>
      </c>
      <c r="F2385">
        <v>11000</v>
      </c>
      <c r="G2385" s="13">
        <v>44901</v>
      </c>
      <c r="H2385" s="13">
        <v>44994</v>
      </c>
      <c r="I2385">
        <v>4240</v>
      </c>
      <c r="J2385">
        <v>2655</v>
      </c>
      <c r="K2385">
        <v>6895</v>
      </c>
      <c r="N2385">
        <v>34.782608695652172</v>
      </c>
      <c r="O2385">
        <v>6.1978</v>
      </c>
      <c r="P2385">
        <v>62.681800000000003</v>
      </c>
      <c r="Q2385">
        <v>6.75</v>
      </c>
      <c r="R2385">
        <v>5.75</v>
      </c>
      <c r="S2385">
        <v>6.75</v>
      </c>
      <c r="T2385">
        <v>98.457502000000005</v>
      </c>
      <c r="W2385" t="s">
        <v>497</v>
      </c>
    </row>
    <row r="2386" spans="1:23" x14ac:dyDescent="0.25">
      <c r="A2386" t="s">
        <v>2836</v>
      </c>
      <c r="B2386" t="str">
        <f t="shared" si="37"/>
        <v>GA1100001591</v>
      </c>
      <c r="C2386" t="s">
        <v>227</v>
      </c>
      <c r="D2386" t="s">
        <v>77</v>
      </c>
      <c r="E2386" t="s">
        <v>78</v>
      </c>
      <c r="F2386">
        <v>8000</v>
      </c>
      <c r="G2386" s="13">
        <v>44902</v>
      </c>
      <c r="H2386" s="13">
        <v>44995</v>
      </c>
      <c r="I2386">
        <v>2000</v>
      </c>
      <c r="J2386">
        <v>2076</v>
      </c>
      <c r="K2386">
        <v>4076</v>
      </c>
      <c r="N2386">
        <v>27.777777777777779</v>
      </c>
      <c r="O2386">
        <v>5.2145999999999999</v>
      </c>
      <c r="P2386">
        <v>51.712499999999999</v>
      </c>
      <c r="Q2386">
        <v>5.5</v>
      </c>
      <c r="R2386">
        <v>4.5</v>
      </c>
      <c r="S2386">
        <v>5.5</v>
      </c>
      <c r="T2386">
        <v>98.699025000000006</v>
      </c>
      <c r="W2386" t="s">
        <v>497</v>
      </c>
    </row>
    <row r="2387" spans="1:23" x14ac:dyDescent="0.25">
      <c r="A2387" t="s">
        <v>2837</v>
      </c>
      <c r="B2387" t="str">
        <f t="shared" si="37"/>
        <v>TD1300000635</v>
      </c>
      <c r="C2387" t="s">
        <v>237</v>
      </c>
      <c r="D2387" t="s">
        <v>77</v>
      </c>
      <c r="E2387" t="s">
        <v>287</v>
      </c>
      <c r="F2387">
        <v>5000</v>
      </c>
      <c r="G2387" s="13">
        <v>44902</v>
      </c>
      <c r="H2387" s="13"/>
      <c r="J2387">
        <v>0</v>
      </c>
      <c r="N2387">
        <v>0</v>
      </c>
      <c r="T2387" t="s">
        <v>2672</v>
      </c>
      <c r="W2387" t="s">
        <v>497</v>
      </c>
    </row>
    <row r="2388" spans="1:23" x14ac:dyDescent="0.25">
      <c r="A2388" t="s">
        <v>2838</v>
      </c>
      <c r="B2388" t="str">
        <f t="shared" si="37"/>
        <v>CG1200000814</v>
      </c>
      <c r="C2388" t="s">
        <v>229</v>
      </c>
      <c r="D2388" t="s">
        <v>77</v>
      </c>
      <c r="E2388" t="s">
        <v>82</v>
      </c>
      <c r="F2388">
        <v>15000</v>
      </c>
      <c r="G2388" s="13">
        <v>44908</v>
      </c>
      <c r="H2388" s="13">
        <v>45092</v>
      </c>
      <c r="I2388">
        <v>6750</v>
      </c>
      <c r="J2388">
        <v>899</v>
      </c>
      <c r="K2388">
        <v>7649</v>
      </c>
      <c r="N2388">
        <v>34.782608695652172</v>
      </c>
      <c r="O2388">
        <v>6.58</v>
      </c>
      <c r="P2388">
        <v>50.993299999999998</v>
      </c>
      <c r="Q2388">
        <v>6.5</v>
      </c>
      <c r="R2388">
        <v>6</v>
      </c>
      <c r="S2388">
        <v>6.5</v>
      </c>
      <c r="T2388">
        <v>96.780545000000004</v>
      </c>
      <c r="W2388" t="s">
        <v>497</v>
      </c>
    </row>
    <row r="2389" spans="1:23" x14ac:dyDescent="0.25">
      <c r="A2389" t="s">
        <v>2839</v>
      </c>
      <c r="B2389" t="str">
        <f t="shared" si="37"/>
        <v>CG1300000235</v>
      </c>
      <c r="C2389" t="s">
        <v>229</v>
      </c>
      <c r="D2389" t="s">
        <v>77</v>
      </c>
      <c r="E2389" t="s">
        <v>287</v>
      </c>
      <c r="F2389">
        <v>8000</v>
      </c>
      <c r="G2389" s="13">
        <v>44908</v>
      </c>
      <c r="H2389" s="13">
        <v>45274</v>
      </c>
      <c r="I2389">
        <v>0</v>
      </c>
      <c r="J2389">
        <v>8000</v>
      </c>
      <c r="K2389">
        <v>8000</v>
      </c>
      <c r="N2389">
        <v>17.391304347826086</v>
      </c>
      <c r="O2389">
        <v>6.9877000000000002</v>
      </c>
      <c r="P2389">
        <v>110.65</v>
      </c>
      <c r="Q2389">
        <v>6.75</v>
      </c>
      <c r="R2389">
        <v>5.5</v>
      </c>
      <c r="S2389">
        <v>6.75</v>
      </c>
      <c r="T2389">
        <v>93.400919999999999</v>
      </c>
      <c r="W2389" t="s">
        <v>497</v>
      </c>
    </row>
    <row r="2390" spans="1:23" x14ac:dyDescent="0.25">
      <c r="A2390" t="s">
        <v>2840</v>
      </c>
      <c r="B2390" t="str">
        <f t="shared" si="37"/>
        <v>GA1200001665</v>
      </c>
      <c r="C2390" t="s">
        <v>227</v>
      </c>
      <c r="D2390" t="s">
        <v>77</v>
      </c>
      <c r="E2390" t="s">
        <v>82</v>
      </c>
      <c r="F2390">
        <v>10000</v>
      </c>
      <c r="G2390" s="13">
        <v>44909</v>
      </c>
      <c r="H2390" s="13">
        <v>45093</v>
      </c>
      <c r="I2390">
        <v>2500</v>
      </c>
      <c r="J2390">
        <v>5260</v>
      </c>
      <c r="K2390">
        <v>7760</v>
      </c>
      <c r="N2390">
        <v>31.578947368421051</v>
      </c>
      <c r="O2390">
        <v>5.8029999999999999</v>
      </c>
      <c r="P2390">
        <v>77.599999999999994</v>
      </c>
      <c r="Q2390">
        <v>6</v>
      </c>
      <c r="R2390">
        <v>5</v>
      </c>
      <c r="S2390">
        <v>6</v>
      </c>
      <c r="T2390">
        <v>97.149897999999993</v>
      </c>
      <c r="W2390" t="s">
        <v>497</v>
      </c>
    </row>
    <row r="2391" spans="1:23" x14ac:dyDescent="0.25">
      <c r="A2391" t="s">
        <v>2841</v>
      </c>
      <c r="B2391" t="str">
        <f t="shared" si="37"/>
        <v>TD1200001535</v>
      </c>
      <c r="C2391" t="s">
        <v>237</v>
      </c>
      <c r="D2391" t="s">
        <v>77</v>
      </c>
      <c r="E2391" t="s">
        <v>82</v>
      </c>
      <c r="F2391">
        <v>30603</v>
      </c>
      <c r="G2391" s="13">
        <v>44909</v>
      </c>
      <c r="H2391" s="13">
        <v>45093</v>
      </c>
      <c r="I2391">
        <v>10000</v>
      </c>
      <c r="J2391">
        <v>9032</v>
      </c>
      <c r="K2391">
        <v>19032</v>
      </c>
      <c r="N2391">
        <v>25</v>
      </c>
      <c r="O2391">
        <v>7.0522</v>
      </c>
      <c r="P2391">
        <v>62.19</v>
      </c>
      <c r="Q2391">
        <v>7</v>
      </c>
      <c r="R2391">
        <v>6.3</v>
      </c>
      <c r="S2391">
        <v>7</v>
      </c>
      <c r="T2391">
        <v>96.557440999999997</v>
      </c>
      <c r="W2391" t="s">
        <v>497</v>
      </c>
    </row>
    <row r="2392" spans="1:23" x14ac:dyDescent="0.25">
      <c r="A2392" t="s">
        <v>2842</v>
      </c>
      <c r="B2392" t="str">
        <f t="shared" si="37"/>
        <v>CM1200001244</v>
      </c>
      <c r="C2392" t="s">
        <v>225</v>
      </c>
      <c r="D2392" t="s">
        <v>77</v>
      </c>
      <c r="E2392" t="s">
        <v>82</v>
      </c>
      <c r="F2392">
        <v>20000</v>
      </c>
      <c r="G2392" s="13">
        <v>44914</v>
      </c>
      <c r="H2392" s="13">
        <v>45098</v>
      </c>
      <c r="I2392">
        <v>20000</v>
      </c>
      <c r="J2392">
        <v>0</v>
      </c>
      <c r="K2392">
        <v>20000</v>
      </c>
      <c r="N2392">
        <v>19.047619047619047</v>
      </c>
      <c r="O2392">
        <v>4.1112000000000002</v>
      </c>
      <c r="P2392">
        <v>130</v>
      </c>
      <c r="Q2392">
        <v>4.25</v>
      </c>
      <c r="R2392">
        <v>3.45</v>
      </c>
      <c r="S2392">
        <v>4.25</v>
      </c>
      <c r="T2392">
        <v>97.963875000000002</v>
      </c>
      <c r="W2392" t="s">
        <v>497</v>
      </c>
    </row>
    <row r="2393" spans="1:23" x14ac:dyDescent="0.25">
      <c r="A2393" t="s">
        <v>2843</v>
      </c>
      <c r="B2393" t="str">
        <f t="shared" si="37"/>
        <v>CG1200000822</v>
      </c>
      <c r="C2393" t="s">
        <v>229</v>
      </c>
      <c r="D2393" t="s">
        <v>77</v>
      </c>
      <c r="E2393" t="s">
        <v>82</v>
      </c>
      <c r="F2393">
        <v>7000</v>
      </c>
      <c r="G2393" s="13">
        <v>44915</v>
      </c>
      <c r="H2393" s="13">
        <v>45099</v>
      </c>
      <c r="I2393">
        <v>1595</v>
      </c>
      <c r="J2393">
        <v>1500</v>
      </c>
      <c r="K2393">
        <v>3095</v>
      </c>
      <c r="N2393">
        <v>17.391304347826086</v>
      </c>
      <c r="O2393">
        <v>6.4573</v>
      </c>
      <c r="P2393">
        <v>44.214300000000001</v>
      </c>
      <c r="Q2393">
        <v>6.5</v>
      </c>
      <c r="R2393">
        <v>6</v>
      </c>
      <c r="S2393">
        <v>6.5</v>
      </c>
      <c r="T2393">
        <v>96.838684999999998</v>
      </c>
      <c r="W2393" t="s">
        <v>497</v>
      </c>
    </row>
    <row r="2394" spans="1:23" x14ac:dyDescent="0.25">
      <c r="A2394" t="s">
        <v>2844</v>
      </c>
      <c r="B2394" t="str">
        <f t="shared" si="37"/>
        <v>GA1100001609</v>
      </c>
      <c r="C2394" t="s">
        <v>227</v>
      </c>
      <c r="D2394" t="s">
        <v>77</v>
      </c>
      <c r="E2394" t="s">
        <v>78</v>
      </c>
      <c r="F2394">
        <v>11000</v>
      </c>
      <c r="G2394" s="13">
        <v>44916</v>
      </c>
      <c r="H2394" s="13">
        <v>45009</v>
      </c>
      <c r="I2394">
        <v>3500</v>
      </c>
      <c r="J2394">
        <v>3477</v>
      </c>
      <c r="K2394">
        <v>6977</v>
      </c>
      <c r="N2394">
        <v>50</v>
      </c>
      <c r="O2394">
        <v>5.6813000000000002</v>
      </c>
      <c r="P2394">
        <v>67.972700000000003</v>
      </c>
      <c r="Q2394">
        <v>5.95</v>
      </c>
      <c r="R2394">
        <v>4.5</v>
      </c>
      <c r="S2394">
        <v>5.95</v>
      </c>
      <c r="T2394">
        <v>98.584221999999997</v>
      </c>
      <c r="W2394" t="s">
        <v>497</v>
      </c>
    </row>
    <row r="2395" spans="1:23" x14ac:dyDescent="0.25">
      <c r="A2395" t="s">
        <v>2841</v>
      </c>
      <c r="B2395" t="str">
        <f t="shared" ref="B2395:B2458" si="38">MID(A2395,1,12)</f>
        <v>TD1200001535</v>
      </c>
      <c r="C2395" t="s">
        <v>237</v>
      </c>
      <c r="D2395" t="s">
        <v>77</v>
      </c>
      <c r="E2395" t="s">
        <v>82</v>
      </c>
      <c r="F2395">
        <v>16041</v>
      </c>
      <c r="G2395" s="13">
        <v>44916</v>
      </c>
      <c r="H2395" s="13">
        <v>45100</v>
      </c>
      <c r="I2395">
        <v>15194</v>
      </c>
      <c r="J2395">
        <v>50</v>
      </c>
      <c r="K2395">
        <v>15244</v>
      </c>
      <c r="N2395">
        <v>25</v>
      </c>
      <c r="O2395">
        <v>6.7209000000000003</v>
      </c>
      <c r="P2395">
        <v>95.093800000000002</v>
      </c>
      <c r="Q2395">
        <v>6.5</v>
      </c>
      <c r="R2395">
        <v>6.5</v>
      </c>
      <c r="S2395">
        <v>6.5</v>
      </c>
      <c r="T2395">
        <v>96.713888999999995</v>
      </c>
      <c r="W2395" t="s">
        <v>497</v>
      </c>
    </row>
    <row r="2396" spans="1:23" x14ac:dyDescent="0.25">
      <c r="A2396" t="s">
        <v>2845</v>
      </c>
      <c r="B2396" t="str">
        <f t="shared" si="38"/>
        <v>CG1100000401</v>
      </c>
      <c r="C2396" t="s">
        <v>229</v>
      </c>
      <c r="D2396" t="s">
        <v>77</v>
      </c>
      <c r="E2396" t="s">
        <v>78</v>
      </c>
      <c r="F2396">
        <v>7000</v>
      </c>
      <c r="G2396" s="13">
        <v>44922</v>
      </c>
      <c r="H2396" s="13">
        <v>45015</v>
      </c>
      <c r="I2396">
        <v>1000</v>
      </c>
      <c r="J2396">
        <v>550</v>
      </c>
      <c r="K2396">
        <v>1550</v>
      </c>
      <c r="N2396">
        <v>8.695652173913043</v>
      </c>
      <c r="O2396">
        <v>6.0923999999999996</v>
      </c>
      <c r="P2396">
        <v>22.142900000000001</v>
      </c>
      <c r="Q2396">
        <v>6</v>
      </c>
      <c r="R2396">
        <v>6</v>
      </c>
      <c r="S2396">
        <v>6</v>
      </c>
      <c r="T2396">
        <v>98.483333000000002</v>
      </c>
      <c r="W2396" t="s">
        <v>497</v>
      </c>
    </row>
    <row r="2397" spans="1:23" x14ac:dyDescent="0.25">
      <c r="A2397" t="s">
        <v>2846</v>
      </c>
      <c r="B2397" t="str">
        <f t="shared" si="38"/>
        <v>CG1200000830</v>
      </c>
      <c r="C2397" t="s">
        <v>229</v>
      </c>
      <c r="D2397" t="s">
        <v>77</v>
      </c>
      <c r="E2397" t="s">
        <v>82</v>
      </c>
      <c r="F2397">
        <v>7000</v>
      </c>
      <c r="G2397" s="13">
        <v>44922</v>
      </c>
      <c r="H2397" s="13">
        <v>45106</v>
      </c>
      <c r="I2397">
        <v>655</v>
      </c>
      <c r="J2397">
        <v>1080</v>
      </c>
      <c r="K2397">
        <v>1735</v>
      </c>
      <c r="N2397">
        <v>17.391304347826086</v>
      </c>
      <c r="O2397">
        <v>6.3838999999999997</v>
      </c>
      <c r="P2397">
        <v>39.071399999999997</v>
      </c>
      <c r="Q2397">
        <v>6.5</v>
      </c>
      <c r="R2397">
        <v>6</v>
      </c>
      <c r="S2397">
        <v>6.5</v>
      </c>
      <c r="T2397">
        <v>96.873509999999996</v>
      </c>
      <c r="W2397" t="s">
        <v>497</v>
      </c>
    </row>
    <row r="2398" spans="1:23" x14ac:dyDescent="0.25">
      <c r="A2398" t="s">
        <v>2847</v>
      </c>
      <c r="B2398" t="str">
        <f t="shared" si="38"/>
        <v>CG1300000243</v>
      </c>
      <c r="C2398" t="s">
        <v>229</v>
      </c>
      <c r="D2398" t="s">
        <v>77</v>
      </c>
      <c r="E2398" t="s">
        <v>287</v>
      </c>
      <c r="F2398">
        <v>30000</v>
      </c>
      <c r="G2398" s="13">
        <v>44922</v>
      </c>
      <c r="H2398" s="13">
        <v>45288</v>
      </c>
      <c r="I2398">
        <v>21420</v>
      </c>
      <c r="J2398">
        <v>5000</v>
      </c>
      <c r="K2398">
        <v>26420</v>
      </c>
      <c r="N2398">
        <v>100</v>
      </c>
      <c r="O2398">
        <v>6.9572000000000003</v>
      </c>
      <c r="P2398">
        <v>88.066699999999997</v>
      </c>
      <c r="Q2398">
        <v>6.5</v>
      </c>
      <c r="R2398">
        <v>6.5</v>
      </c>
      <c r="S2398">
        <v>6.5</v>
      </c>
      <c r="T2398">
        <v>93.427778000000004</v>
      </c>
      <c r="W2398" t="s">
        <v>875</v>
      </c>
    </row>
    <row r="2399" spans="1:23" x14ac:dyDescent="0.25">
      <c r="A2399" t="s">
        <v>2848</v>
      </c>
      <c r="B2399" t="str">
        <f t="shared" si="38"/>
        <v>GA1200001673</v>
      </c>
      <c r="C2399" t="s">
        <v>227</v>
      </c>
      <c r="D2399" t="s">
        <v>77</v>
      </c>
      <c r="E2399" t="s">
        <v>82</v>
      </c>
      <c r="F2399">
        <v>10000</v>
      </c>
      <c r="G2399" s="13">
        <v>44923</v>
      </c>
      <c r="H2399" s="13">
        <v>45107</v>
      </c>
      <c r="I2399">
        <v>4069</v>
      </c>
      <c r="J2399">
        <v>5931</v>
      </c>
      <c r="K2399">
        <v>10000</v>
      </c>
      <c r="N2399">
        <v>38.888888888888893</v>
      </c>
      <c r="O2399">
        <v>6.0414000000000003</v>
      </c>
      <c r="P2399">
        <v>146.01</v>
      </c>
      <c r="Q2399">
        <v>6</v>
      </c>
      <c r="R2399">
        <v>5.3</v>
      </c>
      <c r="S2399">
        <v>6</v>
      </c>
      <c r="T2399">
        <v>97.036241000000004</v>
      </c>
      <c r="W2399" t="s">
        <v>497</v>
      </c>
    </row>
    <row r="2400" spans="1:23" x14ac:dyDescent="0.25">
      <c r="A2400" t="s">
        <v>2849</v>
      </c>
      <c r="B2400" t="str">
        <f t="shared" si="38"/>
        <v>CM1100000981</v>
      </c>
      <c r="C2400" t="s">
        <v>225</v>
      </c>
      <c r="D2400" t="s">
        <v>77</v>
      </c>
      <c r="E2400" t="s">
        <v>78</v>
      </c>
      <c r="F2400">
        <v>10000</v>
      </c>
      <c r="G2400" s="13">
        <v>44928</v>
      </c>
      <c r="H2400" s="13">
        <v>45021</v>
      </c>
      <c r="J2400">
        <v>10000</v>
      </c>
      <c r="K2400">
        <v>10000</v>
      </c>
      <c r="N2400">
        <v>0</v>
      </c>
      <c r="W2400" t="s">
        <v>542</v>
      </c>
    </row>
    <row r="2401" spans="1:23" x14ac:dyDescent="0.25">
      <c r="A2401" t="s">
        <v>2850</v>
      </c>
      <c r="B2401" t="str">
        <f t="shared" si="38"/>
        <v>CM1200001251</v>
      </c>
      <c r="C2401" t="s">
        <v>225</v>
      </c>
      <c r="D2401" t="s">
        <v>77</v>
      </c>
      <c r="E2401" t="s">
        <v>82</v>
      </c>
      <c r="F2401">
        <v>20000</v>
      </c>
      <c r="G2401" s="13">
        <v>44928</v>
      </c>
      <c r="H2401" s="13">
        <v>45112</v>
      </c>
      <c r="J2401">
        <v>20000</v>
      </c>
      <c r="K2401">
        <v>20000</v>
      </c>
      <c r="N2401">
        <v>0</v>
      </c>
      <c r="W2401" t="s">
        <v>542</v>
      </c>
    </row>
    <row r="2402" spans="1:23" x14ac:dyDescent="0.25">
      <c r="A2402" t="s">
        <v>2851</v>
      </c>
      <c r="B2402" t="str">
        <f t="shared" si="38"/>
        <v>CM1300000625</v>
      </c>
      <c r="C2402" t="s">
        <v>225</v>
      </c>
      <c r="D2402" t="s">
        <v>77</v>
      </c>
      <c r="E2402" t="s">
        <v>287</v>
      </c>
      <c r="F2402">
        <v>11957</v>
      </c>
      <c r="G2402" s="13">
        <v>44928</v>
      </c>
      <c r="H2402" s="13">
        <v>45294</v>
      </c>
      <c r="J2402">
        <v>11957</v>
      </c>
      <c r="K2402">
        <v>11957</v>
      </c>
      <c r="N2402">
        <v>0</v>
      </c>
      <c r="W2402" t="s">
        <v>542</v>
      </c>
    </row>
    <row r="2403" spans="1:23" x14ac:dyDescent="0.25">
      <c r="A2403" t="s">
        <v>2852</v>
      </c>
      <c r="B2403" t="str">
        <f t="shared" si="38"/>
        <v>GA1200001681</v>
      </c>
      <c r="C2403" t="s">
        <v>227</v>
      </c>
      <c r="D2403" t="s">
        <v>77</v>
      </c>
      <c r="E2403" t="s">
        <v>82</v>
      </c>
      <c r="F2403">
        <v>11000</v>
      </c>
      <c r="G2403" s="13">
        <v>44930</v>
      </c>
      <c r="H2403" s="13">
        <v>45114</v>
      </c>
      <c r="I2403">
        <v>0</v>
      </c>
      <c r="J2403">
        <v>9511</v>
      </c>
      <c r="K2403">
        <v>9511</v>
      </c>
      <c r="N2403">
        <v>20</v>
      </c>
      <c r="O2403">
        <v>6.0537000000000001</v>
      </c>
      <c r="P2403">
        <v>86.4636</v>
      </c>
      <c r="Q2403">
        <v>6.5</v>
      </c>
      <c r="R2403">
        <v>5</v>
      </c>
      <c r="S2403">
        <v>6.5</v>
      </c>
      <c r="T2403">
        <v>97.030389</v>
      </c>
      <c r="W2403" t="s">
        <v>497</v>
      </c>
    </row>
    <row r="2404" spans="1:23" x14ac:dyDescent="0.25">
      <c r="A2404" t="s">
        <v>2853</v>
      </c>
      <c r="B2404" t="str">
        <f t="shared" si="38"/>
        <v>CG1100000401</v>
      </c>
      <c r="C2404" t="s">
        <v>229</v>
      </c>
      <c r="D2404" t="s">
        <v>77</v>
      </c>
      <c r="E2404" t="s">
        <v>78</v>
      </c>
      <c r="F2404">
        <v>5000</v>
      </c>
      <c r="G2404" s="13">
        <v>44929</v>
      </c>
      <c r="H2404" s="13">
        <v>45015</v>
      </c>
      <c r="I2404">
        <v>1000</v>
      </c>
      <c r="J2404">
        <v>2964</v>
      </c>
      <c r="K2404">
        <v>3964</v>
      </c>
      <c r="N2404">
        <v>13.043478260869565</v>
      </c>
      <c r="O2404">
        <v>6.3448000000000002</v>
      </c>
      <c r="P2404">
        <v>79.28</v>
      </c>
      <c r="Q2404">
        <v>6.5</v>
      </c>
      <c r="R2404">
        <v>6</v>
      </c>
      <c r="S2404">
        <v>6.5</v>
      </c>
      <c r="T2404">
        <v>98.541137000000006</v>
      </c>
      <c r="W2404" t="s">
        <v>497</v>
      </c>
    </row>
    <row r="2405" spans="1:23" x14ac:dyDescent="0.25">
      <c r="A2405" t="s">
        <v>2854</v>
      </c>
      <c r="B2405" t="str">
        <f t="shared" si="38"/>
        <v>CM1200001269</v>
      </c>
      <c r="C2405" t="s">
        <v>225</v>
      </c>
      <c r="D2405" t="s">
        <v>77</v>
      </c>
      <c r="E2405" t="s">
        <v>82</v>
      </c>
      <c r="F2405">
        <v>50000</v>
      </c>
      <c r="G2405" s="13">
        <v>44935</v>
      </c>
      <c r="H2405" s="13">
        <v>45119</v>
      </c>
      <c r="I2405">
        <v>50000</v>
      </c>
      <c r="J2405">
        <v>0</v>
      </c>
      <c r="K2405">
        <v>50000</v>
      </c>
      <c r="N2405">
        <v>75</v>
      </c>
      <c r="O2405">
        <v>4.3433000000000002</v>
      </c>
      <c r="P2405">
        <v>100</v>
      </c>
      <c r="Q2405">
        <v>4.25</v>
      </c>
      <c r="R2405">
        <v>4.25</v>
      </c>
      <c r="S2405">
        <v>4.25</v>
      </c>
      <c r="T2405">
        <v>97.851388999999998</v>
      </c>
      <c r="W2405" t="s">
        <v>875</v>
      </c>
    </row>
    <row r="2406" spans="1:23" x14ac:dyDescent="0.25">
      <c r="A2406" t="s">
        <v>2855</v>
      </c>
      <c r="B2406" t="str">
        <f t="shared" si="38"/>
        <v>CG1200000848</v>
      </c>
      <c r="C2406" t="s">
        <v>229</v>
      </c>
      <c r="D2406" t="s">
        <v>77</v>
      </c>
      <c r="E2406" t="s">
        <v>82</v>
      </c>
      <c r="F2406">
        <v>15000</v>
      </c>
      <c r="G2406" s="13">
        <v>44936</v>
      </c>
      <c r="H2406" s="13">
        <v>45120</v>
      </c>
      <c r="I2406">
        <v>1415</v>
      </c>
      <c r="J2406">
        <v>7606</v>
      </c>
      <c r="K2406">
        <v>9021</v>
      </c>
      <c r="N2406">
        <v>30.434782608695656</v>
      </c>
      <c r="O2406">
        <v>6.8201000000000001</v>
      </c>
      <c r="P2406">
        <v>61.806699999999999</v>
      </c>
      <c r="Q2406">
        <v>7</v>
      </c>
      <c r="R2406">
        <v>5.8</v>
      </c>
      <c r="S2406">
        <v>7</v>
      </c>
      <c r="T2406">
        <v>96.666965000000005</v>
      </c>
      <c r="W2406" t="s">
        <v>497</v>
      </c>
    </row>
    <row r="2407" spans="1:23" x14ac:dyDescent="0.25">
      <c r="A2407" t="s">
        <v>2856</v>
      </c>
      <c r="B2407" t="str">
        <f t="shared" si="38"/>
        <v>GA1100001617</v>
      </c>
      <c r="C2407" t="s">
        <v>227</v>
      </c>
      <c r="D2407" t="s">
        <v>77</v>
      </c>
      <c r="E2407" t="s">
        <v>78</v>
      </c>
      <c r="F2407">
        <v>10000</v>
      </c>
      <c r="G2407" s="13">
        <v>44937</v>
      </c>
      <c r="H2407" s="13">
        <v>45030</v>
      </c>
      <c r="I2407">
        <v>6600</v>
      </c>
      <c r="J2407">
        <v>3400</v>
      </c>
      <c r="K2407">
        <v>10000</v>
      </c>
      <c r="N2407">
        <v>45</v>
      </c>
      <c r="O2407">
        <v>5.0331999999999999</v>
      </c>
      <c r="P2407">
        <v>207.75</v>
      </c>
      <c r="Q2407">
        <v>5.5</v>
      </c>
      <c r="R2407">
        <v>4.6500000000000004</v>
      </c>
      <c r="S2407">
        <v>5.5</v>
      </c>
      <c r="T2407">
        <v>98.743694000000005</v>
      </c>
      <c r="W2407" t="s">
        <v>497</v>
      </c>
    </row>
    <row r="2408" spans="1:23" x14ac:dyDescent="0.25">
      <c r="A2408" t="s">
        <v>2857</v>
      </c>
      <c r="B2408" t="str">
        <f t="shared" si="38"/>
        <v>CM1100000999</v>
      </c>
      <c r="C2408" t="s">
        <v>225</v>
      </c>
      <c r="D2408" t="s">
        <v>77</v>
      </c>
      <c r="E2408" t="s">
        <v>78</v>
      </c>
      <c r="F2408">
        <v>20000</v>
      </c>
      <c r="G2408" s="13">
        <v>44942</v>
      </c>
      <c r="H2408" s="13"/>
      <c r="J2408">
        <v>0</v>
      </c>
      <c r="N2408">
        <v>0</v>
      </c>
      <c r="T2408" t="s">
        <v>1418</v>
      </c>
      <c r="W2408" t="s">
        <v>497</v>
      </c>
    </row>
    <row r="2409" spans="1:23" x14ac:dyDescent="0.25">
      <c r="A2409" t="s">
        <v>2858</v>
      </c>
      <c r="B2409" t="str">
        <f t="shared" si="38"/>
        <v>CM1200001277</v>
      </c>
      <c r="C2409" t="s">
        <v>225</v>
      </c>
      <c r="D2409" t="s">
        <v>77</v>
      </c>
      <c r="E2409" t="s">
        <v>82</v>
      </c>
      <c r="F2409">
        <v>20000</v>
      </c>
      <c r="G2409" s="13">
        <v>44942</v>
      </c>
      <c r="H2409" s="13">
        <v>45126</v>
      </c>
      <c r="I2409">
        <v>7500</v>
      </c>
      <c r="J2409">
        <v>500</v>
      </c>
      <c r="K2409">
        <v>8000</v>
      </c>
      <c r="N2409">
        <v>28.571428571428569</v>
      </c>
      <c r="O2409">
        <v>4.0297999999999998</v>
      </c>
      <c r="P2409">
        <v>45.05</v>
      </c>
      <c r="Q2409">
        <v>4.1500000000000004</v>
      </c>
      <c r="R2409">
        <v>3.4</v>
      </c>
      <c r="S2409">
        <v>4.1500000000000004</v>
      </c>
      <c r="T2409">
        <v>98.003371999999999</v>
      </c>
      <c r="W2409" t="s">
        <v>497</v>
      </c>
    </row>
    <row r="2410" spans="1:23" x14ac:dyDescent="0.25">
      <c r="A2410" t="s">
        <v>2859</v>
      </c>
      <c r="B2410" t="str">
        <f t="shared" si="38"/>
        <v>GA1200001699</v>
      </c>
      <c r="C2410" t="s">
        <v>227</v>
      </c>
      <c r="D2410" t="s">
        <v>77</v>
      </c>
      <c r="E2410" t="s">
        <v>82</v>
      </c>
      <c r="F2410">
        <v>7500</v>
      </c>
      <c r="G2410" s="13">
        <v>44944</v>
      </c>
      <c r="H2410" s="13">
        <v>45128</v>
      </c>
      <c r="I2410">
        <v>3760</v>
      </c>
      <c r="J2410">
        <v>3740</v>
      </c>
      <c r="K2410">
        <v>7500</v>
      </c>
      <c r="N2410">
        <v>40</v>
      </c>
      <c r="O2410">
        <v>6.0498000000000003</v>
      </c>
      <c r="P2410">
        <v>151.58670000000001</v>
      </c>
      <c r="Q2410">
        <v>6</v>
      </c>
      <c r="R2410">
        <v>5</v>
      </c>
      <c r="S2410">
        <v>6</v>
      </c>
      <c r="T2410">
        <v>97.032278000000005</v>
      </c>
      <c r="W2410" t="s">
        <v>497</v>
      </c>
    </row>
    <row r="2411" spans="1:23" x14ac:dyDescent="0.25">
      <c r="A2411" t="s">
        <v>2860</v>
      </c>
      <c r="B2411" t="str">
        <f t="shared" si="38"/>
        <v>GQ1200000040</v>
      </c>
      <c r="C2411" t="s">
        <v>528</v>
      </c>
      <c r="D2411" t="s">
        <v>77</v>
      </c>
      <c r="E2411" t="s">
        <v>82</v>
      </c>
      <c r="F2411">
        <v>20000</v>
      </c>
      <c r="G2411" s="13">
        <v>44943</v>
      </c>
      <c r="H2411" s="13">
        <v>45127</v>
      </c>
      <c r="I2411">
        <v>3500</v>
      </c>
      <c r="J2411">
        <v>7434</v>
      </c>
      <c r="K2411">
        <v>10934</v>
      </c>
      <c r="N2411">
        <v>53.846153846153847</v>
      </c>
      <c r="O2411">
        <v>7.1337000000000002</v>
      </c>
      <c r="P2411">
        <v>79.844999999999999</v>
      </c>
      <c r="Q2411">
        <v>7.5</v>
      </c>
      <c r="R2411">
        <v>5.5</v>
      </c>
      <c r="S2411">
        <v>7.5</v>
      </c>
      <c r="T2411">
        <v>96.519069000000002</v>
      </c>
      <c r="W2411" t="s">
        <v>497</v>
      </c>
    </row>
    <row r="2412" spans="1:23" x14ac:dyDescent="0.25">
      <c r="A2412" t="s">
        <v>2861</v>
      </c>
      <c r="B2412" t="str">
        <f t="shared" si="38"/>
        <v>CG1200000855</v>
      </c>
      <c r="C2412" t="s">
        <v>229</v>
      </c>
      <c r="D2412" t="s">
        <v>77</v>
      </c>
      <c r="E2412" t="s">
        <v>82</v>
      </c>
      <c r="F2412">
        <v>10000</v>
      </c>
      <c r="G2412" s="13">
        <v>44950</v>
      </c>
      <c r="H2412" s="13">
        <v>45134</v>
      </c>
      <c r="I2412">
        <v>200</v>
      </c>
      <c r="J2412">
        <v>4906</v>
      </c>
      <c r="K2412">
        <v>5106</v>
      </c>
      <c r="N2412">
        <v>39.130434782608695</v>
      </c>
      <c r="O2412">
        <v>6.4470999999999998</v>
      </c>
      <c r="P2412">
        <v>51.06</v>
      </c>
      <c r="Q2412">
        <v>7</v>
      </c>
      <c r="R2412">
        <v>5.7</v>
      </c>
      <c r="S2412">
        <v>7</v>
      </c>
      <c r="T2412">
        <v>96.843525</v>
      </c>
      <c r="W2412" t="s">
        <v>497</v>
      </c>
    </row>
    <row r="2413" spans="1:23" x14ac:dyDescent="0.25">
      <c r="A2413" t="s">
        <v>2862</v>
      </c>
      <c r="B2413" t="str">
        <f t="shared" si="38"/>
        <v>GA1100001625</v>
      </c>
      <c r="C2413" t="s">
        <v>227</v>
      </c>
      <c r="D2413" t="s">
        <v>77</v>
      </c>
      <c r="E2413" t="s">
        <v>78</v>
      </c>
      <c r="F2413">
        <v>10000</v>
      </c>
      <c r="G2413" s="13">
        <v>44951</v>
      </c>
      <c r="H2413" s="13">
        <v>45044</v>
      </c>
      <c r="I2413">
        <v>5979</v>
      </c>
      <c r="J2413">
        <v>4021</v>
      </c>
      <c r="K2413">
        <v>10000</v>
      </c>
      <c r="N2413">
        <v>35</v>
      </c>
      <c r="O2413">
        <v>5.5137999999999998</v>
      </c>
      <c r="P2413">
        <v>125.62</v>
      </c>
      <c r="Q2413">
        <v>5.5</v>
      </c>
      <c r="R2413">
        <v>5</v>
      </c>
      <c r="S2413">
        <v>5.5</v>
      </c>
      <c r="T2413">
        <v>98.625394</v>
      </c>
      <c r="W2413" t="s">
        <v>497</v>
      </c>
    </row>
    <row r="2414" spans="1:23" x14ac:dyDescent="0.25">
      <c r="A2414" t="s">
        <v>2863</v>
      </c>
      <c r="B2414" t="str">
        <f t="shared" si="38"/>
        <v>TD1300000643</v>
      </c>
      <c r="C2414" t="s">
        <v>237</v>
      </c>
      <c r="D2414" t="s">
        <v>77</v>
      </c>
      <c r="E2414" t="s">
        <v>287</v>
      </c>
      <c r="F2414">
        <v>8300</v>
      </c>
      <c r="G2414" s="13">
        <v>44951</v>
      </c>
      <c r="H2414" s="13">
        <v>45317</v>
      </c>
      <c r="I2414">
        <v>8270</v>
      </c>
      <c r="J2414">
        <v>30</v>
      </c>
      <c r="K2414">
        <v>8300</v>
      </c>
      <c r="N2414">
        <v>25</v>
      </c>
      <c r="O2414">
        <v>6.9513999999999996</v>
      </c>
      <c r="P2414">
        <v>100.4337</v>
      </c>
      <c r="Q2414">
        <v>6.5</v>
      </c>
      <c r="R2414">
        <v>5.0999999999999996</v>
      </c>
      <c r="S2414">
        <v>6.5</v>
      </c>
      <c r="T2414">
        <v>93.432894000000005</v>
      </c>
      <c r="W2414" t="s">
        <v>497</v>
      </c>
    </row>
    <row r="2415" spans="1:23" x14ac:dyDescent="0.25">
      <c r="A2415" t="s">
        <v>2864</v>
      </c>
      <c r="B2415" t="str">
        <f t="shared" si="38"/>
        <v>CG1300000250</v>
      </c>
      <c r="C2415" t="s">
        <v>229</v>
      </c>
      <c r="D2415" t="s">
        <v>77</v>
      </c>
      <c r="E2415" t="s">
        <v>287</v>
      </c>
      <c r="F2415">
        <v>11000</v>
      </c>
      <c r="G2415" s="13">
        <v>44957</v>
      </c>
      <c r="H2415" s="13">
        <v>45323</v>
      </c>
      <c r="I2415">
        <v>496</v>
      </c>
      <c r="J2415">
        <v>2012</v>
      </c>
      <c r="K2415">
        <v>2508</v>
      </c>
      <c r="N2415">
        <v>34.782608695652172</v>
      </c>
      <c r="O2415">
        <v>6.9698000000000002</v>
      </c>
      <c r="P2415">
        <v>22.8</v>
      </c>
      <c r="Q2415">
        <v>6.75</v>
      </c>
      <c r="R2415">
        <v>6</v>
      </c>
      <c r="S2415">
        <v>6.75</v>
      </c>
      <c r="T2415">
        <v>93.416670999999994</v>
      </c>
      <c r="W2415" t="s">
        <v>497</v>
      </c>
    </row>
    <row r="2416" spans="1:23" x14ac:dyDescent="0.25">
      <c r="A2416" t="s">
        <v>2865</v>
      </c>
      <c r="B2416" t="str">
        <f t="shared" si="38"/>
        <v>GQ1200000057</v>
      </c>
      <c r="C2416" t="s">
        <v>528</v>
      </c>
      <c r="D2416" t="s">
        <v>77</v>
      </c>
      <c r="E2416" t="s">
        <v>82</v>
      </c>
      <c r="F2416">
        <v>19000</v>
      </c>
      <c r="G2416" s="13">
        <v>44957</v>
      </c>
      <c r="H2416" s="13">
        <v>45141</v>
      </c>
      <c r="I2416">
        <v>11000</v>
      </c>
      <c r="J2416">
        <v>2111</v>
      </c>
      <c r="K2416">
        <v>13111</v>
      </c>
      <c r="N2416">
        <v>38.461538461538467</v>
      </c>
      <c r="O2416">
        <v>7.5883000000000003</v>
      </c>
      <c r="P2416">
        <v>69.005300000000005</v>
      </c>
      <c r="Q2416">
        <v>7.5</v>
      </c>
      <c r="R2416">
        <v>7</v>
      </c>
      <c r="S2416">
        <v>7.5</v>
      </c>
      <c r="T2416">
        <v>96.305446000000003</v>
      </c>
      <c r="W2416" t="s">
        <v>497</v>
      </c>
    </row>
    <row r="2417" spans="1:23" x14ac:dyDescent="0.25">
      <c r="A2417" t="s">
        <v>2866</v>
      </c>
      <c r="B2417" t="str">
        <f t="shared" si="38"/>
        <v>TD1200001550</v>
      </c>
      <c r="C2417" t="s">
        <v>237</v>
      </c>
      <c r="D2417" t="s">
        <v>77</v>
      </c>
      <c r="E2417" t="s">
        <v>82</v>
      </c>
      <c r="F2417">
        <v>12000</v>
      </c>
      <c r="G2417" s="13">
        <v>44958</v>
      </c>
      <c r="H2417" s="13">
        <v>45142</v>
      </c>
      <c r="I2417">
        <v>9067</v>
      </c>
      <c r="J2417">
        <v>2140</v>
      </c>
      <c r="K2417">
        <v>11207</v>
      </c>
      <c r="N2417">
        <v>33.333333333333329</v>
      </c>
      <c r="O2417">
        <v>6.7130999999999998</v>
      </c>
      <c r="P2417">
        <v>116.9833</v>
      </c>
      <c r="Q2417">
        <v>7</v>
      </c>
      <c r="R2417">
        <v>6.25</v>
      </c>
      <c r="S2417">
        <v>6.5</v>
      </c>
      <c r="T2417">
        <v>96.762529999999998</v>
      </c>
      <c r="W2417" t="s">
        <v>497</v>
      </c>
    </row>
    <row r="2418" spans="1:23" x14ac:dyDescent="0.25">
      <c r="A2418" t="s">
        <v>2867</v>
      </c>
      <c r="B2418" t="str">
        <f t="shared" si="38"/>
        <v>GA1300000609</v>
      </c>
      <c r="C2418" t="s">
        <v>227</v>
      </c>
      <c r="D2418" t="s">
        <v>77</v>
      </c>
      <c r="E2418" t="s">
        <v>287</v>
      </c>
      <c r="F2418">
        <v>7500</v>
      </c>
      <c r="G2418" s="13">
        <v>44958</v>
      </c>
      <c r="H2418" s="13">
        <v>45324</v>
      </c>
      <c r="I2418">
        <v>5101</v>
      </c>
      <c r="J2418">
        <v>2399</v>
      </c>
      <c r="K2418">
        <v>7500</v>
      </c>
      <c r="N2418">
        <v>44.444444444444443</v>
      </c>
      <c r="O2418">
        <v>6.3714000000000004</v>
      </c>
      <c r="P2418">
        <v>162.41329999999999</v>
      </c>
      <c r="Q2418">
        <v>6.75</v>
      </c>
      <c r="R2418">
        <v>5.4</v>
      </c>
      <c r="S2418">
        <v>6.25</v>
      </c>
      <c r="T2418">
        <v>93.947664000000003</v>
      </c>
      <c r="W2418" t="s">
        <v>497</v>
      </c>
    </row>
    <row r="2419" spans="1:23" x14ac:dyDescent="0.25">
      <c r="A2419" t="s">
        <v>2868</v>
      </c>
      <c r="B2419" t="str">
        <f t="shared" si="38"/>
        <v>CM1200001285</v>
      </c>
      <c r="C2419" t="s">
        <v>225</v>
      </c>
      <c r="D2419" t="s">
        <v>77</v>
      </c>
      <c r="E2419" t="s">
        <v>82</v>
      </c>
      <c r="F2419">
        <v>20000</v>
      </c>
      <c r="G2419" s="13">
        <v>44963</v>
      </c>
      <c r="H2419" s="13">
        <v>45147</v>
      </c>
      <c r="I2419">
        <v>12000</v>
      </c>
      <c r="J2419">
        <v>500</v>
      </c>
      <c r="K2419">
        <v>12500</v>
      </c>
      <c r="N2419">
        <v>28.571428571428569</v>
      </c>
      <c r="O2419">
        <v>4.1242000000000001</v>
      </c>
      <c r="P2419">
        <v>62.55</v>
      </c>
      <c r="Q2419">
        <v>6</v>
      </c>
      <c r="R2419">
        <v>3.9</v>
      </c>
      <c r="S2419">
        <v>4.1500000000000004</v>
      </c>
      <c r="T2419">
        <v>97.957499999999996</v>
      </c>
      <c r="W2419" t="s">
        <v>497</v>
      </c>
    </row>
    <row r="2420" spans="1:23" x14ac:dyDescent="0.25">
      <c r="A2420" t="s">
        <v>2869</v>
      </c>
      <c r="B2420" t="str">
        <f t="shared" si="38"/>
        <v>CG1100000419</v>
      </c>
      <c r="C2420" t="s">
        <v>229</v>
      </c>
      <c r="D2420" t="s">
        <v>77</v>
      </c>
      <c r="E2420" t="s">
        <v>78</v>
      </c>
      <c r="F2420">
        <v>10000</v>
      </c>
      <c r="G2420" s="13">
        <v>44964</v>
      </c>
      <c r="H2420" s="13">
        <v>45057</v>
      </c>
      <c r="I2420">
        <v>2500</v>
      </c>
      <c r="J2420">
        <v>1580</v>
      </c>
      <c r="K2420">
        <v>4080</v>
      </c>
      <c r="N2420">
        <v>17.391304347826086</v>
      </c>
      <c r="O2420">
        <v>6.6048</v>
      </c>
      <c r="P2420">
        <v>40.799999999999997</v>
      </c>
      <c r="Q2420">
        <v>6.5</v>
      </c>
      <c r="R2420">
        <v>6</v>
      </c>
      <c r="S2420">
        <v>6.5</v>
      </c>
      <c r="T2420">
        <v>98.357873999999995</v>
      </c>
      <c r="W2420" t="s">
        <v>497</v>
      </c>
    </row>
    <row r="2421" spans="1:23" x14ac:dyDescent="0.25">
      <c r="A2421" t="s">
        <v>2870</v>
      </c>
      <c r="B2421" t="str">
        <f t="shared" si="38"/>
        <v>CG1200000863</v>
      </c>
      <c r="C2421" t="s">
        <v>229</v>
      </c>
      <c r="D2421" t="s">
        <v>77</v>
      </c>
      <c r="E2421" t="s">
        <v>82</v>
      </c>
      <c r="F2421">
        <v>11000</v>
      </c>
      <c r="G2421" s="13">
        <v>44964</v>
      </c>
      <c r="H2421" s="13">
        <v>45148</v>
      </c>
      <c r="I2421">
        <v>4175</v>
      </c>
      <c r="J2421">
        <v>3723</v>
      </c>
      <c r="K2421">
        <v>7898</v>
      </c>
      <c r="N2421">
        <v>34.782608695652172</v>
      </c>
      <c r="O2421">
        <v>6.7874999999999996</v>
      </c>
      <c r="P2421">
        <v>71.8</v>
      </c>
      <c r="Q2421">
        <v>7</v>
      </c>
      <c r="R2421">
        <v>6</v>
      </c>
      <c r="S2421">
        <v>7</v>
      </c>
      <c r="T2421">
        <v>96.682395999999997</v>
      </c>
      <c r="W2421" t="s">
        <v>497</v>
      </c>
    </row>
    <row r="2422" spans="1:23" x14ac:dyDescent="0.25">
      <c r="A2422" t="s">
        <v>2871</v>
      </c>
      <c r="B2422" t="str">
        <f t="shared" si="38"/>
        <v>GA1100001633</v>
      </c>
      <c r="C2422" t="s">
        <v>227</v>
      </c>
      <c r="D2422" t="s">
        <v>77</v>
      </c>
      <c r="E2422" t="s">
        <v>78</v>
      </c>
      <c r="F2422">
        <v>11000</v>
      </c>
      <c r="G2422" s="13">
        <v>44965</v>
      </c>
      <c r="H2422" s="13">
        <v>45058</v>
      </c>
      <c r="I2422">
        <v>6500</v>
      </c>
      <c r="J2422">
        <v>4500</v>
      </c>
      <c r="K2422">
        <v>11000</v>
      </c>
      <c r="N2422">
        <v>40</v>
      </c>
      <c r="O2422">
        <v>5.4490999999999996</v>
      </c>
      <c r="P2422">
        <v>139.5909</v>
      </c>
      <c r="Q2422">
        <v>6.5</v>
      </c>
      <c r="R2422">
        <v>5</v>
      </c>
      <c r="S2422">
        <v>5.75</v>
      </c>
      <c r="T2422">
        <v>98.641307999999995</v>
      </c>
      <c r="W2422" t="s">
        <v>497</v>
      </c>
    </row>
    <row r="2423" spans="1:23" x14ac:dyDescent="0.25">
      <c r="A2423" t="s">
        <v>2872</v>
      </c>
      <c r="B2423" t="str">
        <f t="shared" si="38"/>
        <v>CG1100000427</v>
      </c>
      <c r="C2423" t="s">
        <v>229</v>
      </c>
      <c r="D2423" t="s">
        <v>77</v>
      </c>
      <c r="E2423" t="s">
        <v>78</v>
      </c>
      <c r="F2423">
        <v>10000</v>
      </c>
      <c r="G2423" s="13">
        <v>44971</v>
      </c>
      <c r="H2423" s="13">
        <v>45064</v>
      </c>
      <c r="I2423">
        <v>1649</v>
      </c>
      <c r="J2423">
        <v>6574</v>
      </c>
      <c r="K2423">
        <v>8223</v>
      </c>
      <c r="N2423">
        <v>34.782608695652172</v>
      </c>
      <c r="O2423">
        <v>6.3765000000000001</v>
      </c>
      <c r="P2423">
        <v>102.23</v>
      </c>
      <c r="Q2423">
        <v>7</v>
      </c>
      <c r="R2423">
        <v>5</v>
      </c>
      <c r="S2423">
        <v>6.5</v>
      </c>
      <c r="T2423">
        <v>98.413722000000007</v>
      </c>
      <c r="W2423" t="s">
        <v>497</v>
      </c>
    </row>
    <row r="2424" spans="1:23" x14ac:dyDescent="0.25">
      <c r="A2424" t="s">
        <v>2873</v>
      </c>
      <c r="B2424" t="str">
        <f t="shared" si="38"/>
        <v>GA1100001641</v>
      </c>
      <c r="C2424" t="s">
        <v>227</v>
      </c>
      <c r="D2424" t="s">
        <v>77</v>
      </c>
      <c r="E2424" t="s">
        <v>78</v>
      </c>
      <c r="F2424">
        <v>9000</v>
      </c>
      <c r="G2424" s="13">
        <v>44972</v>
      </c>
      <c r="H2424" s="13">
        <v>45065</v>
      </c>
      <c r="I2424">
        <v>6500</v>
      </c>
      <c r="J2424">
        <v>1201</v>
      </c>
      <c r="K2424">
        <v>7701</v>
      </c>
      <c r="N2424">
        <v>35</v>
      </c>
      <c r="O2424">
        <v>5.6093999999999999</v>
      </c>
      <c r="P2424">
        <v>85.566699999999997</v>
      </c>
      <c r="Q2424">
        <v>5.75</v>
      </c>
      <c r="R2424">
        <v>5</v>
      </c>
      <c r="S2424">
        <v>5.75</v>
      </c>
      <c r="T2424">
        <v>98.601894000000001</v>
      </c>
      <c r="W2424" t="s">
        <v>497</v>
      </c>
    </row>
    <row r="2425" spans="1:23" x14ac:dyDescent="0.25">
      <c r="A2425" t="s">
        <v>2874</v>
      </c>
      <c r="B2425" t="str">
        <f t="shared" si="38"/>
        <v>GQ1300001187</v>
      </c>
      <c r="C2425" t="s">
        <v>528</v>
      </c>
      <c r="D2425" t="s">
        <v>77</v>
      </c>
      <c r="E2425" t="s">
        <v>287</v>
      </c>
      <c r="G2425" s="13">
        <v>44971</v>
      </c>
      <c r="H2425" s="13"/>
      <c r="J2425">
        <v>0</v>
      </c>
      <c r="N2425">
        <v>0</v>
      </c>
      <c r="T2425" t="s">
        <v>1418</v>
      </c>
      <c r="W2425" t="s">
        <v>497</v>
      </c>
    </row>
    <row r="2426" spans="1:23" x14ac:dyDescent="0.25">
      <c r="A2426" t="s">
        <v>2875</v>
      </c>
      <c r="B2426" t="str">
        <f t="shared" si="38"/>
        <v>CG1200000871</v>
      </c>
      <c r="C2426" t="s">
        <v>229</v>
      </c>
      <c r="D2426" t="s">
        <v>77</v>
      </c>
      <c r="E2426" t="s">
        <v>82</v>
      </c>
      <c r="F2426">
        <v>10000</v>
      </c>
      <c r="G2426" s="13">
        <v>44978</v>
      </c>
      <c r="H2426" s="13">
        <v>45162</v>
      </c>
      <c r="I2426">
        <v>1990</v>
      </c>
      <c r="J2426">
        <v>3055</v>
      </c>
      <c r="K2426">
        <v>5045</v>
      </c>
      <c r="N2426">
        <v>34.782608695652172</v>
      </c>
      <c r="O2426">
        <v>6.7416</v>
      </c>
      <c r="P2426">
        <v>55.55</v>
      </c>
      <c r="Q2426">
        <v>7.5</v>
      </c>
      <c r="R2426">
        <v>5.75</v>
      </c>
      <c r="S2426">
        <v>6.75</v>
      </c>
      <c r="T2426">
        <v>96.704103000000003</v>
      </c>
      <c r="W2426" t="s">
        <v>497</v>
      </c>
    </row>
    <row r="2427" spans="1:23" x14ac:dyDescent="0.25">
      <c r="A2427" t="s">
        <v>2876</v>
      </c>
      <c r="B2427" t="str">
        <f t="shared" si="38"/>
        <v>CG1300000268</v>
      </c>
      <c r="C2427" t="s">
        <v>229</v>
      </c>
      <c r="D2427" t="s">
        <v>77</v>
      </c>
      <c r="E2427" t="s">
        <v>287</v>
      </c>
      <c r="F2427">
        <v>10000</v>
      </c>
      <c r="G2427" s="13">
        <v>44978</v>
      </c>
      <c r="H2427" s="13">
        <v>45344</v>
      </c>
      <c r="I2427">
        <v>7600</v>
      </c>
      <c r="J2427">
        <v>2400</v>
      </c>
      <c r="K2427">
        <v>10000</v>
      </c>
      <c r="N2427">
        <v>34.782608695652172</v>
      </c>
      <c r="O2427">
        <v>7.4001999999999999</v>
      </c>
      <c r="P2427">
        <v>100.6</v>
      </c>
      <c r="Q2427">
        <v>8</v>
      </c>
      <c r="R2427">
        <v>6.4</v>
      </c>
      <c r="S2427">
        <v>7</v>
      </c>
      <c r="T2427">
        <v>93.038499999999999</v>
      </c>
      <c r="W2427" t="s">
        <v>497</v>
      </c>
    </row>
    <row r="2428" spans="1:23" x14ac:dyDescent="0.25">
      <c r="A2428" t="s">
        <v>2877</v>
      </c>
      <c r="B2428" t="str">
        <f t="shared" si="38"/>
        <v>GA1200001707</v>
      </c>
      <c r="C2428" t="s">
        <v>227</v>
      </c>
      <c r="D2428" t="s">
        <v>77</v>
      </c>
      <c r="E2428" t="s">
        <v>82</v>
      </c>
      <c r="F2428">
        <v>10000</v>
      </c>
      <c r="G2428" s="13">
        <v>44979</v>
      </c>
      <c r="H2428" s="13">
        <v>45163</v>
      </c>
      <c r="I2428">
        <v>750</v>
      </c>
      <c r="J2428">
        <v>5995</v>
      </c>
      <c r="K2428">
        <v>6745</v>
      </c>
      <c r="N2428">
        <v>35</v>
      </c>
      <c r="O2428">
        <v>6.0685000000000002</v>
      </c>
      <c r="P2428">
        <v>69.95</v>
      </c>
      <c r="Q2428">
        <v>6.25</v>
      </c>
      <c r="R2428">
        <v>5.25</v>
      </c>
      <c r="S2428">
        <v>6</v>
      </c>
      <c r="T2428">
        <v>97.023357000000004</v>
      </c>
      <c r="W2428" t="s">
        <v>497</v>
      </c>
    </row>
    <row r="2429" spans="1:23" x14ac:dyDescent="0.25">
      <c r="A2429" t="s">
        <v>2878</v>
      </c>
      <c r="B2429" t="str">
        <f t="shared" si="38"/>
        <v>GQ1200000065</v>
      </c>
      <c r="C2429" t="s">
        <v>528</v>
      </c>
      <c r="D2429" t="s">
        <v>77</v>
      </c>
      <c r="E2429" t="s">
        <v>82</v>
      </c>
      <c r="G2429" s="13">
        <v>44978</v>
      </c>
      <c r="H2429" s="13"/>
      <c r="J2429">
        <v>0</v>
      </c>
      <c r="N2429">
        <v>0</v>
      </c>
      <c r="T2429" t="s">
        <v>1418</v>
      </c>
      <c r="W2429" t="s">
        <v>497</v>
      </c>
    </row>
    <row r="2430" spans="1:23" x14ac:dyDescent="0.25">
      <c r="A2430" t="s">
        <v>2879</v>
      </c>
      <c r="B2430" t="str">
        <f t="shared" si="38"/>
        <v>TD1200001568</v>
      </c>
      <c r="C2430" t="s">
        <v>237</v>
      </c>
      <c r="D2430" t="s">
        <v>77</v>
      </c>
      <c r="E2430" t="s">
        <v>82</v>
      </c>
      <c r="F2430">
        <v>15000</v>
      </c>
      <c r="G2430" s="13">
        <v>44979</v>
      </c>
      <c r="H2430" s="13">
        <v>45163</v>
      </c>
      <c r="I2430">
        <v>6644</v>
      </c>
      <c r="J2430">
        <v>1000</v>
      </c>
      <c r="K2430">
        <v>7644</v>
      </c>
      <c r="N2430">
        <v>25</v>
      </c>
      <c r="O2430">
        <v>6.7209000000000003</v>
      </c>
      <c r="P2430">
        <v>50.96</v>
      </c>
      <c r="Q2430">
        <v>6.5</v>
      </c>
      <c r="R2430">
        <v>6.5</v>
      </c>
      <c r="S2430">
        <v>6.5</v>
      </c>
      <c r="T2430">
        <v>96.713888999999995</v>
      </c>
      <c r="W2430" t="s">
        <v>497</v>
      </c>
    </row>
    <row r="2431" spans="1:23" x14ac:dyDescent="0.25">
      <c r="A2431" t="s">
        <v>2880</v>
      </c>
      <c r="B2431" t="str">
        <f t="shared" si="38"/>
        <v>CM1100001005</v>
      </c>
      <c r="C2431" t="s">
        <v>225</v>
      </c>
      <c r="D2431" t="s">
        <v>77</v>
      </c>
      <c r="E2431" t="s">
        <v>78</v>
      </c>
      <c r="F2431">
        <v>25000</v>
      </c>
      <c r="G2431" s="13">
        <v>44984</v>
      </c>
      <c r="H2431" s="13">
        <v>45077</v>
      </c>
      <c r="I2431">
        <v>14500</v>
      </c>
      <c r="J2431">
        <v>500</v>
      </c>
      <c r="K2431">
        <v>15000</v>
      </c>
      <c r="N2431">
        <v>28.571428571428569</v>
      </c>
      <c r="O2431">
        <v>3.9643000000000002</v>
      </c>
      <c r="P2431">
        <v>68</v>
      </c>
      <c r="Q2431">
        <v>4.1500000000000004</v>
      </c>
      <c r="R2431">
        <v>3.25</v>
      </c>
      <c r="S2431">
        <v>4</v>
      </c>
      <c r="T2431">
        <v>99.007846999999998</v>
      </c>
      <c r="W2431" t="s">
        <v>497</v>
      </c>
    </row>
    <row r="2432" spans="1:23" x14ac:dyDescent="0.25">
      <c r="A2432" t="s">
        <v>2881</v>
      </c>
      <c r="B2432" t="str">
        <f t="shared" si="38"/>
        <v>CM1200001293</v>
      </c>
      <c r="C2432" t="s">
        <v>225</v>
      </c>
      <c r="D2432" t="s">
        <v>77</v>
      </c>
      <c r="E2432" t="s">
        <v>82</v>
      </c>
      <c r="F2432">
        <v>25000</v>
      </c>
      <c r="G2432" s="13">
        <v>44984</v>
      </c>
      <c r="H2432" s="13">
        <v>45168</v>
      </c>
      <c r="I2432">
        <v>18500</v>
      </c>
      <c r="J2432">
        <v>1000</v>
      </c>
      <c r="K2432">
        <v>19500</v>
      </c>
      <c r="N2432">
        <v>23.809523809523807</v>
      </c>
      <c r="O2432">
        <v>4.5323000000000002</v>
      </c>
      <c r="P2432">
        <v>78</v>
      </c>
      <c r="Q2432">
        <v>4.5</v>
      </c>
      <c r="R2432">
        <v>4</v>
      </c>
      <c r="S2432">
        <v>4.5</v>
      </c>
      <c r="T2432">
        <v>97.76</v>
      </c>
      <c r="W2432" t="s">
        <v>497</v>
      </c>
    </row>
    <row r="2433" spans="1:23" x14ac:dyDescent="0.25">
      <c r="A2433" t="s">
        <v>2882</v>
      </c>
      <c r="B2433" t="str">
        <f t="shared" si="38"/>
        <v>CG1200000889</v>
      </c>
      <c r="C2433" t="s">
        <v>229</v>
      </c>
      <c r="D2433" t="s">
        <v>77</v>
      </c>
      <c r="E2433" t="s">
        <v>82</v>
      </c>
      <c r="F2433">
        <v>9000</v>
      </c>
      <c r="G2433" s="13">
        <v>44985</v>
      </c>
      <c r="H2433" s="13">
        <v>45169</v>
      </c>
      <c r="I2433">
        <v>120</v>
      </c>
      <c r="J2433">
        <v>6625</v>
      </c>
      <c r="K2433">
        <v>6745</v>
      </c>
      <c r="N2433">
        <v>39.130434782608695</v>
      </c>
      <c r="O2433">
        <v>6.6863999999999999</v>
      </c>
      <c r="P2433">
        <v>75</v>
      </c>
      <c r="Q2433">
        <v>6.85</v>
      </c>
      <c r="R2433">
        <v>5.25</v>
      </c>
      <c r="S2433">
        <v>6.8</v>
      </c>
      <c r="T2433">
        <v>96.730176</v>
      </c>
      <c r="W2433" t="s">
        <v>497</v>
      </c>
    </row>
    <row r="2434" spans="1:23" x14ac:dyDescent="0.25">
      <c r="A2434" t="s">
        <v>2883</v>
      </c>
      <c r="B2434" t="str">
        <f t="shared" si="38"/>
        <v>GA1200001715</v>
      </c>
      <c r="C2434" t="s">
        <v>227</v>
      </c>
      <c r="D2434" t="s">
        <v>77</v>
      </c>
      <c r="E2434" t="s">
        <v>82</v>
      </c>
      <c r="F2434">
        <v>10000</v>
      </c>
      <c r="G2434" s="13">
        <v>44986</v>
      </c>
      <c r="H2434" s="13">
        <v>45170</v>
      </c>
      <c r="I2434">
        <v>2300</v>
      </c>
      <c r="J2434">
        <v>5070</v>
      </c>
      <c r="K2434">
        <v>7370</v>
      </c>
      <c r="N2434">
        <v>35</v>
      </c>
      <c r="O2434">
        <v>6.0121000000000002</v>
      </c>
      <c r="P2434">
        <v>83.7</v>
      </c>
      <c r="Q2434">
        <v>6.5</v>
      </c>
      <c r="R2434">
        <v>5.25</v>
      </c>
      <c r="S2434">
        <v>6</v>
      </c>
      <c r="T2434">
        <v>97.050200000000004</v>
      </c>
      <c r="W2434" t="s">
        <v>497</v>
      </c>
    </row>
    <row r="2435" spans="1:23" x14ac:dyDescent="0.25">
      <c r="A2435" t="s">
        <v>2884</v>
      </c>
      <c r="B2435" t="str">
        <f t="shared" si="38"/>
        <v>CG1300000284</v>
      </c>
      <c r="C2435" t="s">
        <v>229</v>
      </c>
      <c r="D2435" t="s">
        <v>77</v>
      </c>
      <c r="E2435" t="s">
        <v>287</v>
      </c>
      <c r="F2435">
        <v>5000</v>
      </c>
      <c r="G2435" s="13">
        <v>44992</v>
      </c>
      <c r="H2435" s="13">
        <v>45358</v>
      </c>
      <c r="I2435">
        <v>10</v>
      </c>
      <c r="J2435">
        <v>3604</v>
      </c>
      <c r="K2435">
        <v>3614</v>
      </c>
      <c r="N2435">
        <v>34.782608695652172</v>
      </c>
      <c r="O2435">
        <v>6.9356</v>
      </c>
      <c r="P2435">
        <v>116.58</v>
      </c>
      <c r="Q2435">
        <v>7</v>
      </c>
      <c r="R2435">
        <v>6.25</v>
      </c>
      <c r="S2435">
        <v>6.5</v>
      </c>
      <c r="T2435">
        <v>93.446914000000007</v>
      </c>
      <c r="W2435" t="s">
        <v>497</v>
      </c>
    </row>
    <row r="2436" spans="1:23" x14ac:dyDescent="0.25">
      <c r="A2436" t="s">
        <v>2885</v>
      </c>
      <c r="B2436" t="str">
        <f t="shared" si="38"/>
        <v>CG1100000435</v>
      </c>
      <c r="C2436" t="s">
        <v>229</v>
      </c>
      <c r="D2436" t="s">
        <v>77</v>
      </c>
      <c r="E2436" t="s">
        <v>78</v>
      </c>
      <c r="F2436">
        <v>10000</v>
      </c>
      <c r="G2436" s="13">
        <v>44992</v>
      </c>
      <c r="H2436" s="13">
        <v>45085</v>
      </c>
      <c r="I2436">
        <v>4420</v>
      </c>
      <c r="J2436">
        <v>3171</v>
      </c>
      <c r="K2436">
        <v>7591</v>
      </c>
      <c r="N2436">
        <v>34.782608695652172</v>
      </c>
      <c r="O2436">
        <v>6.0517000000000003</v>
      </c>
      <c r="P2436">
        <v>96.01</v>
      </c>
      <c r="Q2436">
        <v>7.5</v>
      </c>
      <c r="R2436">
        <v>5.7</v>
      </c>
      <c r="S2436">
        <v>6</v>
      </c>
      <c r="T2436">
        <v>98.493323000000004</v>
      </c>
      <c r="W2436" t="s">
        <v>497</v>
      </c>
    </row>
    <row r="2437" spans="1:23" x14ac:dyDescent="0.25">
      <c r="A2437" t="s">
        <v>2886</v>
      </c>
      <c r="B2437" t="str">
        <f t="shared" si="38"/>
        <v>GA1300000617</v>
      </c>
      <c r="C2437" t="s">
        <v>227</v>
      </c>
      <c r="D2437" t="s">
        <v>77</v>
      </c>
      <c r="E2437" t="s">
        <v>287</v>
      </c>
      <c r="F2437">
        <v>7500</v>
      </c>
      <c r="G2437" s="13">
        <v>44993</v>
      </c>
      <c r="H2437" s="13">
        <v>45359</v>
      </c>
      <c r="I2437">
        <v>1700</v>
      </c>
      <c r="J2437">
        <v>3706</v>
      </c>
      <c r="K2437">
        <v>5406</v>
      </c>
      <c r="N2437">
        <v>35</v>
      </c>
      <c r="O2437">
        <v>6.6120999999999999</v>
      </c>
      <c r="P2437">
        <v>72.413300000000007</v>
      </c>
      <c r="Q2437">
        <v>7.5</v>
      </c>
      <c r="R2437">
        <v>5.4</v>
      </c>
      <c r="S2437">
        <v>6.5</v>
      </c>
      <c r="T2437">
        <v>93.733393000000007</v>
      </c>
      <c r="W2437" t="s">
        <v>497</v>
      </c>
    </row>
    <row r="2438" spans="1:23" x14ac:dyDescent="0.25">
      <c r="A2438" t="s">
        <v>2887</v>
      </c>
      <c r="B2438" t="str">
        <f t="shared" si="38"/>
        <v>TD1200001576</v>
      </c>
      <c r="C2438" t="s">
        <v>237</v>
      </c>
      <c r="D2438" t="s">
        <v>77</v>
      </c>
      <c r="E2438" t="s">
        <v>82</v>
      </c>
      <c r="F2438">
        <v>15000</v>
      </c>
      <c r="G2438" s="13">
        <v>44993</v>
      </c>
      <c r="H2438" s="13">
        <v>45177</v>
      </c>
      <c r="J2438">
        <v>10020</v>
      </c>
      <c r="K2438">
        <v>10020</v>
      </c>
      <c r="N2438">
        <v>16.666666666666664</v>
      </c>
      <c r="O2438">
        <v>6.5</v>
      </c>
      <c r="P2438">
        <v>66.8</v>
      </c>
      <c r="Q2438">
        <v>6.5</v>
      </c>
      <c r="R2438">
        <v>6.5</v>
      </c>
      <c r="S2438">
        <v>6.5</v>
      </c>
      <c r="T2438">
        <v>96.713888999999995</v>
      </c>
      <c r="W2438" t="s">
        <v>497</v>
      </c>
    </row>
    <row r="2439" spans="1:23" x14ac:dyDescent="0.25">
      <c r="A2439" t="s">
        <v>2888</v>
      </c>
      <c r="B2439" t="str">
        <f t="shared" si="38"/>
        <v>CM1200001301</v>
      </c>
      <c r="C2439" t="s">
        <v>225</v>
      </c>
      <c r="D2439" t="s">
        <v>77</v>
      </c>
      <c r="E2439" t="s">
        <v>82</v>
      </c>
      <c r="F2439">
        <v>15000</v>
      </c>
      <c r="G2439" s="13">
        <v>44998</v>
      </c>
      <c r="H2439" s="13">
        <v>45182</v>
      </c>
      <c r="I2439">
        <v>5000</v>
      </c>
      <c r="J2439">
        <v>0</v>
      </c>
      <c r="K2439">
        <v>5000</v>
      </c>
      <c r="N2439">
        <v>9.5238095238095237</v>
      </c>
      <c r="O2439">
        <v>4.3433000000000002</v>
      </c>
      <c r="P2439">
        <v>33.4</v>
      </c>
      <c r="Q2439">
        <v>6.5</v>
      </c>
      <c r="R2439">
        <v>4.25</v>
      </c>
      <c r="S2439">
        <v>4.25</v>
      </c>
      <c r="T2439">
        <v>97.851388999999998</v>
      </c>
      <c r="W2439" t="s">
        <v>497</v>
      </c>
    </row>
    <row r="2440" spans="1:23" x14ac:dyDescent="0.25">
      <c r="A2440" t="s">
        <v>2889</v>
      </c>
      <c r="B2440" t="str">
        <f t="shared" si="38"/>
        <v>GA1200001723</v>
      </c>
      <c r="C2440" t="s">
        <v>227</v>
      </c>
      <c r="D2440" t="s">
        <v>77</v>
      </c>
      <c r="E2440" t="s">
        <v>82</v>
      </c>
      <c r="F2440">
        <v>10000</v>
      </c>
      <c r="G2440" s="13">
        <v>45000</v>
      </c>
      <c r="H2440" s="13">
        <v>45184</v>
      </c>
      <c r="I2440">
        <v>200</v>
      </c>
      <c r="J2440">
        <v>4182</v>
      </c>
      <c r="K2440">
        <v>4382</v>
      </c>
      <c r="N2440">
        <v>25</v>
      </c>
      <c r="O2440">
        <v>6.1494999999999997</v>
      </c>
      <c r="P2440">
        <v>43.88</v>
      </c>
      <c r="Q2440">
        <v>6.5</v>
      </c>
      <c r="R2440">
        <v>5.25</v>
      </c>
      <c r="S2440">
        <v>6.25</v>
      </c>
      <c r="T2440">
        <v>96.984802999999999</v>
      </c>
      <c r="W2440" t="s">
        <v>497</v>
      </c>
    </row>
    <row r="2441" spans="1:23" x14ac:dyDescent="0.25">
      <c r="A2441" t="s">
        <v>2890</v>
      </c>
      <c r="B2441" t="str">
        <f t="shared" si="38"/>
        <v>GQ1200000073</v>
      </c>
      <c r="C2441" t="s">
        <v>528</v>
      </c>
      <c r="D2441" t="s">
        <v>77</v>
      </c>
      <c r="E2441" t="s">
        <v>82</v>
      </c>
      <c r="F2441">
        <v>10000</v>
      </c>
      <c r="G2441" s="13">
        <v>44999</v>
      </c>
      <c r="H2441" s="13">
        <v>45183</v>
      </c>
      <c r="J2441">
        <v>330</v>
      </c>
      <c r="K2441">
        <v>330</v>
      </c>
      <c r="N2441">
        <v>30.76923076923077</v>
      </c>
      <c r="O2441">
        <v>6.7165999999999997</v>
      </c>
      <c r="P2441">
        <v>87.05</v>
      </c>
      <c r="Q2441">
        <v>7.5</v>
      </c>
      <c r="R2441">
        <v>6.49</v>
      </c>
      <c r="S2441">
        <v>6.5</v>
      </c>
      <c r="T2441">
        <v>96.715879999999999</v>
      </c>
      <c r="W2441" t="s">
        <v>497</v>
      </c>
    </row>
    <row r="2442" spans="1:23" x14ac:dyDescent="0.25">
      <c r="A2442" t="s">
        <v>2891</v>
      </c>
      <c r="B2442" t="str">
        <f t="shared" si="38"/>
        <v>TD1200001584</v>
      </c>
      <c r="C2442" t="s">
        <v>237</v>
      </c>
      <c r="D2442" t="s">
        <v>77</v>
      </c>
      <c r="E2442" t="s">
        <v>82</v>
      </c>
      <c r="F2442">
        <v>12000</v>
      </c>
      <c r="G2442" s="13">
        <v>45000</v>
      </c>
      <c r="H2442" s="13">
        <v>45184</v>
      </c>
      <c r="J2442">
        <v>10711</v>
      </c>
      <c r="K2442">
        <v>10711</v>
      </c>
      <c r="N2442">
        <v>16.666666666666664</v>
      </c>
      <c r="O2442">
        <v>6.9457000000000004</v>
      </c>
      <c r="P2442">
        <v>89.258300000000006</v>
      </c>
      <c r="Q2442">
        <v>6.75</v>
      </c>
      <c r="R2442">
        <v>6.5</v>
      </c>
      <c r="S2442">
        <v>6.75</v>
      </c>
      <c r="T2442">
        <v>96.607690000000005</v>
      </c>
      <c r="W2442" t="s">
        <v>497</v>
      </c>
    </row>
    <row r="2443" spans="1:23" x14ac:dyDescent="0.25">
      <c r="A2443" t="s">
        <v>2892</v>
      </c>
      <c r="B2443" t="str">
        <f t="shared" si="38"/>
        <v>CF1300000020</v>
      </c>
      <c r="C2443" t="s">
        <v>2406</v>
      </c>
      <c r="D2443" t="s">
        <v>77</v>
      </c>
      <c r="E2443" t="s">
        <v>287</v>
      </c>
      <c r="F2443">
        <v>10000</v>
      </c>
      <c r="G2443" s="13">
        <v>45005</v>
      </c>
      <c r="H2443" s="13">
        <v>45371</v>
      </c>
      <c r="J2443">
        <v>500</v>
      </c>
      <c r="K2443">
        <v>500</v>
      </c>
      <c r="N2443">
        <v>22.222222222222221</v>
      </c>
      <c r="O2443">
        <v>7.4175000000000004</v>
      </c>
      <c r="P2443">
        <v>5.0999999999999996</v>
      </c>
      <c r="Q2443">
        <v>9</v>
      </c>
      <c r="R2443">
        <v>6.9</v>
      </c>
      <c r="S2443">
        <v>6.9</v>
      </c>
      <c r="T2443">
        <v>93.023332999999994</v>
      </c>
      <c r="W2443" t="s">
        <v>497</v>
      </c>
    </row>
    <row r="2444" spans="1:23" x14ac:dyDescent="0.25">
      <c r="A2444" t="s">
        <v>2893</v>
      </c>
      <c r="B2444" t="str">
        <f t="shared" si="38"/>
        <v>CG1100000443</v>
      </c>
      <c r="C2444" t="s">
        <v>229</v>
      </c>
      <c r="D2444" t="s">
        <v>77</v>
      </c>
      <c r="E2444" t="s">
        <v>78</v>
      </c>
      <c r="F2444">
        <v>10000</v>
      </c>
      <c r="G2444" s="13">
        <v>45006</v>
      </c>
      <c r="H2444" s="13">
        <v>45099</v>
      </c>
      <c r="I2444">
        <v>8470</v>
      </c>
      <c r="J2444">
        <v>1530</v>
      </c>
      <c r="K2444">
        <v>10000</v>
      </c>
      <c r="N2444">
        <v>34.782608695652172</v>
      </c>
      <c r="O2444">
        <v>6.0263999999999998</v>
      </c>
      <c r="P2444">
        <v>172.84</v>
      </c>
      <c r="Q2444">
        <v>6.5</v>
      </c>
      <c r="R2444">
        <v>5.25</v>
      </c>
      <c r="S2444">
        <v>6</v>
      </c>
      <c r="T2444">
        <v>98.499510999999998</v>
      </c>
      <c r="W2444" t="s">
        <v>497</v>
      </c>
    </row>
    <row r="2445" spans="1:23" x14ac:dyDescent="0.25">
      <c r="A2445" t="s">
        <v>2894</v>
      </c>
      <c r="B2445" t="str">
        <f t="shared" si="38"/>
        <v>CG1200000897</v>
      </c>
      <c r="C2445" t="s">
        <v>229</v>
      </c>
      <c r="D2445" t="s">
        <v>77</v>
      </c>
      <c r="E2445" t="s">
        <v>82</v>
      </c>
      <c r="F2445">
        <v>10000</v>
      </c>
      <c r="G2445" s="13">
        <v>45006</v>
      </c>
      <c r="H2445" s="13">
        <v>45190</v>
      </c>
      <c r="I2445">
        <v>3980</v>
      </c>
      <c r="J2445">
        <v>4909</v>
      </c>
      <c r="K2445">
        <v>8889</v>
      </c>
      <c r="N2445">
        <v>39.130434782608695</v>
      </c>
      <c r="O2445">
        <v>6.6029999999999998</v>
      </c>
      <c r="P2445">
        <v>88.89</v>
      </c>
      <c r="Q2445">
        <v>6.75</v>
      </c>
      <c r="R2445">
        <v>6</v>
      </c>
      <c r="S2445">
        <v>6.75</v>
      </c>
      <c r="T2445">
        <v>96.769643000000002</v>
      </c>
      <c r="W2445" t="s">
        <v>497</v>
      </c>
    </row>
    <row r="2446" spans="1:23" x14ac:dyDescent="0.25">
      <c r="A2446" t="s">
        <v>2895</v>
      </c>
      <c r="B2446" t="str">
        <f t="shared" si="38"/>
        <v>CG1300000292</v>
      </c>
      <c r="C2446" t="s">
        <v>229</v>
      </c>
      <c r="D2446" t="s">
        <v>77</v>
      </c>
      <c r="E2446" t="s">
        <v>287</v>
      </c>
      <c r="F2446">
        <v>15000</v>
      </c>
      <c r="G2446" s="13">
        <v>45006</v>
      </c>
      <c r="H2446" s="13">
        <v>45372</v>
      </c>
      <c r="I2446">
        <v>4040</v>
      </c>
      <c r="J2446">
        <v>50</v>
      </c>
      <c r="K2446">
        <v>4090</v>
      </c>
      <c r="N2446">
        <v>17.391304347826086</v>
      </c>
      <c r="O2446">
        <v>7.1374000000000004</v>
      </c>
      <c r="P2446">
        <v>27.753299999999999</v>
      </c>
      <c r="Q2446">
        <v>8</v>
      </c>
      <c r="R2446">
        <v>6.5</v>
      </c>
      <c r="S2446">
        <v>6.75</v>
      </c>
      <c r="T2446">
        <v>93.269041000000001</v>
      </c>
      <c r="W2446" t="s">
        <v>497</v>
      </c>
    </row>
    <row r="2447" spans="1:23" x14ac:dyDescent="0.25">
      <c r="A2447" t="s">
        <v>2896</v>
      </c>
      <c r="B2447" t="str">
        <f t="shared" si="38"/>
        <v>GA1100001658</v>
      </c>
      <c r="C2447" t="s">
        <v>227</v>
      </c>
      <c r="D2447" t="s">
        <v>77</v>
      </c>
      <c r="E2447" t="s">
        <v>78</v>
      </c>
      <c r="F2447">
        <v>7500</v>
      </c>
      <c r="G2447" s="13">
        <v>45007</v>
      </c>
      <c r="H2447" s="13">
        <v>45100</v>
      </c>
      <c r="I2447">
        <v>4569</v>
      </c>
      <c r="J2447">
        <v>2931</v>
      </c>
      <c r="K2447">
        <v>7500</v>
      </c>
      <c r="N2447">
        <v>30</v>
      </c>
      <c r="O2447">
        <v>5.6254999999999997</v>
      </c>
      <c r="P2447">
        <v>157.33330000000001</v>
      </c>
      <c r="Q2447">
        <v>6.25</v>
      </c>
      <c r="R2447">
        <v>5</v>
      </c>
      <c r="S2447">
        <v>5.75</v>
      </c>
      <c r="T2447">
        <v>98.597926000000001</v>
      </c>
      <c r="W2447" t="s">
        <v>497</v>
      </c>
    </row>
    <row r="2448" spans="1:23" x14ac:dyDescent="0.25">
      <c r="A2448" t="s">
        <v>2897</v>
      </c>
      <c r="B2448" t="str">
        <f t="shared" si="38"/>
        <v>TD1200001592</v>
      </c>
      <c r="C2448" t="s">
        <v>237</v>
      </c>
      <c r="D2448" t="s">
        <v>77</v>
      </c>
      <c r="E2448" t="s">
        <v>82</v>
      </c>
      <c r="F2448">
        <v>12000</v>
      </c>
      <c r="G2448" s="13">
        <v>45007</v>
      </c>
      <c r="H2448" s="13">
        <v>45191</v>
      </c>
      <c r="I2448">
        <v>2000</v>
      </c>
      <c r="J2448">
        <v>7043</v>
      </c>
      <c r="K2448">
        <v>9043</v>
      </c>
      <c r="N2448">
        <v>25</v>
      </c>
      <c r="O2448">
        <v>6.7209000000000003</v>
      </c>
      <c r="P2448">
        <v>75.3583</v>
      </c>
      <c r="Q2448">
        <v>6.5</v>
      </c>
      <c r="R2448">
        <v>6.5</v>
      </c>
      <c r="S2448">
        <v>6.5</v>
      </c>
      <c r="T2448">
        <v>96.713888999999995</v>
      </c>
      <c r="W2448" t="s">
        <v>497</v>
      </c>
    </row>
    <row r="2449" spans="1:23" x14ac:dyDescent="0.25">
      <c r="A2449" t="s">
        <v>2898</v>
      </c>
      <c r="B2449" t="str">
        <f t="shared" si="38"/>
        <v>CM1300000633</v>
      </c>
      <c r="C2449" t="s">
        <v>225</v>
      </c>
      <c r="D2449" t="s">
        <v>77</v>
      </c>
      <c r="E2449" t="s">
        <v>287</v>
      </c>
      <c r="F2449">
        <v>10000</v>
      </c>
      <c r="G2449" s="13">
        <v>45012</v>
      </c>
      <c r="H2449" s="13">
        <v>45378</v>
      </c>
      <c r="I2449">
        <v>5080</v>
      </c>
      <c r="J2449">
        <v>0</v>
      </c>
      <c r="K2449">
        <v>5080</v>
      </c>
      <c r="N2449">
        <v>14.285714285714285</v>
      </c>
      <c r="O2449">
        <v>4.6022999999999996</v>
      </c>
      <c r="P2449">
        <v>70.900000000000006</v>
      </c>
      <c r="Q2449">
        <v>4.5</v>
      </c>
      <c r="R2449">
        <v>4.25</v>
      </c>
      <c r="S2449">
        <v>4.5</v>
      </c>
      <c r="T2449">
        <v>95.5535</v>
      </c>
      <c r="W2449" t="s">
        <v>497</v>
      </c>
    </row>
    <row r="2450" spans="1:23" x14ac:dyDescent="0.25">
      <c r="A2450" t="s">
        <v>2899</v>
      </c>
      <c r="B2450" t="str">
        <f t="shared" si="38"/>
        <v>CG1100000443</v>
      </c>
      <c r="C2450" t="s">
        <v>229</v>
      </c>
      <c r="D2450" t="s">
        <v>77</v>
      </c>
      <c r="E2450" t="s">
        <v>78</v>
      </c>
      <c r="F2450">
        <v>10000</v>
      </c>
      <c r="G2450" s="13">
        <v>45013</v>
      </c>
      <c r="H2450" s="13">
        <v>45099</v>
      </c>
      <c r="J2450">
        <v>4315</v>
      </c>
      <c r="K2450">
        <v>4315</v>
      </c>
      <c r="N2450">
        <v>17.391304347826086</v>
      </c>
      <c r="O2450">
        <v>6.298</v>
      </c>
      <c r="P2450">
        <v>60.35</v>
      </c>
      <c r="Q2450">
        <v>6.3</v>
      </c>
      <c r="R2450">
        <v>5.5</v>
      </c>
      <c r="S2450">
        <v>6.3</v>
      </c>
      <c r="T2450">
        <v>98.551738</v>
      </c>
      <c r="W2450" t="s">
        <v>497</v>
      </c>
    </row>
    <row r="2451" spans="1:23" x14ac:dyDescent="0.25">
      <c r="A2451" t="s">
        <v>2900</v>
      </c>
      <c r="B2451" t="str">
        <f t="shared" si="38"/>
        <v>CG1200000897</v>
      </c>
      <c r="C2451" t="s">
        <v>229</v>
      </c>
      <c r="D2451" t="s">
        <v>77</v>
      </c>
      <c r="E2451" t="s">
        <v>82</v>
      </c>
      <c r="F2451">
        <v>7000</v>
      </c>
      <c r="G2451" s="13">
        <v>45013</v>
      </c>
      <c r="H2451" s="13">
        <v>45190</v>
      </c>
      <c r="I2451">
        <v>1250</v>
      </c>
      <c r="J2451">
        <v>2087</v>
      </c>
      <c r="K2451">
        <v>3337</v>
      </c>
      <c r="N2451">
        <v>30.434782608695656</v>
      </c>
      <c r="O2451">
        <v>6.7701000000000002</v>
      </c>
      <c r="P2451">
        <v>47.671399999999998</v>
      </c>
      <c r="Q2451">
        <v>6.75</v>
      </c>
      <c r="R2451">
        <v>5.5</v>
      </c>
      <c r="S2451">
        <v>6.75</v>
      </c>
      <c r="T2451">
        <v>96.813838000000004</v>
      </c>
      <c r="W2451" t="s">
        <v>497</v>
      </c>
    </row>
    <row r="2452" spans="1:23" x14ac:dyDescent="0.25">
      <c r="A2452" t="s">
        <v>2901</v>
      </c>
      <c r="B2452" t="str">
        <f t="shared" si="38"/>
        <v>GQ1300001195</v>
      </c>
      <c r="C2452" t="s">
        <v>528</v>
      </c>
      <c r="D2452" t="s">
        <v>77</v>
      </c>
      <c r="E2452" t="s">
        <v>287</v>
      </c>
      <c r="F2452">
        <v>15000</v>
      </c>
      <c r="G2452" s="13">
        <v>45013</v>
      </c>
      <c r="H2452" s="13">
        <v>45379</v>
      </c>
      <c r="J2452">
        <v>50</v>
      </c>
      <c r="K2452">
        <v>50</v>
      </c>
      <c r="N2452">
        <v>30.76923076923077</v>
      </c>
      <c r="O2452">
        <v>6.9572000000000003</v>
      </c>
      <c r="P2452">
        <v>87.746700000000004</v>
      </c>
      <c r="Q2452">
        <v>6.5</v>
      </c>
      <c r="R2452">
        <v>6.5</v>
      </c>
      <c r="S2452">
        <v>6.5</v>
      </c>
      <c r="T2452">
        <v>93.427778000000004</v>
      </c>
      <c r="W2452" t="s">
        <v>497</v>
      </c>
    </row>
    <row r="2453" spans="1:23" x14ac:dyDescent="0.25">
      <c r="A2453" t="s">
        <v>2902</v>
      </c>
      <c r="B2453" t="str">
        <f t="shared" si="38"/>
        <v>GA1200001731</v>
      </c>
      <c r="C2453" t="s">
        <v>227</v>
      </c>
      <c r="D2453" t="s">
        <v>77</v>
      </c>
      <c r="E2453" t="s">
        <v>82</v>
      </c>
      <c r="F2453">
        <v>11500</v>
      </c>
      <c r="G2453" s="13">
        <v>45014</v>
      </c>
      <c r="H2453" s="13">
        <v>45198</v>
      </c>
      <c r="I2453">
        <v>3235</v>
      </c>
      <c r="J2453">
        <v>2697</v>
      </c>
      <c r="K2453">
        <v>5932</v>
      </c>
      <c r="N2453">
        <v>45</v>
      </c>
      <c r="O2453">
        <v>6.1521999999999997</v>
      </c>
      <c r="P2453">
        <v>68.9739</v>
      </c>
      <c r="Q2453">
        <v>6.2</v>
      </c>
      <c r="R2453">
        <v>5</v>
      </c>
      <c r="S2453">
        <v>6.2</v>
      </c>
      <c r="T2453">
        <v>96.983563000000004</v>
      </c>
      <c r="W2453" t="s">
        <v>497</v>
      </c>
    </row>
    <row r="2454" spans="1:23" x14ac:dyDescent="0.25">
      <c r="A2454" t="s">
        <v>2903</v>
      </c>
      <c r="B2454" t="str">
        <f t="shared" si="38"/>
        <v>CM1200001319</v>
      </c>
      <c r="C2454" t="s">
        <v>225</v>
      </c>
      <c r="D2454" t="s">
        <v>77</v>
      </c>
      <c r="E2454" t="s">
        <v>82</v>
      </c>
      <c r="F2454">
        <v>25000</v>
      </c>
      <c r="G2454" s="13">
        <v>45020</v>
      </c>
      <c r="H2454" s="13">
        <v>45204</v>
      </c>
      <c r="I2454">
        <v>21000</v>
      </c>
      <c r="J2454">
        <v>0</v>
      </c>
      <c r="K2454">
        <v>21000</v>
      </c>
      <c r="N2454">
        <v>19.047619047619047</v>
      </c>
      <c r="O2454">
        <v>4.5709</v>
      </c>
      <c r="P2454">
        <v>84.04</v>
      </c>
      <c r="Q2454">
        <v>4.5</v>
      </c>
      <c r="R2454">
        <v>4.1500000000000004</v>
      </c>
      <c r="S2454">
        <v>6</v>
      </c>
      <c r="T2454">
        <v>97.741370000000003</v>
      </c>
      <c r="W2454" t="s">
        <v>497</v>
      </c>
    </row>
    <row r="2455" spans="1:23" x14ac:dyDescent="0.25">
      <c r="A2455" t="s">
        <v>2904</v>
      </c>
      <c r="B2455" t="str">
        <f t="shared" si="38"/>
        <v>CG1300000300</v>
      </c>
      <c r="C2455" t="s">
        <v>229</v>
      </c>
      <c r="D2455" t="s">
        <v>77</v>
      </c>
      <c r="E2455" t="s">
        <v>287</v>
      </c>
      <c r="F2455">
        <v>10000</v>
      </c>
      <c r="G2455" s="13">
        <v>45020</v>
      </c>
      <c r="H2455" s="13">
        <v>45386</v>
      </c>
      <c r="I2455">
        <v>2000</v>
      </c>
      <c r="J2455">
        <v>2525</v>
      </c>
      <c r="K2455">
        <v>4525</v>
      </c>
      <c r="N2455">
        <v>26.086956521739129</v>
      </c>
      <c r="O2455">
        <v>7.1502999999999997</v>
      </c>
      <c r="P2455">
        <v>45.25</v>
      </c>
      <c r="Q2455">
        <v>7</v>
      </c>
      <c r="R2455">
        <v>5.5</v>
      </c>
      <c r="S2455">
        <v>7</v>
      </c>
      <c r="T2455">
        <v>93.257732000000004</v>
      </c>
      <c r="W2455" t="s">
        <v>497</v>
      </c>
    </row>
    <row r="2456" spans="1:23" x14ac:dyDescent="0.25">
      <c r="A2456" t="s">
        <v>2905</v>
      </c>
      <c r="B2456" t="str">
        <f t="shared" si="38"/>
        <v>CG1200000905</v>
      </c>
      <c r="C2456" t="s">
        <v>229</v>
      </c>
      <c r="D2456" t="s">
        <v>77</v>
      </c>
      <c r="E2456" t="s">
        <v>82</v>
      </c>
      <c r="F2456">
        <v>10000</v>
      </c>
      <c r="G2456" s="13">
        <v>45020</v>
      </c>
      <c r="H2456" s="13">
        <v>45204</v>
      </c>
      <c r="I2456">
        <v>7802</v>
      </c>
      <c r="J2456">
        <v>2198</v>
      </c>
      <c r="K2456">
        <v>10000</v>
      </c>
      <c r="N2456">
        <v>34.782608695652172</v>
      </c>
      <c r="O2456">
        <v>6.8616999999999999</v>
      </c>
      <c r="P2456">
        <v>101.94</v>
      </c>
      <c r="Q2456">
        <v>6.75</v>
      </c>
      <c r="R2456">
        <v>6</v>
      </c>
      <c r="S2456">
        <v>6.75</v>
      </c>
      <c r="T2456">
        <v>96.647352999999995</v>
      </c>
      <c r="W2456" t="s">
        <v>497</v>
      </c>
    </row>
    <row r="2457" spans="1:23" x14ac:dyDescent="0.25">
      <c r="A2457" t="s">
        <v>2906</v>
      </c>
      <c r="B2457" t="str">
        <f t="shared" si="38"/>
        <v>GA1200001749</v>
      </c>
      <c r="C2457" t="s">
        <v>227</v>
      </c>
      <c r="D2457" t="s">
        <v>77</v>
      </c>
      <c r="E2457" t="s">
        <v>82</v>
      </c>
      <c r="F2457">
        <v>10000</v>
      </c>
      <c r="G2457" s="13">
        <v>45021</v>
      </c>
      <c r="H2457" s="13">
        <v>45205</v>
      </c>
      <c r="J2457">
        <v>7227</v>
      </c>
      <c r="K2457">
        <v>7227</v>
      </c>
      <c r="N2457">
        <v>25</v>
      </c>
      <c r="O2457">
        <v>6.3080999999999996</v>
      </c>
      <c r="P2457">
        <v>90.27</v>
      </c>
      <c r="Q2457">
        <v>6.3</v>
      </c>
      <c r="R2457">
        <v>5.85</v>
      </c>
      <c r="S2457">
        <v>6.8</v>
      </c>
      <c r="T2457">
        <v>96.909479000000005</v>
      </c>
      <c r="W2457" t="s">
        <v>497</v>
      </c>
    </row>
    <row r="2458" spans="1:23" x14ac:dyDescent="0.25">
      <c r="A2458" t="s">
        <v>2907</v>
      </c>
      <c r="B2458" t="str">
        <f t="shared" si="38"/>
        <v>CG1100000450</v>
      </c>
      <c r="C2458" t="s">
        <v>229</v>
      </c>
      <c r="D2458" t="s">
        <v>77</v>
      </c>
      <c r="E2458" t="s">
        <v>78</v>
      </c>
      <c r="F2458">
        <v>12000</v>
      </c>
      <c r="G2458" s="13">
        <v>45027</v>
      </c>
      <c r="H2458" s="13">
        <v>45120</v>
      </c>
      <c r="I2458">
        <v>5000</v>
      </c>
      <c r="J2458">
        <v>2157</v>
      </c>
      <c r="K2458">
        <v>7157</v>
      </c>
      <c r="N2458">
        <v>17.391304347826086</v>
      </c>
      <c r="O2458">
        <v>6.4103000000000003</v>
      </c>
      <c r="P2458">
        <v>59.6417</v>
      </c>
      <c r="Q2458">
        <v>6.5</v>
      </c>
      <c r="R2458">
        <v>5</v>
      </c>
      <c r="S2458">
        <v>6.5</v>
      </c>
      <c r="T2458">
        <v>98.405455000000003</v>
      </c>
      <c r="W2458" t="s">
        <v>497</v>
      </c>
    </row>
    <row r="2459" spans="1:23" x14ac:dyDescent="0.25">
      <c r="A2459" t="s">
        <v>2908</v>
      </c>
      <c r="B2459" t="str">
        <f t="shared" ref="B2459:B2522" si="39">MID(A2459,1,12)</f>
        <v>CG1300000300</v>
      </c>
      <c r="C2459" t="s">
        <v>229</v>
      </c>
      <c r="D2459" t="s">
        <v>77</v>
      </c>
      <c r="E2459" t="s">
        <v>287</v>
      </c>
      <c r="F2459">
        <v>5000</v>
      </c>
      <c r="G2459" s="13">
        <v>45027</v>
      </c>
      <c r="H2459" s="13">
        <v>45386</v>
      </c>
      <c r="I2459">
        <v>3000</v>
      </c>
      <c r="J2459">
        <v>2000</v>
      </c>
      <c r="K2459">
        <v>5000</v>
      </c>
      <c r="N2459">
        <v>30.434782608695656</v>
      </c>
      <c r="O2459">
        <v>6.5476000000000001</v>
      </c>
      <c r="P2459">
        <v>131.32</v>
      </c>
      <c r="Q2459">
        <v>6.5</v>
      </c>
      <c r="R2459">
        <v>6</v>
      </c>
      <c r="S2459">
        <v>7</v>
      </c>
      <c r="T2459">
        <v>93.902837000000005</v>
      </c>
      <c r="W2459" t="s">
        <v>497</v>
      </c>
    </row>
    <row r="2460" spans="1:23" x14ac:dyDescent="0.25">
      <c r="A2460" t="s">
        <v>2909</v>
      </c>
      <c r="B2460" t="str">
        <f t="shared" si="39"/>
        <v>GA1100001666</v>
      </c>
      <c r="C2460" t="s">
        <v>227</v>
      </c>
      <c r="D2460" t="s">
        <v>77</v>
      </c>
      <c r="E2460" t="s">
        <v>78</v>
      </c>
      <c r="F2460">
        <v>10000</v>
      </c>
      <c r="G2460" s="13">
        <v>45028</v>
      </c>
      <c r="H2460" s="13">
        <v>45121</v>
      </c>
      <c r="I2460">
        <v>7000</v>
      </c>
      <c r="J2460">
        <v>2369</v>
      </c>
      <c r="K2460">
        <v>9369</v>
      </c>
      <c r="N2460">
        <v>35</v>
      </c>
      <c r="O2460">
        <v>5.7584999999999997</v>
      </c>
      <c r="P2460">
        <v>117.29</v>
      </c>
      <c r="Q2460">
        <v>6</v>
      </c>
      <c r="R2460">
        <v>5</v>
      </c>
      <c r="S2460">
        <v>6.6</v>
      </c>
      <c r="T2460">
        <v>98.565258999999998</v>
      </c>
      <c r="W2460" t="s">
        <v>497</v>
      </c>
    </row>
    <row r="2461" spans="1:23" x14ac:dyDescent="0.25">
      <c r="A2461" t="s">
        <v>2910</v>
      </c>
      <c r="B2461" t="str">
        <f t="shared" si="39"/>
        <v>GQ1300001203</v>
      </c>
      <c r="C2461" t="s">
        <v>528</v>
      </c>
      <c r="D2461" t="s">
        <v>77</v>
      </c>
      <c r="E2461" t="s">
        <v>287</v>
      </c>
      <c r="F2461">
        <v>20000</v>
      </c>
      <c r="G2461" s="13">
        <v>45027</v>
      </c>
      <c r="H2461" s="13">
        <v>45393</v>
      </c>
      <c r="I2461">
        <v>4578</v>
      </c>
      <c r="J2461">
        <v>0</v>
      </c>
      <c r="K2461">
        <v>4578</v>
      </c>
      <c r="N2461">
        <v>15.384615384615385</v>
      </c>
      <c r="O2461">
        <v>6.9572000000000003</v>
      </c>
      <c r="P2461">
        <v>37.89</v>
      </c>
      <c r="Q2461">
        <v>6.5</v>
      </c>
      <c r="R2461">
        <v>6.5</v>
      </c>
      <c r="S2461">
        <v>7</v>
      </c>
      <c r="T2461">
        <v>93.427778000000004</v>
      </c>
      <c r="W2461" t="s">
        <v>497</v>
      </c>
    </row>
    <row r="2462" spans="1:23" x14ac:dyDescent="0.25">
      <c r="A2462" t="s">
        <v>2911</v>
      </c>
      <c r="B2462" t="str">
        <f t="shared" si="39"/>
        <v>TD1200001600</v>
      </c>
      <c r="C2462" t="s">
        <v>237</v>
      </c>
      <c r="D2462" t="s">
        <v>77</v>
      </c>
      <c r="E2462" t="s">
        <v>82</v>
      </c>
      <c r="F2462">
        <v>5000</v>
      </c>
      <c r="G2462" s="13">
        <v>45028</v>
      </c>
      <c r="H2462" s="13">
        <v>45212</v>
      </c>
      <c r="I2462">
        <v>3595</v>
      </c>
      <c r="J2462">
        <v>1405</v>
      </c>
      <c r="K2462">
        <v>5000</v>
      </c>
      <c r="N2462">
        <v>25</v>
      </c>
      <c r="O2462">
        <v>6.6970999999999998</v>
      </c>
      <c r="P2462">
        <v>106.12</v>
      </c>
      <c r="Q2462">
        <v>6.5</v>
      </c>
      <c r="R2462">
        <v>6.25</v>
      </c>
      <c r="S2462">
        <v>6.5</v>
      </c>
      <c r="T2462">
        <v>96.725138000000001</v>
      </c>
      <c r="W2462" t="s">
        <v>497</v>
      </c>
    </row>
    <row r="2463" spans="1:23" x14ac:dyDescent="0.25">
      <c r="A2463" t="s">
        <v>2912</v>
      </c>
      <c r="B2463" t="str">
        <f t="shared" si="39"/>
        <v>CM1200001327</v>
      </c>
      <c r="C2463" t="s">
        <v>225</v>
      </c>
      <c r="D2463" t="s">
        <v>77</v>
      </c>
      <c r="E2463" t="s">
        <v>82</v>
      </c>
      <c r="F2463">
        <v>15000</v>
      </c>
      <c r="G2463" s="13">
        <v>45033</v>
      </c>
      <c r="H2463" s="13">
        <v>45217</v>
      </c>
      <c r="I2463">
        <v>3000</v>
      </c>
      <c r="J2463">
        <v>0</v>
      </c>
      <c r="K2463">
        <v>3000</v>
      </c>
      <c r="N2463">
        <v>9.5238095238095237</v>
      </c>
      <c r="O2463">
        <v>4.6048</v>
      </c>
      <c r="P2463">
        <v>46.666699999999999</v>
      </c>
      <c r="Q2463">
        <v>4.5</v>
      </c>
      <c r="R2463">
        <v>4.5</v>
      </c>
      <c r="S2463">
        <v>4.75</v>
      </c>
      <c r="T2463">
        <v>97.724999999999994</v>
      </c>
      <c r="W2463" t="s">
        <v>497</v>
      </c>
    </row>
    <row r="2464" spans="1:23" x14ac:dyDescent="0.25">
      <c r="A2464" t="s">
        <v>2913</v>
      </c>
      <c r="B2464" t="str">
        <f t="shared" si="39"/>
        <v>CG1200000913</v>
      </c>
      <c r="C2464" t="s">
        <v>229</v>
      </c>
      <c r="D2464" t="s">
        <v>77</v>
      </c>
      <c r="E2464" t="s">
        <v>82</v>
      </c>
      <c r="F2464">
        <v>15000</v>
      </c>
      <c r="G2464" s="13">
        <v>45034</v>
      </c>
      <c r="H2464" s="13">
        <v>45218</v>
      </c>
      <c r="I2464">
        <v>1340</v>
      </c>
      <c r="J2464">
        <v>1699</v>
      </c>
      <c r="K2464">
        <v>3039</v>
      </c>
      <c r="N2464">
        <v>26.086956521739129</v>
      </c>
      <c r="O2464">
        <v>6.5095999999999998</v>
      </c>
      <c r="P2464">
        <v>23.593299999999999</v>
      </c>
      <c r="Q2464">
        <v>7</v>
      </c>
      <c r="R2464">
        <v>5.8</v>
      </c>
      <c r="S2464">
        <v>7</v>
      </c>
      <c r="T2464">
        <v>96.813868999999997</v>
      </c>
      <c r="W2464" t="s">
        <v>497</v>
      </c>
    </row>
    <row r="2465" spans="1:23" x14ac:dyDescent="0.25">
      <c r="A2465" t="s">
        <v>2914</v>
      </c>
      <c r="B2465" t="str">
        <f t="shared" si="39"/>
        <v>GA1200001756</v>
      </c>
      <c r="C2465" t="s">
        <v>227</v>
      </c>
      <c r="D2465" t="s">
        <v>77</v>
      </c>
      <c r="E2465" t="s">
        <v>82</v>
      </c>
      <c r="F2465">
        <v>10000</v>
      </c>
      <c r="G2465" s="13">
        <v>45035</v>
      </c>
      <c r="H2465" s="13">
        <v>45219</v>
      </c>
      <c r="I2465">
        <v>9000</v>
      </c>
      <c r="J2465">
        <v>274</v>
      </c>
      <c r="K2465">
        <v>9274</v>
      </c>
      <c r="N2465">
        <v>30</v>
      </c>
      <c r="O2465">
        <v>6.4264999999999999</v>
      </c>
      <c r="P2465">
        <v>125.49</v>
      </c>
      <c r="Q2465">
        <v>6.3</v>
      </c>
      <c r="R2465">
        <v>5.5</v>
      </c>
      <c r="S2465">
        <v>6.75</v>
      </c>
      <c r="T2465">
        <v>96.853279000000001</v>
      </c>
      <c r="W2465" t="s">
        <v>497</v>
      </c>
    </row>
    <row r="2466" spans="1:23" x14ac:dyDescent="0.25">
      <c r="A2466" t="s">
        <v>2915</v>
      </c>
      <c r="B2466" t="str">
        <f t="shared" si="39"/>
        <v>CM1200001335</v>
      </c>
      <c r="C2466" t="s">
        <v>225</v>
      </c>
      <c r="D2466" t="s">
        <v>77</v>
      </c>
      <c r="E2466" t="s">
        <v>82</v>
      </c>
      <c r="F2466">
        <v>20000</v>
      </c>
      <c r="G2466" s="13">
        <v>45040</v>
      </c>
      <c r="H2466" s="13">
        <v>45224</v>
      </c>
      <c r="I2466">
        <v>16000</v>
      </c>
      <c r="J2466">
        <v>0</v>
      </c>
      <c r="K2466">
        <v>16000</v>
      </c>
      <c r="N2466">
        <v>9.5238095238095237</v>
      </c>
      <c r="O2466">
        <v>4.6048</v>
      </c>
      <c r="P2466">
        <v>85</v>
      </c>
      <c r="Q2466">
        <v>4.5</v>
      </c>
      <c r="R2466">
        <v>4.5</v>
      </c>
      <c r="S2466">
        <v>6.5</v>
      </c>
      <c r="T2466">
        <v>97.724999999999994</v>
      </c>
      <c r="W2466" t="s">
        <v>497</v>
      </c>
    </row>
    <row r="2467" spans="1:23" x14ac:dyDescent="0.25">
      <c r="A2467" t="s">
        <v>2916</v>
      </c>
      <c r="B2467" t="str">
        <f t="shared" si="39"/>
        <v>CG1100000468</v>
      </c>
      <c r="C2467" t="s">
        <v>229</v>
      </c>
      <c r="D2467" t="s">
        <v>77</v>
      </c>
      <c r="E2467" t="s">
        <v>78</v>
      </c>
      <c r="F2467">
        <v>15000</v>
      </c>
      <c r="G2467" s="13">
        <v>45041</v>
      </c>
      <c r="H2467" s="13">
        <v>45134</v>
      </c>
      <c r="I2467">
        <v>5013</v>
      </c>
      <c r="J2467">
        <v>5700</v>
      </c>
      <c r="K2467">
        <v>10713</v>
      </c>
      <c r="N2467">
        <v>34.782608695652172</v>
      </c>
      <c r="O2467">
        <v>6.4095000000000004</v>
      </c>
      <c r="P2467">
        <v>71.42</v>
      </c>
      <c r="Q2467">
        <v>6.5</v>
      </c>
      <c r="R2467">
        <v>5</v>
      </c>
      <c r="S2467">
        <v>6.5</v>
      </c>
      <c r="T2467">
        <v>98.405657000000005</v>
      </c>
      <c r="W2467" t="s">
        <v>497</v>
      </c>
    </row>
    <row r="2468" spans="1:23" x14ac:dyDescent="0.25">
      <c r="A2468" t="s">
        <v>2917</v>
      </c>
      <c r="B2468" t="str">
        <f t="shared" si="39"/>
        <v>CG1200000921</v>
      </c>
      <c r="C2468" t="s">
        <v>229</v>
      </c>
      <c r="D2468" t="s">
        <v>77</v>
      </c>
      <c r="E2468" t="s">
        <v>82</v>
      </c>
      <c r="F2468">
        <v>10000</v>
      </c>
      <c r="G2468" s="13">
        <v>45041</v>
      </c>
      <c r="H2468" s="13">
        <v>45225</v>
      </c>
      <c r="I2468">
        <v>5000</v>
      </c>
      <c r="J2468">
        <v>1369</v>
      </c>
      <c r="K2468">
        <v>6369</v>
      </c>
      <c r="N2468">
        <v>26.086956521739129</v>
      </c>
      <c r="O2468">
        <v>6.1856999999999998</v>
      </c>
      <c r="P2468">
        <v>69.69</v>
      </c>
      <c r="Q2468">
        <v>6</v>
      </c>
      <c r="R2468">
        <v>5.7</v>
      </c>
      <c r="S2468">
        <v>7</v>
      </c>
      <c r="T2468">
        <v>96.967618999999999</v>
      </c>
      <c r="W2468" t="s">
        <v>497</v>
      </c>
    </row>
    <row r="2469" spans="1:23" x14ac:dyDescent="0.25">
      <c r="A2469" t="s">
        <v>2918</v>
      </c>
      <c r="B2469" t="str">
        <f t="shared" si="39"/>
        <v>GA1100001674</v>
      </c>
      <c r="C2469" t="s">
        <v>227</v>
      </c>
      <c r="D2469" t="s">
        <v>77</v>
      </c>
      <c r="E2469" t="s">
        <v>78</v>
      </c>
      <c r="F2469">
        <v>10000</v>
      </c>
      <c r="G2469" s="13">
        <v>45042</v>
      </c>
      <c r="H2469" s="13">
        <v>45135</v>
      </c>
      <c r="I2469">
        <v>9475</v>
      </c>
      <c r="J2469">
        <v>25</v>
      </c>
      <c r="K2469">
        <v>9500</v>
      </c>
      <c r="N2469">
        <v>35</v>
      </c>
      <c r="O2469">
        <v>5.8068</v>
      </c>
      <c r="P2469">
        <v>130.25</v>
      </c>
      <c r="Q2469">
        <v>6</v>
      </c>
      <c r="R2469">
        <v>5.6660000000000004</v>
      </c>
      <c r="S2469">
        <v>6.5</v>
      </c>
      <c r="T2469">
        <v>98.553398999999999</v>
      </c>
      <c r="W2469" t="s">
        <v>497</v>
      </c>
    </row>
    <row r="2470" spans="1:23" x14ac:dyDescent="0.25">
      <c r="A2470" t="s">
        <v>2919</v>
      </c>
      <c r="B2470" t="str">
        <f t="shared" si="39"/>
        <v>TD1200001618</v>
      </c>
      <c r="C2470" t="s">
        <v>237</v>
      </c>
      <c r="D2470" t="s">
        <v>77</v>
      </c>
      <c r="E2470" t="s">
        <v>82</v>
      </c>
      <c r="F2470">
        <v>9000</v>
      </c>
      <c r="G2470" s="13">
        <v>45042</v>
      </c>
      <c r="H2470" s="13">
        <v>45226</v>
      </c>
      <c r="I2470">
        <v>1491</v>
      </c>
      <c r="J2470">
        <v>7509</v>
      </c>
      <c r="K2470">
        <v>9000</v>
      </c>
      <c r="N2470">
        <v>33.333333333333329</v>
      </c>
      <c r="O2470">
        <v>6.8802000000000003</v>
      </c>
      <c r="P2470">
        <v>112.36669999999999</v>
      </c>
      <c r="Q2470">
        <v>6.75</v>
      </c>
      <c r="R2470">
        <v>6.45</v>
      </c>
      <c r="S2470">
        <v>6.75</v>
      </c>
      <c r="T2470">
        <v>96.638581000000002</v>
      </c>
      <c r="W2470" t="s">
        <v>497</v>
      </c>
    </row>
    <row r="2471" spans="1:23" x14ac:dyDescent="0.25">
      <c r="A2471" t="s">
        <v>2920</v>
      </c>
      <c r="B2471" t="str">
        <f t="shared" si="39"/>
        <v>CF1200000435</v>
      </c>
      <c r="C2471" t="s">
        <v>2406</v>
      </c>
      <c r="D2471" t="s">
        <v>77</v>
      </c>
      <c r="E2471" t="s">
        <v>82</v>
      </c>
      <c r="F2471">
        <v>10000</v>
      </c>
      <c r="G2471" s="13">
        <v>45048</v>
      </c>
      <c r="H2471" s="13">
        <v>45231</v>
      </c>
      <c r="I2471">
        <v>7125</v>
      </c>
      <c r="J2471">
        <v>50</v>
      </c>
      <c r="K2471">
        <v>7175</v>
      </c>
      <c r="N2471">
        <v>44.444444444444443</v>
      </c>
      <c r="O2471">
        <v>8.8576999999999995</v>
      </c>
      <c r="P2471">
        <v>71.75</v>
      </c>
      <c r="Q2471">
        <v>8.5</v>
      </c>
      <c r="R2471">
        <v>6.5</v>
      </c>
      <c r="S2471">
        <v>8.5</v>
      </c>
      <c r="T2471">
        <v>95.713875000000002</v>
      </c>
      <c r="W2471" t="s">
        <v>497</v>
      </c>
    </row>
    <row r="2472" spans="1:23" x14ac:dyDescent="0.25">
      <c r="A2472" t="s">
        <v>2921</v>
      </c>
      <c r="B2472" t="str">
        <f t="shared" si="39"/>
        <v>GA1300000625</v>
      </c>
      <c r="C2472" t="s">
        <v>227</v>
      </c>
      <c r="D2472" t="s">
        <v>77</v>
      </c>
      <c r="E2472" t="s">
        <v>287</v>
      </c>
      <c r="F2472">
        <v>10000</v>
      </c>
      <c r="G2472" s="13">
        <v>45049</v>
      </c>
      <c r="H2472" s="13">
        <v>45415</v>
      </c>
      <c r="I2472">
        <v>3250</v>
      </c>
      <c r="J2472">
        <v>5716</v>
      </c>
      <c r="K2472">
        <v>8966</v>
      </c>
      <c r="N2472">
        <v>40</v>
      </c>
      <c r="O2472">
        <v>6.9157000000000002</v>
      </c>
      <c r="P2472">
        <v>92.66</v>
      </c>
      <c r="Q2472">
        <v>6.75</v>
      </c>
      <c r="R2472">
        <v>5.5</v>
      </c>
      <c r="S2472">
        <v>6.8</v>
      </c>
      <c r="T2472">
        <v>93.464484999999996</v>
      </c>
      <c r="W2472" t="s">
        <v>497</v>
      </c>
    </row>
    <row r="2473" spans="1:23" x14ac:dyDescent="0.25">
      <c r="A2473" t="s">
        <v>2922</v>
      </c>
      <c r="B2473" t="str">
        <f t="shared" si="39"/>
        <v>CM1200001350</v>
      </c>
      <c r="C2473" t="s">
        <v>225</v>
      </c>
      <c r="D2473" t="s">
        <v>77</v>
      </c>
      <c r="E2473" t="s">
        <v>82</v>
      </c>
      <c r="F2473">
        <v>15000</v>
      </c>
      <c r="G2473" s="13">
        <v>45054</v>
      </c>
      <c r="H2473" s="13">
        <v>45238</v>
      </c>
      <c r="I2473">
        <v>5150</v>
      </c>
      <c r="J2473">
        <v>500</v>
      </c>
      <c r="K2473">
        <v>5650</v>
      </c>
      <c r="N2473">
        <v>23.809523809523807</v>
      </c>
      <c r="O2473">
        <v>4.5843999999999996</v>
      </c>
      <c r="P2473">
        <v>86.333299999999994</v>
      </c>
      <c r="Q2473">
        <v>4.5999999999999996</v>
      </c>
      <c r="R2473">
        <v>3.75</v>
      </c>
      <c r="S2473">
        <v>6.5</v>
      </c>
      <c r="T2473">
        <v>97.734842999999998</v>
      </c>
      <c r="W2473" t="s">
        <v>497</v>
      </c>
    </row>
    <row r="2474" spans="1:23" x14ac:dyDescent="0.25">
      <c r="A2474" t="s">
        <v>2923</v>
      </c>
      <c r="B2474" t="str">
        <f t="shared" si="39"/>
        <v>CG1200000939</v>
      </c>
      <c r="C2474" t="s">
        <v>229</v>
      </c>
      <c r="D2474" t="s">
        <v>77</v>
      </c>
      <c r="E2474" t="s">
        <v>82</v>
      </c>
      <c r="F2474">
        <v>10000</v>
      </c>
      <c r="G2474" s="13">
        <v>45055</v>
      </c>
      <c r="H2474" s="13">
        <v>45239</v>
      </c>
      <c r="I2474">
        <v>1635</v>
      </c>
      <c r="J2474">
        <v>4047</v>
      </c>
      <c r="K2474">
        <v>5682</v>
      </c>
      <c r="N2474">
        <v>43.478260869565219</v>
      </c>
      <c r="O2474">
        <v>6.6231999999999998</v>
      </c>
      <c r="P2474">
        <v>58.32</v>
      </c>
      <c r="Q2474">
        <v>6.5</v>
      </c>
      <c r="R2474">
        <v>5.5</v>
      </c>
      <c r="S2474">
        <v>7</v>
      </c>
      <c r="T2474">
        <v>96.760107000000005</v>
      </c>
      <c r="W2474" t="s">
        <v>497</v>
      </c>
    </row>
    <row r="2475" spans="1:23" x14ac:dyDescent="0.25">
      <c r="A2475" t="s">
        <v>2924</v>
      </c>
      <c r="B2475" t="str">
        <f t="shared" si="39"/>
        <v>CG1300000318</v>
      </c>
      <c r="C2475" t="s">
        <v>229</v>
      </c>
      <c r="D2475" t="s">
        <v>77</v>
      </c>
      <c r="E2475" t="s">
        <v>287</v>
      </c>
      <c r="F2475">
        <v>10000</v>
      </c>
      <c r="G2475" s="13">
        <v>45055</v>
      </c>
      <c r="H2475" s="13">
        <v>45421</v>
      </c>
      <c r="I2475">
        <v>500</v>
      </c>
      <c r="J2475">
        <v>2679</v>
      </c>
      <c r="K2475">
        <v>3179</v>
      </c>
      <c r="N2475">
        <v>26.086956521739129</v>
      </c>
      <c r="O2475">
        <v>6.7618</v>
      </c>
      <c r="P2475">
        <v>32.79</v>
      </c>
      <c r="Q2475">
        <v>7</v>
      </c>
      <c r="R2475">
        <v>5.5</v>
      </c>
      <c r="S2475">
        <v>7.5</v>
      </c>
      <c r="T2475">
        <v>93.600564000000006</v>
      </c>
      <c r="W2475" t="s">
        <v>497</v>
      </c>
    </row>
    <row r="2476" spans="1:23" x14ac:dyDescent="0.25">
      <c r="A2476" t="s">
        <v>2925</v>
      </c>
      <c r="B2476" t="str">
        <f t="shared" si="39"/>
        <v>GQ1300001211</v>
      </c>
      <c r="C2476" t="s">
        <v>528</v>
      </c>
      <c r="D2476" t="s">
        <v>77</v>
      </c>
      <c r="E2476" t="s">
        <v>287</v>
      </c>
      <c r="F2476">
        <v>17000</v>
      </c>
      <c r="G2476" s="13">
        <v>45055</v>
      </c>
      <c r="H2476" s="13">
        <v>45421</v>
      </c>
      <c r="I2476">
        <v>17000</v>
      </c>
      <c r="J2476">
        <v>0</v>
      </c>
      <c r="K2476">
        <v>17000</v>
      </c>
      <c r="N2476">
        <v>30.76923076923077</v>
      </c>
      <c r="O2476">
        <v>6.9875999999999996</v>
      </c>
      <c r="P2476">
        <v>124.81180000000001</v>
      </c>
      <c r="Q2476">
        <v>6.75</v>
      </c>
      <c r="R2476">
        <v>6.5</v>
      </c>
      <c r="S2476">
        <v>7.5</v>
      </c>
      <c r="T2476">
        <v>93.400982999999997</v>
      </c>
      <c r="W2476" t="s">
        <v>497</v>
      </c>
    </row>
    <row r="2477" spans="1:23" x14ac:dyDescent="0.25">
      <c r="A2477" t="s">
        <v>2926</v>
      </c>
      <c r="B2477" t="str">
        <f t="shared" si="39"/>
        <v>GA1100001682</v>
      </c>
      <c r="C2477" t="s">
        <v>227</v>
      </c>
      <c r="D2477" t="s">
        <v>77</v>
      </c>
      <c r="E2477" t="s">
        <v>78</v>
      </c>
      <c r="F2477">
        <v>10500</v>
      </c>
      <c r="G2477" s="13">
        <v>45056</v>
      </c>
      <c r="H2477" s="13">
        <v>45149</v>
      </c>
      <c r="I2477">
        <v>10435</v>
      </c>
      <c r="J2477">
        <v>65</v>
      </c>
      <c r="K2477">
        <v>10500</v>
      </c>
      <c r="N2477">
        <v>45</v>
      </c>
      <c r="O2477">
        <v>5.9120999999999997</v>
      </c>
      <c r="P2477">
        <v>262.52379999999999</v>
      </c>
      <c r="Q2477">
        <v>5.9</v>
      </c>
      <c r="R2477">
        <v>5.5</v>
      </c>
      <c r="S2477">
        <v>6.15</v>
      </c>
      <c r="T2477">
        <v>98.527557000000002</v>
      </c>
      <c r="W2477" t="s">
        <v>497</v>
      </c>
    </row>
    <row r="2478" spans="1:23" x14ac:dyDescent="0.25">
      <c r="A2478" t="s">
        <v>2927</v>
      </c>
      <c r="B2478" t="str">
        <f t="shared" si="39"/>
        <v>TD1200001626</v>
      </c>
      <c r="C2478" t="s">
        <v>237</v>
      </c>
      <c r="D2478" t="s">
        <v>77</v>
      </c>
      <c r="E2478" t="s">
        <v>82</v>
      </c>
      <c r="F2478">
        <v>10000</v>
      </c>
      <c r="G2478" s="13">
        <v>45056</v>
      </c>
      <c r="H2478" s="13">
        <v>45240</v>
      </c>
      <c r="I2478">
        <v>4600</v>
      </c>
      <c r="J2478">
        <v>4520</v>
      </c>
      <c r="K2478">
        <v>9120</v>
      </c>
      <c r="N2478">
        <v>33.333333333333329</v>
      </c>
      <c r="O2478">
        <v>6.8518999999999997</v>
      </c>
      <c r="P2478">
        <v>91.2</v>
      </c>
      <c r="Q2478">
        <v>6.75</v>
      </c>
      <c r="R2478">
        <v>6.1</v>
      </c>
      <c r="S2478">
        <v>6.75</v>
      </c>
      <c r="T2478">
        <v>96.651968999999994</v>
      </c>
      <c r="W2478" t="s">
        <v>497</v>
      </c>
    </row>
    <row r="2479" spans="1:23" x14ac:dyDescent="0.25">
      <c r="A2479" t="s">
        <v>2928</v>
      </c>
      <c r="B2479" t="str">
        <f t="shared" si="39"/>
        <v>CG1200000947</v>
      </c>
      <c r="C2479" t="s">
        <v>229</v>
      </c>
      <c r="D2479" t="s">
        <v>77</v>
      </c>
      <c r="E2479" t="s">
        <v>82</v>
      </c>
      <c r="F2479">
        <v>10000</v>
      </c>
      <c r="G2479" s="13">
        <v>45062</v>
      </c>
      <c r="H2479" s="13">
        <v>45246</v>
      </c>
      <c r="I2479">
        <v>4472</v>
      </c>
      <c r="J2479">
        <v>5528</v>
      </c>
      <c r="K2479">
        <v>10000</v>
      </c>
      <c r="N2479">
        <v>47.826086956521742</v>
      </c>
      <c r="O2479">
        <v>6.5922999999999998</v>
      </c>
      <c r="P2479">
        <v>126.17</v>
      </c>
      <c r="Q2479">
        <v>6.5</v>
      </c>
      <c r="R2479">
        <v>5</v>
      </c>
      <c r="S2479">
        <v>6.5</v>
      </c>
      <c r="T2479">
        <v>96.774720000000002</v>
      </c>
      <c r="W2479" t="s">
        <v>497</v>
      </c>
    </row>
    <row r="2480" spans="1:23" x14ac:dyDescent="0.25">
      <c r="A2480" t="s">
        <v>2929</v>
      </c>
      <c r="B2480" t="str">
        <f t="shared" si="39"/>
        <v>CG1100000476</v>
      </c>
      <c r="C2480" t="s">
        <v>229</v>
      </c>
      <c r="D2480" t="s">
        <v>77</v>
      </c>
      <c r="E2480" t="s">
        <v>78</v>
      </c>
      <c r="F2480">
        <v>10000</v>
      </c>
      <c r="G2480" s="13">
        <v>45062</v>
      </c>
      <c r="H2480" s="13">
        <v>45155</v>
      </c>
      <c r="I2480">
        <v>0</v>
      </c>
      <c r="J2480">
        <v>5229</v>
      </c>
      <c r="K2480">
        <v>5229</v>
      </c>
      <c r="N2480">
        <v>30.434782608695656</v>
      </c>
      <c r="O2480">
        <v>6.1783000000000001</v>
      </c>
      <c r="P2480">
        <v>53.29</v>
      </c>
      <c r="Q2480">
        <v>6.3</v>
      </c>
      <c r="R2480">
        <v>5.5</v>
      </c>
      <c r="S2480">
        <v>7</v>
      </c>
      <c r="T2480">
        <v>98.462281000000004</v>
      </c>
      <c r="W2480" t="s">
        <v>497</v>
      </c>
    </row>
    <row r="2481" spans="1:23" x14ac:dyDescent="0.25">
      <c r="A2481" t="s">
        <v>2930</v>
      </c>
      <c r="B2481" t="str">
        <f t="shared" si="39"/>
        <v>GA1100001690</v>
      </c>
      <c r="C2481" t="s">
        <v>227</v>
      </c>
      <c r="D2481" t="s">
        <v>77</v>
      </c>
      <c r="E2481" t="s">
        <v>78</v>
      </c>
      <c r="F2481">
        <v>10000</v>
      </c>
      <c r="G2481" s="13">
        <v>45063</v>
      </c>
      <c r="H2481" s="13">
        <v>45156</v>
      </c>
      <c r="I2481">
        <v>2910</v>
      </c>
      <c r="J2481">
        <v>7090</v>
      </c>
      <c r="K2481">
        <v>10000</v>
      </c>
      <c r="N2481">
        <v>40</v>
      </c>
      <c r="O2481">
        <v>5.7312000000000003</v>
      </c>
      <c r="P2481">
        <v>260.39999999999998</v>
      </c>
      <c r="Q2481">
        <v>5.71</v>
      </c>
      <c r="R2481">
        <v>5.5</v>
      </c>
      <c r="S2481">
        <v>6.05</v>
      </c>
      <c r="T2481">
        <v>98.571979999999996</v>
      </c>
      <c r="W2481" t="s">
        <v>497</v>
      </c>
    </row>
    <row r="2482" spans="1:23" x14ac:dyDescent="0.25">
      <c r="A2482" t="s">
        <v>2931</v>
      </c>
      <c r="B2482" t="str">
        <f t="shared" si="39"/>
        <v>CM1200001368</v>
      </c>
      <c r="C2482" t="s">
        <v>225</v>
      </c>
      <c r="D2482" t="s">
        <v>77</v>
      </c>
      <c r="E2482" t="s">
        <v>82</v>
      </c>
      <c r="F2482">
        <v>15000</v>
      </c>
      <c r="G2482" s="13">
        <v>45068</v>
      </c>
      <c r="H2482" s="13">
        <v>45252</v>
      </c>
      <c r="I2482">
        <v>9518</v>
      </c>
      <c r="J2482">
        <v>0</v>
      </c>
      <c r="K2482">
        <v>9518</v>
      </c>
      <c r="N2482">
        <v>19.047619047619047</v>
      </c>
      <c r="O2482">
        <v>4.7836999999999996</v>
      </c>
      <c r="P2482">
        <v>88.92</v>
      </c>
      <c r="Q2482">
        <v>4.9000000000000004</v>
      </c>
      <c r="R2482">
        <v>4.5</v>
      </c>
      <c r="S2482">
        <v>6</v>
      </c>
      <c r="T2482">
        <v>97.638687000000004</v>
      </c>
      <c r="W2482" t="s">
        <v>497</v>
      </c>
    </row>
    <row r="2483" spans="1:23" x14ac:dyDescent="0.25">
      <c r="A2483" t="s">
        <v>2932</v>
      </c>
      <c r="B2483" t="str">
        <f t="shared" si="39"/>
        <v>CG1200000954</v>
      </c>
      <c r="C2483" t="s">
        <v>229</v>
      </c>
      <c r="D2483" t="s">
        <v>77</v>
      </c>
      <c r="E2483" t="s">
        <v>82</v>
      </c>
      <c r="F2483">
        <v>12000</v>
      </c>
      <c r="G2483" s="13">
        <v>45069</v>
      </c>
      <c r="H2483" s="13">
        <v>45253</v>
      </c>
      <c r="I2483">
        <v>5459</v>
      </c>
      <c r="J2483">
        <v>2726</v>
      </c>
      <c r="K2483">
        <v>8185</v>
      </c>
      <c r="N2483">
        <v>43.478260869565219</v>
      </c>
      <c r="O2483">
        <v>6.61</v>
      </c>
      <c r="P2483">
        <v>69.083299999999994</v>
      </c>
      <c r="Q2483">
        <v>6.75</v>
      </c>
      <c r="R2483">
        <v>6</v>
      </c>
      <c r="S2483">
        <v>7.5</v>
      </c>
      <c r="T2483">
        <v>96.766358999999994</v>
      </c>
      <c r="W2483" t="s">
        <v>497</v>
      </c>
    </row>
    <row r="2484" spans="1:23" x14ac:dyDescent="0.25">
      <c r="A2484" t="s">
        <v>2933</v>
      </c>
      <c r="B2484" t="str">
        <f t="shared" si="39"/>
        <v>GA1200001764</v>
      </c>
      <c r="C2484" t="s">
        <v>227</v>
      </c>
      <c r="D2484" t="s">
        <v>77</v>
      </c>
      <c r="E2484" t="s">
        <v>82</v>
      </c>
      <c r="F2484">
        <v>10000</v>
      </c>
      <c r="G2484" s="13">
        <v>45070</v>
      </c>
      <c r="H2484" s="13">
        <v>45254</v>
      </c>
      <c r="I2484">
        <v>9266</v>
      </c>
      <c r="J2484">
        <v>734</v>
      </c>
      <c r="K2484">
        <v>10000</v>
      </c>
      <c r="N2484">
        <v>35</v>
      </c>
      <c r="O2484">
        <v>6.0711000000000004</v>
      </c>
      <c r="P2484">
        <v>140.21</v>
      </c>
      <c r="Q2484">
        <v>6</v>
      </c>
      <c r="R2484">
        <v>5.5</v>
      </c>
      <c r="S2484">
        <v>7</v>
      </c>
      <c r="T2484">
        <v>97.022126</v>
      </c>
      <c r="W2484" t="s">
        <v>497</v>
      </c>
    </row>
    <row r="2485" spans="1:23" x14ac:dyDescent="0.25">
      <c r="A2485" t="s">
        <v>2934</v>
      </c>
      <c r="B2485" t="str">
        <f t="shared" si="39"/>
        <v>GQ1300001229</v>
      </c>
      <c r="C2485" t="s">
        <v>528</v>
      </c>
      <c r="D2485" t="s">
        <v>77</v>
      </c>
      <c r="E2485" t="s">
        <v>287</v>
      </c>
      <c r="F2485">
        <v>17000</v>
      </c>
      <c r="G2485" s="13">
        <v>45069</v>
      </c>
      <c r="H2485" s="13">
        <v>45435</v>
      </c>
      <c r="I2485">
        <v>11470</v>
      </c>
      <c r="J2485">
        <v>381</v>
      </c>
      <c r="K2485">
        <v>11851</v>
      </c>
      <c r="N2485">
        <v>46.153846153846153</v>
      </c>
      <c r="O2485">
        <v>7.0758000000000001</v>
      </c>
      <c r="P2485">
        <v>101.44710000000001</v>
      </c>
      <c r="Q2485">
        <v>6.75</v>
      </c>
      <c r="R2485">
        <v>5.5</v>
      </c>
      <c r="S2485">
        <v>7.5</v>
      </c>
      <c r="T2485">
        <v>93.323254000000006</v>
      </c>
      <c r="W2485" t="s">
        <v>497</v>
      </c>
    </row>
    <row r="2486" spans="1:23" x14ac:dyDescent="0.25">
      <c r="A2486" t="s">
        <v>2935</v>
      </c>
      <c r="B2486" t="str">
        <f t="shared" si="39"/>
        <v>CM1100001013</v>
      </c>
      <c r="C2486" t="s">
        <v>225</v>
      </c>
      <c r="D2486" t="s">
        <v>77</v>
      </c>
      <c r="E2486" t="s">
        <v>78</v>
      </c>
      <c r="F2486">
        <v>15000</v>
      </c>
      <c r="G2486" s="13">
        <v>45075</v>
      </c>
      <c r="H2486" s="13">
        <v>45168</v>
      </c>
      <c r="I2486">
        <v>15000</v>
      </c>
      <c r="J2486">
        <v>0</v>
      </c>
      <c r="K2486">
        <v>15000</v>
      </c>
      <c r="N2486">
        <v>19.047619047619047</v>
      </c>
      <c r="O2486">
        <v>4.6210000000000004</v>
      </c>
      <c r="P2486">
        <v>119.7333</v>
      </c>
      <c r="Q2486">
        <v>4.9000000000000004</v>
      </c>
      <c r="R2486">
        <v>4.3</v>
      </c>
      <c r="S2486">
        <v>6</v>
      </c>
      <c r="T2486">
        <v>98.845394999999996</v>
      </c>
      <c r="W2486" t="s">
        <v>497</v>
      </c>
    </row>
    <row r="2487" spans="1:23" x14ac:dyDescent="0.25">
      <c r="A2487" t="s">
        <v>2936</v>
      </c>
      <c r="B2487" t="str">
        <f t="shared" si="39"/>
        <v>CG1100000484</v>
      </c>
      <c r="C2487" t="s">
        <v>229</v>
      </c>
      <c r="D2487" t="s">
        <v>77</v>
      </c>
      <c r="E2487" t="s">
        <v>78</v>
      </c>
      <c r="F2487">
        <v>10000</v>
      </c>
      <c r="G2487" s="13">
        <v>45076</v>
      </c>
      <c r="H2487" s="13">
        <v>45169</v>
      </c>
      <c r="I2487">
        <v>0</v>
      </c>
      <c r="J2487">
        <v>5246</v>
      </c>
      <c r="K2487">
        <v>5246</v>
      </c>
      <c r="N2487">
        <v>16.666666666666664</v>
      </c>
      <c r="O2487">
        <v>6.0784000000000002</v>
      </c>
      <c r="P2487">
        <v>53.56</v>
      </c>
      <c r="Q2487">
        <v>6</v>
      </c>
      <c r="R2487">
        <v>5.7</v>
      </c>
      <c r="S2487">
        <v>7</v>
      </c>
      <c r="T2487">
        <v>98.486768999999995</v>
      </c>
      <c r="W2487" t="s">
        <v>497</v>
      </c>
    </row>
    <row r="2488" spans="1:23" x14ac:dyDescent="0.25">
      <c r="A2488" t="s">
        <v>2937</v>
      </c>
      <c r="B2488" t="str">
        <f t="shared" si="39"/>
        <v>CG1200000962</v>
      </c>
      <c r="C2488" t="s">
        <v>229</v>
      </c>
      <c r="D2488" t="s">
        <v>77</v>
      </c>
      <c r="E2488" t="s">
        <v>82</v>
      </c>
      <c r="F2488">
        <v>10000</v>
      </c>
      <c r="G2488" s="13">
        <v>45076</v>
      </c>
      <c r="H2488" s="13">
        <v>45260</v>
      </c>
      <c r="I2488">
        <v>0</v>
      </c>
      <c r="J2488">
        <v>998</v>
      </c>
      <c r="K2488">
        <v>998</v>
      </c>
      <c r="N2488">
        <v>20.833333333333336</v>
      </c>
      <c r="O2488">
        <v>6.3430999999999997</v>
      </c>
      <c r="P2488">
        <v>10.98</v>
      </c>
      <c r="Q2488">
        <v>6.5</v>
      </c>
      <c r="R2488">
        <v>5.7</v>
      </c>
      <c r="S2488">
        <v>7.5</v>
      </c>
      <c r="T2488">
        <v>96.892859999999999</v>
      </c>
      <c r="W2488" t="s">
        <v>497</v>
      </c>
    </row>
    <row r="2489" spans="1:23" x14ac:dyDescent="0.25">
      <c r="A2489" t="s">
        <v>2938</v>
      </c>
      <c r="B2489" t="str">
        <f t="shared" si="39"/>
        <v>GA1200001772</v>
      </c>
      <c r="C2489" t="s">
        <v>227</v>
      </c>
      <c r="D2489" t="s">
        <v>77</v>
      </c>
      <c r="E2489" t="s">
        <v>82</v>
      </c>
      <c r="F2489">
        <v>8500</v>
      </c>
      <c r="G2489" s="13">
        <v>45077</v>
      </c>
      <c r="H2489" s="13">
        <v>45261</v>
      </c>
      <c r="I2489">
        <v>5741</v>
      </c>
      <c r="J2489">
        <v>2759</v>
      </c>
      <c r="K2489">
        <v>8500</v>
      </c>
      <c r="N2489">
        <v>28.571428571428569</v>
      </c>
      <c r="O2489">
        <v>6.1426999999999996</v>
      </c>
      <c r="P2489">
        <v>132.1412</v>
      </c>
      <c r="Q2489">
        <v>6</v>
      </c>
      <c r="R2489">
        <v>5.5</v>
      </c>
      <c r="S2489">
        <v>6.2</v>
      </c>
      <c r="T2489">
        <v>96.988049000000004</v>
      </c>
      <c r="W2489" t="s">
        <v>497</v>
      </c>
    </row>
    <row r="2490" spans="1:23" x14ac:dyDescent="0.25">
      <c r="A2490" t="s">
        <v>2939</v>
      </c>
      <c r="B2490" t="str">
        <f t="shared" si="39"/>
        <v>TD1200001634</v>
      </c>
      <c r="C2490" t="s">
        <v>237</v>
      </c>
      <c r="D2490" t="s">
        <v>77</v>
      </c>
      <c r="E2490" t="s">
        <v>82</v>
      </c>
      <c r="F2490">
        <v>11000</v>
      </c>
      <c r="G2490" s="13">
        <v>45077</v>
      </c>
      <c r="H2490" s="13">
        <v>45261</v>
      </c>
      <c r="I2490">
        <v>10830</v>
      </c>
      <c r="J2490">
        <v>25</v>
      </c>
      <c r="K2490">
        <v>10855</v>
      </c>
      <c r="N2490">
        <v>33.333333333333329</v>
      </c>
      <c r="O2490">
        <v>6.7195999999999998</v>
      </c>
      <c r="P2490">
        <v>98.681799999999996</v>
      </c>
      <c r="Q2490">
        <v>6.5</v>
      </c>
      <c r="R2490">
        <v>6</v>
      </c>
      <c r="S2490">
        <v>6.5</v>
      </c>
      <c r="T2490">
        <v>96.714471000000003</v>
      </c>
      <c r="W2490" t="s">
        <v>497</v>
      </c>
    </row>
    <row r="2491" spans="1:23" x14ac:dyDescent="0.25">
      <c r="A2491" t="s">
        <v>2940</v>
      </c>
      <c r="B2491" t="str">
        <f t="shared" si="39"/>
        <v>CG1100000492</v>
      </c>
      <c r="C2491" t="s">
        <v>229</v>
      </c>
      <c r="D2491" t="s">
        <v>77</v>
      </c>
      <c r="E2491" t="s">
        <v>78</v>
      </c>
      <c r="F2491">
        <v>20000</v>
      </c>
      <c r="G2491" s="13">
        <v>45083</v>
      </c>
      <c r="H2491" s="13">
        <v>45176</v>
      </c>
      <c r="I2491">
        <v>3741</v>
      </c>
      <c r="J2491">
        <v>16259</v>
      </c>
      <c r="K2491">
        <v>20000</v>
      </c>
      <c r="N2491">
        <v>33.333333333333329</v>
      </c>
      <c r="O2491">
        <v>6.2748999999999997</v>
      </c>
      <c r="P2491">
        <v>118.795</v>
      </c>
      <c r="Q2491">
        <v>6.3</v>
      </c>
      <c r="R2491">
        <v>5</v>
      </c>
      <c r="S2491">
        <v>6.3</v>
      </c>
      <c r="T2491">
        <v>98.438608000000002</v>
      </c>
      <c r="W2491" t="s">
        <v>497</v>
      </c>
    </row>
    <row r="2492" spans="1:23" x14ac:dyDescent="0.25">
      <c r="A2492" t="s">
        <v>2941</v>
      </c>
      <c r="B2492" t="str">
        <f t="shared" si="39"/>
        <v>GA1200001780</v>
      </c>
      <c r="C2492" t="s">
        <v>227</v>
      </c>
      <c r="D2492" t="s">
        <v>77</v>
      </c>
      <c r="E2492" t="s">
        <v>82</v>
      </c>
      <c r="F2492">
        <v>11500</v>
      </c>
      <c r="G2492" s="13">
        <v>45084</v>
      </c>
      <c r="H2492" s="13">
        <v>45268</v>
      </c>
      <c r="I2492">
        <v>4000</v>
      </c>
      <c r="J2492">
        <v>6337</v>
      </c>
      <c r="K2492">
        <v>10337</v>
      </c>
      <c r="N2492">
        <v>33.333333333333329</v>
      </c>
      <c r="O2492">
        <v>6.2324999999999999</v>
      </c>
      <c r="P2492">
        <v>90.278300000000002</v>
      </c>
      <c r="Q2492">
        <v>6.25</v>
      </c>
      <c r="R2492">
        <v>5</v>
      </c>
      <c r="S2492">
        <v>7</v>
      </c>
      <c r="T2492">
        <v>96.945386999999997</v>
      </c>
      <c r="W2492" t="s">
        <v>497</v>
      </c>
    </row>
    <row r="2493" spans="1:23" x14ac:dyDescent="0.25">
      <c r="A2493" t="s">
        <v>2942</v>
      </c>
      <c r="B2493" t="str">
        <f t="shared" si="39"/>
        <v>CM1100001021</v>
      </c>
      <c r="C2493" t="s">
        <v>225</v>
      </c>
      <c r="D2493" t="s">
        <v>77</v>
      </c>
      <c r="E2493" t="s">
        <v>78</v>
      </c>
      <c r="F2493">
        <v>5000</v>
      </c>
      <c r="G2493" s="13">
        <v>45089</v>
      </c>
      <c r="H2493" s="13">
        <v>45182</v>
      </c>
      <c r="K2493">
        <v>5000</v>
      </c>
      <c r="T2493">
        <v>100</v>
      </c>
      <c r="W2493" t="s">
        <v>542</v>
      </c>
    </row>
    <row r="2494" spans="1:23" x14ac:dyDescent="0.25">
      <c r="A2494" t="s">
        <v>2943</v>
      </c>
      <c r="B2494" t="str">
        <f t="shared" si="39"/>
        <v>CM1200001376</v>
      </c>
      <c r="C2494" t="s">
        <v>225</v>
      </c>
      <c r="D2494" t="s">
        <v>77</v>
      </c>
      <c r="E2494" t="s">
        <v>82</v>
      </c>
      <c r="F2494">
        <v>15700</v>
      </c>
      <c r="G2494" s="13">
        <v>45089</v>
      </c>
      <c r="H2494" s="13">
        <v>45273</v>
      </c>
      <c r="K2494">
        <v>15700</v>
      </c>
      <c r="T2494">
        <v>100</v>
      </c>
      <c r="W2494" t="s">
        <v>542</v>
      </c>
    </row>
    <row r="2495" spans="1:23" x14ac:dyDescent="0.25">
      <c r="A2495" t="s">
        <v>2944</v>
      </c>
      <c r="B2495" t="str">
        <f t="shared" si="39"/>
        <v>CG1200000970</v>
      </c>
      <c r="C2495" t="s">
        <v>229</v>
      </c>
      <c r="D2495" t="s">
        <v>77</v>
      </c>
      <c r="E2495" t="s">
        <v>82</v>
      </c>
      <c r="F2495">
        <v>12000</v>
      </c>
      <c r="G2495" s="13">
        <v>45090</v>
      </c>
      <c r="H2495" s="13">
        <v>45274</v>
      </c>
      <c r="I2495">
        <v>2177</v>
      </c>
      <c r="J2495">
        <v>1556</v>
      </c>
      <c r="K2495">
        <v>3733</v>
      </c>
      <c r="N2495">
        <v>25</v>
      </c>
      <c r="O2495">
        <v>6.4558</v>
      </c>
      <c r="P2495">
        <v>31.191700000000001</v>
      </c>
      <c r="Q2495">
        <v>6.5</v>
      </c>
      <c r="R2495">
        <v>5.5</v>
      </c>
      <c r="S2495">
        <v>7</v>
      </c>
      <c r="T2495">
        <v>96.839410999999998</v>
      </c>
      <c r="W2495" t="s">
        <v>497</v>
      </c>
    </row>
    <row r="2496" spans="1:23" x14ac:dyDescent="0.25">
      <c r="A2496" t="s">
        <v>2945</v>
      </c>
      <c r="B2496" t="str">
        <f t="shared" si="39"/>
        <v>GA1300000633</v>
      </c>
      <c r="C2496" t="s">
        <v>227</v>
      </c>
      <c r="D2496" t="s">
        <v>77</v>
      </c>
      <c r="E2496" t="s">
        <v>287</v>
      </c>
      <c r="F2496">
        <v>10000</v>
      </c>
      <c r="G2496" s="13">
        <v>45091</v>
      </c>
      <c r="H2496" s="13">
        <v>45457</v>
      </c>
      <c r="I2496">
        <v>1500</v>
      </c>
      <c r="J2496">
        <v>5674</v>
      </c>
      <c r="K2496">
        <v>7174</v>
      </c>
      <c r="N2496">
        <v>19.047619047619047</v>
      </c>
      <c r="O2496">
        <v>6.68</v>
      </c>
      <c r="P2496">
        <v>71.739999999999995</v>
      </c>
      <c r="Q2496">
        <v>6.5</v>
      </c>
      <c r="R2496">
        <v>5.5</v>
      </c>
      <c r="S2496">
        <v>6.5</v>
      </c>
      <c r="T2496">
        <v>93.673072000000005</v>
      </c>
      <c r="W2496" t="s">
        <v>497</v>
      </c>
    </row>
    <row r="2497" spans="1:23" x14ac:dyDescent="0.25">
      <c r="A2497" t="s">
        <v>2946</v>
      </c>
      <c r="B2497" t="str">
        <f t="shared" si="39"/>
        <v>TD1200001642</v>
      </c>
      <c r="C2497" t="s">
        <v>237</v>
      </c>
      <c r="D2497" t="s">
        <v>77</v>
      </c>
      <c r="E2497" t="s">
        <v>82</v>
      </c>
      <c r="F2497">
        <v>20000</v>
      </c>
      <c r="G2497" s="13">
        <v>45091</v>
      </c>
      <c r="H2497" s="13">
        <v>45275</v>
      </c>
      <c r="I2497">
        <v>0</v>
      </c>
      <c r="J2497">
        <v>9204</v>
      </c>
      <c r="K2497">
        <v>9204</v>
      </c>
      <c r="N2497">
        <v>16.666666666666664</v>
      </c>
      <c r="O2497">
        <v>6.9831000000000003</v>
      </c>
      <c r="P2497">
        <v>46.02</v>
      </c>
      <c r="Q2497">
        <v>6.75</v>
      </c>
      <c r="R2497">
        <v>6</v>
      </c>
      <c r="S2497">
        <v>6.75</v>
      </c>
      <c r="T2497">
        <v>96.590027000000006</v>
      </c>
      <c r="W2497" t="s">
        <v>497</v>
      </c>
    </row>
    <row r="2498" spans="1:23" x14ac:dyDescent="0.25">
      <c r="A2498" t="s">
        <v>2947</v>
      </c>
      <c r="B2498" t="str">
        <f t="shared" si="39"/>
        <v>CM1100001039</v>
      </c>
      <c r="C2498" t="s">
        <v>225</v>
      </c>
      <c r="D2498" t="s">
        <v>77</v>
      </c>
      <c r="E2498" t="s">
        <v>78</v>
      </c>
      <c r="F2498">
        <v>15000</v>
      </c>
      <c r="G2498" s="13">
        <v>45096</v>
      </c>
      <c r="H2498" s="13">
        <v>45189</v>
      </c>
      <c r="I2498">
        <v>4500</v>
      </c>
      <c r="J2498">
        <v>1000</v>
      </c>
      <c r="K2498">
        <v>5500</v>
      </c>
      <c r="N2498">
        <v>19.047619047619047</v>
      </c>
      <c r="O2498">
        <v>4.6726999999999999</v>
      </c>
      <c r="P2498">
        <v>46.7333</v>
      </c>
      <c r="Q2498">
        <v>4.9000000000000004</v>
      </c>
      <c r="R2498">
        <v>4.4000000000000004</v>
      </c>
      <c r="S2498">
        <v>6</v>
      </c>
      <c r="T2498">
        <v>98.832626000000005</v>
      </c>
      <c r="W2498" t="s">
        <v>497</v>
      </c>
    </row>
    <row r="2499" spans="1:23" x14ac:dyDescent="0.25">
      <c r="A2499" t="s">
        <v>2948</v>
      </c>
      <c r="B2499" t="str">
        <f t="shared" si="39"/>
        <v>CG1100000500</v>
      </c>
      <c r="C2499" t="s">
        <v>229</v>
      </c>
      <c r="D2499" t="s">
        <v>77</v>
      </c>
      <c r="E2499" t="s">
        <v>78</v>
      </c>
      <c r="F2499">
        <v>10000</v>
      </c>
      <c r="G2499" s="13">
        <v>45097</v>
      </c>
      <c r="H2499" s="13">
        <v>45190</v>
      </c>
      <c r="I2499">
        <v>10000</v>
      </c>
      <c r="J2499">
        <v>0</v>
      </c>
      <c r="K2499">
        <v>10000</v>
      </c>
      <c r="N2499">
        <v>20.833333333333336</v>
      </c>
      <c r="O2499">
        <v>6.0923999999999996</v>
      </c>
      <c r="P2499">
        <v>136.30000000000001</v>
      </c>
      <c r="Q2499">
        <v>6</v>
      </c>
      <c r="R2499">
        <v>6</v>
      </c>
      <c r="S2499">
        <v>6.5</v>
      </c>
      <c r="T2499">
        <v>98.483333000000002</v>
      </c>
      <c r="W2499" t="s">
        <v>497</v>
      </c>
    </row>
    <row r="2500" spans="1:23" x14ac:dyDescent="0.25">
      <c r="A2500" t="s">
        <v>2949</v>
      </c>
      <c r="B2500" t="str">
        <f t="shared" si="39"/>
        <v>CG1200000988</v>
      </c>
      <c r="C2500" t="s">
        <v>229</v>
      </c>
      <c r="D2500" t="s">
        <v>77</v>
      </c>
      <c r="E2500" t="s">
        <v>82</v>
      </c>
      <c r="F2500">
        <v>25000</v>
      </c>
      <c r="G2500" s="13">
        <v>45097</v>
      </c>
      <c r="H2500" s="13">
        <v>45281</v>
      </c>
      <c r="I2500">
        <v>17800</v>
      </c>
      <c r="J2500">
        <v>7200</v>
      </c>
      <c r="K2500">
        <v>25000</v>
      </c>
      <c r="N2500">
        <v>83.333333333333343</v>
      </c>
      <c r="O2500">
        <v>6.7209000000000003</v>
      </c>
      <c r="P2500">
        <v>100</v>
      </c>
      <c r="Q2500">
        <v>6.5</v>
      </c>
      <c r="R2500">
        <v>6.5</v>
      </c>
      <c r="S2500">
        <v>6.5</v>
      </c>
      <c r="T2500">
        <v>96.713888999999995</v>
      </c>
      <c r="W2500" t="s">
        <v>875</v>
      </c>
    </row>
    <row r="2501" spans="1:23" x14ac:dyDescent="0.25">
      <c r="A2501" t="s">
        <v>2950</v>
      </c>
      <c r="B2501" t="str">
        <f t="shared" si="39"/>
        <v>CG1300000326</v>
      </c>
      <c r="C2501" t="s">
        <v>229</v>
      </c>
      <c r="D2501" t="s">
        <v>77</v>
      </c>
      <c r="E2501" t="s">
        <v>287</v>
      </c>
      <c r="F2501">
        <v>20000</v>
      </c>
      <c r="G2501" s="13">
        <v>45097</v>
      </c>
      <c r="H2501" s="13">
        <v>45463</v>
      </c>
      <c r="I2501">
        <v>5500</v>
      </c>
      <c r="J2501">
        <v>10</v>
      </c>
      <c r="K2501">
        <v>5510</v>
      </c>
      <c r="N2501">
        <v>33.333333333333329</v>
      </c>
      <c r="O2501">
        <v>7.2443999999999997</v>
      </c>
      <c r="P2501">
        <v>27.55</v>
      </c>
      <c r="Q2501">
        <v>6.75</v>
      </c>
      <c r="R2501">
        <v>6.75</v>
      </c>
      <c r="S2501">
        <v>6.75</v>
      </c>
      <c r="T2501">
        <v>93.174999999999997</v>
      </c>
      <c r="W2501" t="s">
        <v>875</v>
      </c>
    </row>
    <row r="2502" spans="1:23" x14ac:dyDescent="0.25">
      <c r="A2502" t="s">
        <v>2951</v>
      </c>
      <c r="B2502" t="str">
        <f t="shared" si="39"/>
        <v>GA1200001798</v>
      </c>
      <c r="C2502" t="s">
        <v>227</v>
      </c>
      <c r="D2502" t="s">
        <v>77</v>
      </c>
      <c r="E2502" t="s">
        <v>82</v>
      </c>
      <c r="F2502">
        <v>9000</v>
      </c>
      <c r="G2502" s="13">
        <v>45098</v>
      </c>
      <c r="H2502" s="13">
        <v>45282</v>
      </c>
      <c r="I2502">
        <v>4080</v>
      </c>
      <c r="J2502">
        <v>3152</v>
      </c>
      <c r="K2502">
        <v>7232</v>
      </c>
      <c r="N2502">
        <v>28.571428571428569</v>
      </c>
      <c r="O2502">
        <v>6.2732999999999999</v>
      </c>
      <c r="P2502">
        <v>80.577799999999996</v>
      </c>
      <c r="Q2502">
        <v>6.25</v>
      </c>
      <c r="R2502">
        <v>5.5</v>
      </c>
      <c r="S2502">
        <v>7</v>
      </c>
      <c r="T2502">
        <v>96.925982000000005</v>
      </c>
      <c r="W2502" t="s">
        <v>497</v>
      </c>
    </row>
    <row r="2503" spans="1:23" x14ac:dyDescent="0.25">
      <c r="A2503" t="s">
        <v>2952</v>
      </c>
      <c r="B2503" t="str">
        <f t="shared" si="39"/>
        <v>GQ1300001237</v>
      </c>
      <c r="C2503" t="s">
        <v>528</v>
      </c>
      <c r="D2503" t="s">
        <v>77</v>
      </c>
      <c r="E2503" t="s">
        <v>287</v>
      </c>
      <c r="F2503">
        <v>20000</v>
      </c>
      <c r="G2503" s="13">
        <v>45097</v>
      </c>
      <c r="H2503" s="13">
        <v>45463</v>
      </c>
      <c r="I2503">
        <v>6419</v>
      </c>
      <c r="J2503">
        <v>615</v>
      </c>
      <c r="K2503">
        <v>7034</v>
      </c>
      <c r="N2503">
        <v>23.076923076923077</v>
      </c>
      <c r="O2503">
        <v>7.1414</v>
      </c>
      <c r="P2503">
        <v>37.67</v>
      </c>
      <c r="Q2503">
        <v>6.75</v>
      </c>
      <c r="R2503">
        <v>6.5</v>
      </c>
      <c r="S2503">
        <v>7</v>
      </c>
      <c r="T2503">
        <v>93.265488000000005</v>
      </c>
      <c r="W2503" t="s">
        <v>497</v>
      </c>
    </row>
    <row r="2504" spans="1:23" x14ac:dyDescent="0.25">
      <c r="A2504" t="s">
        <v>2953</v>
      </c>
      <c r="B2504" t="str">
        <f t="shared" si="39"/>
        <v>TD1200001659</v>
      </c>
      <c r="C2504" t="s">
        <v>237</v>
      </c>
      <c r="D2504" t="s">
        <v>77</v>
      </c>
      <c r="E2504" t="s">
        <v>82</v>
      </c>
      <c r="F2504">
        <v>20000</v>
      </c>
      <c r="G2504" s="13">
        <v>45098</v>
      </c>
      <c r="H2504" s="13">
        <v>45282</v>
      </c>
      <c r="I2504">
        <v>15610</v>
      </c>
      <c r="J2504">
        <v>1</v>
      </c>
      <c r="K2504">
        <v>15611</v>
      </c>
      <c r="N2504">
        <v>41.666666666666671</v>
      </c>
      <c r="O2504">
        <v>6.7209000000000003</v>
      </c>
      <c r="P2504">
        <v>78.105000000000004</v>
      </c>
      <c r="Q2504">
        <v>6.5</v>
      </c>
      <c r="R2504">
        <v>6.5</v>
      </c>
      <c r="S2504">
        <v>7.5</v>
      </c>
      <c r="T2504">
        <v>96.713888999999995</v>
      </c>
      <c r="W2504" t="s">
        <v>497</v>
      </c>
    </row>
    <row r="2505" spans="1:23" x14ac:dyDescent="0.25">
      <c r="A2505" t="s">
        <v>2954</v>
      </c>
      <c r="B2505" t="str">
        <f t="shared" si="39"/>
        <v>CG1200000996</v>
      </c>
      <c r="C2505" t="s">
        <v>229</v>
      </c>
      <c r="D2505" t="s">
        <v>77</v>
      </c>
      <c r="E2505" t="s">
        <v>82</v>
      </c>
      <c r="F2505">
        <v>10000</v>
      </c>
      <c r="G2505" s="13">
        <v>45104</v>
      </c>
      <c r="H2505" s="13">
        <v>45288</v>
      </c>
      <c r="I2505">
        <v>6250</v>
      </c>
      <c r="J2505">
        <v>2362</v>
      </c>
      <c r="K2505">
        <v>8612</v>
      </c>
      <c r="N2505">
        <v>37.5</v>
      </c>
      <c r="O2505">
        <v>6.7191999999999998</v>
      </c>
      <c r="P2505">
        <v>93.62</v>
      </c>
      <c r="Q2505">
        <v>6.75</v>
      </c>
      <c r="R2505">
        <v>5.7</v>
      </c>
      <c r="S2505">
        <v>7</v>
      </c>
      <c r="T2505">
        <v>96.714686999999998</v>
      </c>
      <c r="W2505" t="s">
        <v>497</v>
      </c>
    </row>
    <row r="2506" spans="1:23" x14ac:dyDescent="0.25">
      <c r="A2506" t="s">
        <v>2955</v>
      </c>
      <c r="B2506" t="str">
        <f t="shared" si="39"/>
        <v>GA1200001806</v>
      </c>
      <c r="C2506" t="s">
        <v>227</v>
      </c>
      <c r="D2506" t="s">
        <v>77</v>
      </c>
      <c r="E2506" t="s">
        <v>82</v>
      </c>
      <c r="F2506">
        <v>10000</v>
      </c>
      <c r="G2506" s="13">
        <v>45105</v>
      </c>
      <c r="H2506" s="13">
        <v>45289</v>
      </c>
      <c r="I2506">
        <v>2700</v>
      </c>
      <c r="J2506">
        <v>3170</v>
      </c>
      <c r="K2506">
        <v>5870</v>
      </c>
      <c r="N2506">
        <v>28.571428571428569</v>
      </c>
      <c r="O2506">
        <v>6.3346</v>
      </c>
      <c r="P2506">
        <v>58.8</v>
      </c>
      <c r="Q2506">
        <v>6.25</v>
      </c>
      <c r="R2506">
        <v>5.5</v>
      </c>
      <c r="S2506">
        <v>7</v>
      </c>
      <c r="T2506">
        <v>96.896905000000004</v>
      </c>
      <c r="W2506" t="s">
        <v>497</v>
      </c>
    </row>
    <row r="2507" spans="1:23" x14ac:dyDescent="0.25">
      <c r="A2507" t="s">
        <v>2956</v>
      </c>
      <c r="B2507" t="str">
        <f t="shared" si="39"/>
        <v>TD1200001667</v>
      </c>
      <c r="C2507" t="s">
        <v>237</v>
      </c>
      <c r="D2507" t="s">
        <v>77</v>
      </c>
      <c r="E2507" t="s">
        <v>82</v>
      </c>
      <c r="F2507">
        <v>15000</v>
      </c>
      <c r="G2507" s="13">
        <v>45105</v>
      </c>
      <c r="H2507" s="13">
        <v>45289</v>
      </c>
      <c r="J2507">
        <v>0</v>
      </c>
      <c r="N2507">
        <v>0</v>
      </c>
      <c r="T2507" t="s">
        <v>750</v>
      </c>
      <c r="W2507" t="s">
        <v>497</v>
      </c>
    </row>
    <row r="2508" spans="1:23" x14ac:dyDescent="0.25">
      <c r="A2508" t="s">
        <v>2957</v>
      </c>
      <c r="B2508" t="str">
        <f t="shared" si="39"/>
        <v>CM1200001384</v>
      </c>
      <c r="C2508" t="s">
        <v>225</v>
      </c>
      <c r="D2508" t="s">
        <v>77</v>
      </c>
      <c r="E2508" t="s">
        <v>82</v>
      </c>
      <c r="F2508">
        <v>20000</v>
      </c>
      <c r="G2508" s="13">
        <v>45110</v>
      </c>
      <c r="H2508" s="13">
        <v>45294</v>
      </c>
      <c r="I2508">
        <v>10500</v>
      </c>
      <c r="J2508">
        <v>9500</v>
      </c>
      <c r="K2508">
        <v>20000</v>
      </c>
      <c r="N2508">
        <v>23.809523809523807</v>
      </c>
      <c r="O2508">
        <v>5.0007999999999999</v>
      </c>
      <c r="P2508">
        <v>105</v>
      </c>
      <c r="Q2508">
        <v>5.0999999999999996</v>
      </c>
      <c r="R2508">
        <v>4.5</v>
      </c>
      <c r="S2508">
        <v>6.5</v>
      </c>
      <c r="T2508">
        <v>97.534153000000003</v>
      </c>
      <c r="W2508" t="s">
        <v>497</v>
      </c>
    </row>
    <row r="2509" spans="1:23" x14ac:dyDescent="0.25">
      <c r="A2509" t="s">
        <v>2958</v>
      </c>
      <c r="B2509" t="str">
        <f t="shared" si="39"/>
        <v>CG1100000518</v>
      </c>
      <c r="C2509" t="s">
        <v>229</v>
      </c>
      <c r="D2509" t="s">
        <v>77</v>
      </c>
      <c r="E2509" t="s">
        <v>78</v>
      </c>
      <c r="F2509">
        <v>10000</v>
      </c>
      <c r="G2509" s="13">
        <v>45111</v>
      </c>
      <c r="H2509" s="13">
        <v>45204</v>
      </c>
      <c r="I2509">
        <v>777</v>
      </c>
      <c r="J2509">
        <v>9223</v>
      </c>
      <c r="K2509">
        <v>10000</v>
      </c>
      <c r="N2509">
        <v>37.5</v>
      </c>
      <c r="O2509">
        <v>6.3196000000000003</v>
      </c>
      <c r="P2509">
        <v>100.83</v>
      </c>
      <c r="Q2509">
        <v>6.35</v>
      </c>
      <c r="R2509">
        <v>5.85</v>
      </c>
      <c r="S2509">
        <v>6.35</v>
      </c>
      <c r="T2509">
        <v>98.427660000000003</v>
      </c>
      <c r="W2509" t="s">
        <v>497</v>
      </c>
    </row>
    <row r="2510" spans="1:23" x14ac:dyDescent="0.25">
      <c r="A2510" t="s">
        <v>2959</v>
      </c>
      <c r="B2510" t="str">
        <f t="shared" si="39"/>
        <v>GA1300000641</v>
      </c>
      <c r="C2510" t="s">
        <v>227</v>
      </c>
      <c r="D2510" t="s">
        <v>77</v>
      </c>
      <c r="E2510" t="s">
        <v>287</v>
      </c>
      <c r="F2510">
        <v>10000</v>
      </c>
      <c r="G2510" s="13">
        <v>45112</v>
      </c>
      <c r="H2510" s="13">
        <v>45478</v>
      </c>
      <c r="I2510">
        <v>1595</v>
      </c>
      <c r="J2510">
        <v>5324</v>
      </c>
      <c r="K2510">
        <v>6919</v>
      </c>
      <c r="N2510">
        <v>28.571428571428569</v>
      </c>
      <c r="O2510">
        <v>7.0528000000000004</v>
      </c>
      <c r="P2510">
        <v>69.290000000000006</v>
      </c>
      <c r="Q2510">
        <v>6.75</v>
      </c>
      <c r="R2510">
        <v>5.95</v>
      </c>
      <c r="S2510">
        <v>7.5</v>
      </c>
      <c r="T2510">
        <v>93.343530999999999</v>
      </c>
      <c r="W2510" t="s">
        <v>497</v>
      </c>
    </row>
    <row r="2511" spans="1:23" x14ac:dyDescent="0.25">
      <c r="A2511" t="s">
        <v>2960</v>
      </c>
      <c r="B2511" t="str">
        <f t="shared" si="39"/>
        <v>CM1200001392</v>
      </c>
      <c r="C2511" t="s">
        <v>225</v>
      </c>
      <c r="D2511" t="s">
        <v>77</v>
      </c>
      <c r="E2511" t="s">
        <v>82</v>
      </c>
      <c r="F2511">
        <v>50000</v>
      </c>
      <c r="G2511" s="13">
        <v>45117</v>
      </c>
      <c r="H2511" s="13">
        <v>45301</v>
      </c>
      <c r="I2511">
        <v>48180</v>
      </c>
      <c r="J2511">
        <v>1625</v>
      </c>
      <c r="K2511">
        <v>49805</v>
      </c>
      <c r="N2511">
        <v>28.571428571428569</v>
      </c>
      <c r="O2511">
        <v>5.1197999999999997</v>
      </c>
      <c r="P2511">
        <v>109.11</v>
      </c>
      <c r="Q2511">
        <v>5</v>
      </c>
      <c r="R2511">
        <v>4.5</v>
      </c>
      <c r="S2511">
        <v>6</v>
      </c>
      <c r="T2511">
        <v>97.476941999999994</v>
      </c>
      <c r="W2511" t="s">
        <v>497</v>
      </c>
    </row>
    <row r="2512" spans="1:23" x14ac:dyDescent="0.25">
      <c r="A2512" t="s">
        <v>2961</v>
      </c>
      <c r="B2512" t="str">
        <f t="shared" si="39"/>
        <v>CG1100000526</v>
      </c>
      <c r="C2512" t="s">
        <v>229</v>
      </c>
      <c r="D2512" t="s">
        <v>77</v>
      </c>
      <c r="E2512" t="s">
        <v>78</v>
      </c>
      <c r="F2512">
        <v>10000</v>
      </c>
      <c r="G2512" s="13">
        <v>45118</v>
      </c>
      <c r="H2512" s="13">
        <v>45211</v>
      </c>
      <c r="I2512">
        <v>9937</v>
      </c>
      <c r="J2512">
        <v>63</v>
      </c>
      <c r="K2512">
        <v>10000</v>
      </c>
      <c r="N2512">
        <v>25</v>
      </c>
      <c r="O2512">
        <v>6.1948999999999996</v>
      </c>
      <c r="P2512">
        <v>111.34</v>
      </c>
      <c r="Q2512">
        <v>6.1</v>
      </c>
      <c r="R2512">
        <v>6</v>
      </c>
      <c r="S2512">
        <v>6.1</v>
      </c>
      <c r="T2512">
        <v>98.458214999999996</v>
      </c>
      <c r="W2512" t="s">
        <v>497</v>
      </c>
    </row>
    <row r="2513" spans="1:23" x14ac:dyDescent="0.25">
      <c r="A2513" t="s">
        <v>2962</v>
      </c>
      <c r="B2513" t="str">
        <f t="shared" si="39"/>
        <v>CG1200001002</v>
      </c>
      <c r="C2513" t="s">
        <v>229</v>
      </c>
      <c r="D2513" t="s">
        <v>77</v>
      </c>
      <c r="E2513" t="s">
        <v>82</v>
      </c>
      <c r="F2513">
        <v>12000</v>
      </c>
      <c r="G2513" s="13">
        <v>45118</v>
      </c>
      <c r="H2513" s="13">
        <v>45302</v>
      </c>
      <c r="I2513">
        <v>4023</v>
      </c>
      <c r="J2513">
        <v>4685</v>
      </c>
      <c r="K2513">
        <v>8708</v>
      </c>
      <c r="N2513">
        <v>29.166666666666668</v>
      </c>
      <c r="O2513">
        <v>6.5561999999999996</v>
      </c>
      <c r="P2513">
        <v>77.708299999999994</v>
      </c>
      <c r="Q2513">
        <v>6.5</v>
      </c>
      <c r="R2513">
        <v>5.95</v>
      </c>
      <c r="S2513">
        <v>6.5</v>
      </c>
      <c r="T2513">
        <v>96.791830000000004</v>
      </c>
      <c r="W2513" t="s">
        <v>497</v>
      </c>
    </row>
    <row r="2514" spans="1:23" x14ac:dyDescent="0.25">
      <c r="A2514" t="s">
        <v>2963</v>
      </c>
      <c r="B2514" t="str">
        <f t="shared" si="39"/>
        <v>GA1200001814</v>
      </c>
      <c r="C2514" t="s">
        <v>227</v>
      </c>
      <c r="D2514" t="s">
        <v>77</v>
      </c>
      <c r="E2514" t="s">
        <v>82</v>
      </c>
      <c r="F2514">
        <v>9500</v>
      </c>
      <c r="G2514" s="13">
        <v>45119</v>
      </c>
      <c r="H2514" s="13">
        <v>45303</v>
      </c>
      <c r="I2514">
        <v>6645</v>
      </c>
      <c r="J2514">
        <v>2792</v>
      </c>
      <c r="K2514">
        <v>9437</v>
      </c>
      <c r="N2514">
        <v>28.571428571428569</v>
      </c>
      <c r="O2514">
        <v>6.2115999999999998</v>
      </c>
      <c r="P2514">
        <v>130.91579999999999</v>
      </c>
      <c r="Q2514">
        <v>6.15</v>
      </c>
      <c r="R2514">
        <v>5</v>
      </c>
      <c r="S2514">
        <v>6.15</v>
      </c>
      <c r="T2514">
        <v>96.955282999999994</v>
      </c>
      <c r="W2514" t="s">
        <v>497</v>
      </c>
    </row>
    <row r="2515" spans="1:23" x14ac:dyDescent="0.25">
      <c r="A2515" t="s">
        <v>2964</v>
      </c>
      <c r="B2515" t="str">
        <f t="shared" si="39"/>
        <v>CM1100001047</v>
      </c>
      <c r="C2515" t="s">
        <v>225</v>
      </c>
      <c r="D2515" t="s">
        <v>77</v>
      </c>
      <c r="E2515" t="s">
        <v>78</v>
      </c>
      <c r="F2515">
        <v>10000</v>
      </c>
      <c r="G2515" s="13">
        <v>45124</v>
      </c>
      <c r="H2515" s="13">
        <v>45217</v>
      </c>
      <c r="I2515">
        <v>7500</v>
      </c>
      <c r="J2515">
        <v>0</v>
      </c>
      <c r="K2515">
        <v>7500</v>
      </c>
      <c r="N2515">
        <v>0</v>
      </c>
      <c r="O2515">
        <v>4.9512</v>
      </c>
      <c r="P2515">
        <v>80</v>
      </c>
      <c r="Q2515">
        <v>5</v>
      </c>
      <c r="R2515">
        <v>4.5</v>
      </c>
      <c r="S2515">
        <v>5</v>
      </c>
      <c r="T2515">
        <v>98.763917000000006</v>
      </c>
      <c r="W2515" t="s">
        <v>497</v>
      </c>
    </row>
    <row r="2516" spans="1:23" x14ac:dyDescent="0.25">
      <c r="A2516" t="s">
        <v>2965</v>
      </c>
      <c r="B2516" t="str">
        <f t="shared" si="39"/>
        <v>CG1100000534</v>
      </c>
      <c r="C2516" t="s">
        <v>229</v>
      </c>
      <c r="D2516" t="s">
        <v>77</v>
      </c>
      <c r="E2516" t="s">
        <v>78</v>
      </c>
      <c r="F2516">
        <v>20000</v>
      </c>
      <c r="G2516" s="13">
        <v>45125</v>
      </c>
      <c r="H2516" s="13">
        <v>45218</v>
      </c>
      <c r="I2516">
        <v>12174</v>
      </c>
      <c r="J2516">
        <v>3069</v>
      </c>
      <c r="K2516">
        <v>15243</v>
      </c>
      <c r="N2516">
        <v>33.333333333333329</v>
      </c>
      <c r="O2516">
        <v>6.3891</v>
      </c>
      <c r="P2516">
        <v>76.215000000000003</v>
      </c>
      <c r="Q2516">
        <v>6.3</v>
      </c>
      <c r="R2516">
        <v>5.5</v>
      </c>
      <c r="S2516">
        <v>6.3</v>
      </c>
      <c r="T2516">
        <v>98.410634000000002</v>
      </c>
      <c r="W2516" t="s">
        <v>497</v>
      </c>
    </row>
    <row r="2517" spans="1:23" x14ac:dyDescent="0.25">
      <c r="A2517" t="s">
        <v>2966</v>
      </c>
      <c r="B2517" t="str">
        <f t="shared" si="39"/>
        <v>CG1200001010</v>
      </c>
      <c r="C2517" t="s">
        <v>229</v>
      </c>
      <c r="D2517" t="s">
        <v>77</v>
      </c>
      <c r="E2517" t="s">
        <v>82</v>
      </c>
      <c r="F2517">
        <v>12000</v>
      </c>
      <c r="G2517" s="13">
        <v>45125</v>
      </c>
      <c r="H2517" s="13">
        <v>45309</v>
      </c>
      <c r="I2517">
        <v>950</v>
      </c>
      <c r="J2517">
        <v>11050</v>
      </c>
      <c r="K2517">
        <v>12000</v>
      </c>
      <c r="N2517">
        <v>37.5</v>
      </c>
      <c r="O2517">
        <v>6.7809999999999997</v>
      </c>
      <c r="P2517">
        <v>101.2333</v>
      </c>
      <c r="Q2517">
        <v>6.75</v>
      </c>
      <c r="R2517">
        <v>5.8</v>
      </c>
      <c r="S2517">
        <v>6.75</v>
      </c>
      <c r="T2517">
        <v>96.685451</v>
      </c>
      <c r="W2517" t="s">
        <v>497</v>
      </c>
    </row>
    <row r="2518" spans="1:23" x14ac:dyDescent="0.25">
      <c r="A2518" t="s">
        <v>2967</v>
      </c>
      <c r="B2518" t="str">
        <f t="shared" si="39"/>
        <v>CG1300000334</v>
      </c>
      <c r="C2518" t="s">
        <v>229</v>
      </c>
      <c r="D2518" t="s">
        <v>77</v>
      </c>
      <c r="E2518" t="s">
        <v>287</v>
      </c>
      <c r="F2518">
        <v>10000</v>
      </c>
      <c r="G2518" s="13">
        <v>45125</v>
      </c>
      <c r="H2518" s="13">
        <v>45491</v>
      </c>
      <c r="I2518">
        <v>190</v>
      </c>
      <c r="J2518">
        <v>1324</v>
      </c>
      <c r="K2518">
        <v>1514</v>
      </c>
      <c r="N2518">
        <v>29.166666666666668</v>
      </c>
      <c r="O2518">
        <v>6.8650000000000002</v>
      </c>
      <c r="P2518">
        <v>25.14</v>
      </c>
      <c r="Q2518">
        <v>6.8</v>
      </c>
      <c r="R2518">
        <v>5.85</v>
      </c>
      <c r="S2518">
        <v>6.8</v>
      </c>
      <c r="T2518">
        <v>93.509220999999997</v>
      </c>
      <c r="W2518" t="s">
        <v>497</v>
      </c>
    </row>
    <row r="2519" spans="1:23" x14ac:dyDescent="0.25">
      <c r="A2519" t="s">
        <v>2968</v>
      </c>
      <c r="B2519" t="str">
        <f t="shared" si="39"/>
        <v>GA1200001822</v>
      </c>
      <c r="C2519" t="s">
        <v>227</v>
      </c>
      <c r="D2519" t="s">
        <v>77</v>
      </c>
      <c r="E2519" t="s">
        <v>82</v>
      </c>
      <c r="F2519">
        <v>9000</v>
      </c>
      <c r="G2519" s="13">
        <v>45126</v>
      </c>
      <c r="H2519" s="13">
        <v>45310</v>
      </c>
      <c r="I2519">
        <v>5508</v>
      </c>
      <c r="J2519">
        <v>3492</v>
      </c>
      <c r="K2519">
        <v>9000</v>
      </c>
      <c r="N2519">
        <v>38.095238095238095</v>
      </c>
      <c r="O2519">
        <v>6.3219000000000003</v>
      </c>
      <c r="P2519">
        <v>115.2333</v>
      </c>
      <c r="Q2519">
        <v>6.25</v>
      </c>
      <c r="R2519">
        <v>5.85</v>
      </c>
      <c r="S2519">
        <v>6.25</v>
      </c>
      <c r="T2519">
        <v>96.902927000000005</v>
      </c>
      <c r="W2519" t="s">
        <v>497</v>
      </c>
    </row>
    <row r="2520" spans="1:23" x14ac:dyDescent="0.25">
      <c r="A2520" t="s">
        <v>2969</v>
      </c>
      <c r="B2520" t="str">
        <f t="shared" si="39"/>
        <v>GQ1200000081</v>
      </c>
      <c r="C2520" t="s">
        <v>528</v>
      </c>
      <c r="D2520" t="s">
        <v>77</v>
      </c>
      <c r="E2520" t="s">
        <v>287</v>
      </c>
      <c r="F2520">
        <v>20000</v>
      </c>
      <c r="G2520" s="13">
        <v>45125</v>
      </c>
      <c r="H2520" s="13">
        <v>45309</v>
      </c>
      <c r="I2520">
        <v>0</v>
      </c>
      <c r="J2520">
        <v>2010</v>
      </c>
      <c r="K2520">
        <v>2010</v>
      </c>
      <c r="N2520">
        <v>23.076923076923077</v>
      </c>
      <c r="O2520">
        <v>6.4553000000000003</v>
      </c>
      <c r="P2520">
        <v>10.199999999999999</v>
      </c>
      <c r="Q2520">
        <v>6.5</v>
      </c>
      <c r="R2520">
        <v>6</v>
      </c>
      <c r="S2520">
        <v>6.5</v>
      </c>
      <c r="T2520">
        <v>96.839648999999994</v>
      </c>
      <c r="W2520" t="s">
        <v>497</v>
      </c>
    </row>
    <row r="2521" spans="1:23" x14ac:dyDescent="0.25">
      <c r="A2521" t="s">
        <v>2970</v>
      </c>
      <c r="B2521" t="str">
        <f t="shared" si="39"/>
        <v>CG1100000542</v>
      </c>
      <c r="C2521" t="s">
        <v>229</v>
      </c>
      <c r="D2521" t="s">
        <v>77</v>
      </c>
      <c r="E2521" t="s">
        <v>78</v>
      </c>
      <c r="F2521">
        <v>12000</v>
      </c>
      <c r="G2521" s="13">
        <v>45132</v>
      </c>
      <c r="H2521" s="13">
        <v>45225</v>
      </c>
      <c r="I2521">
        <v>11383</v>
      </c>
      <c r="J2521">
        <v>617</v>
      </c>
      <c r="K2521">
        <v>12000</v>
      </c>
      <c r="N2521">
        <v>25</v>
      </c>
      <c r="O2521">
        <v>6.2568000000000001</v>
      </c>
      <c r="P2521">
        <v>101.0167</v>
      </c>
      <c r="Q2521">
        <v>6.3</v>
      </c>
      <c r="R2521">
        <v>5.5</v>
      </c>
      <c r="S2521">
        <v>7</v>
      </c>
      <c r="T2521">
        <v>98.443050999999997</v>
      </c>
      <c r="W2521" t="s">
        <v>497</v>
      </c>
    </row>
    <row r="2522" spans="1:23" x14ac:dyDescent="0.25">
      <c r="A2522" t="s">
        <v>2971</v>
      </c>
      <c r="B2522" t="str">
        <f t="shared" si="39"/>
        <v>CG1200001028</v>
      </c>
      <c r="C2522" t="s">
        <v>229</v>
      </c>
      <c r="D2522" t="s">
        <v>77</v>
      </c>
      <c r="E2522" t="s">
        <v>82</v>
      </c>
      <c r="F2522">
        <v>11000</v>
      </c>
      <c r="G2522" s="13">
        <v>45132</v>
      </c>
      <c r="H2522" s="13">
        <v>45316</v>
      </c>
      <c r="I2522">
        <v>636</v>
      </c>
      <c r="J2522">
        <v>2848</v>
      </c>
      <c r="K2522">
        <v>3484</v>
      </c>
      <c r="N2522">
        <v>45.833333333333329</v>
      </c>
      <c r="O2522">
        <v>6.6711999999999998</v>
      </c>
      <c r="P2522">
        <v>31.7182</v>
      </c>
      <c r="Q2522">
        <v>6.75</v>
      </c>
      <c r="R2522">
        <v>5.7</v>
      </c>
      <c r="S2522">
        <v>7</v>
      </c>
      <c r="T2522">
        <v>96.737352999999999</v>
      </c>
      <c r="W2522" t="s">
        <v>497</v>
      </c>
    </row>
    <row r="2523" spans="1:23" x14ac:dyDescent="0.25">
      <c r="A2523" t="s">
        <v>2972</v>
      </c>
      <c r="B2523" t="str">
        <f t="shared" ref="B2523:B2586" si="40">MID(A2523,1,12)</f>
        <v>GA1100001708</v>
      </c>
      <c r="C2523" t="s">
        <v>227</v>
      </c>
      <c r="D2523" t="s">
        <v>77</v>
      </c>
      <c r="E2523" t="s">
        <v>78</v>
      </c>
      <c r="F2523">
        <v>9500</v>
      </c>
      <c r="G2523" s="13">
        <v>45133</v>
      </c>
      <c r="H2523" s="13">
        <v>45226</v>
      </c>
      <c r="I2523">
        <v>4200</v>
      </c>
      <c r="J2523">
        <v>220</v>
      </c>
      <c r="K2523">
        <v>4420</v>
      </c>
      <c r="N2523">
        <v>23.809523809523807</v>
      </c>
      <c r="O2523">
        <v>6.0541</v>
      </c>
      <c r="P2523">
        <v>51.842100000000002</v>
      </c>
      <c r="Q2523">
        <v>6</v>
      </c>
      <c r="R2523">
        <v>5.5</v>
      </c>
      <c r="S2523">
        <v>7</v>
      </c>
      <c r="T2523">
        <v>98.492711999999997</v>
      </c>
      <c r="W2523" t="s">
        <v>497</v>
      </c>
    </row>
    <row r="2524" spans="1:23" x14ac:dyDescent="0.25">
      <c r="A2524" t="s">
        <v>2973</v>
      </c>
      <c r="B2524" t="str">
        <f t="shared" si="40"/>
        <v>GA1300000658</v>
      </c>
      <c r="C2524" t="s">
        <v>227</v>
      </c>
      <c r="D2524" t="s">
        <v>77</v>
      </c>
      <c r="E2524" t="s">
        <v>287</v>
      </c>
      <c r="F2524">
        <v>15000</v>
      </c>
      <c r="G2524" s="13">
        <v>45133</v>
      </c>
      <c r="H2524" s="13">
        <v>45499</v>
      </c>
      <c r="I2524">
        <v>6824</v>
      </c>
      <c r="J2524">
        <v>6176</v>
      </c>
      <c r="K2524">
        <v>13000</v>
      </c>
      <c r="N2524">
        <v>9.5238095238095237</v>
      </c>
      <c r="O2524">
        <v>7.2443999999999997</v>
      </c>
      <c r="P2524">
        <v>86.666700000000006</v>
      </c>
      <c r="Q2524">
        <v>6.75</v>
      </c>
      <c r="R2524">
        <v>6.75</v>
      </c>
      <c r="S2524">
        <v>6.75</v>
      </c>
      <c r="T2524">
        <v>93.174999999999997</v>
      </c>
      <c r="W2524" t="s">
        <v>497</v>
      </c>
    </row>
    <row r="2525" spans="1:23" x14ac:dyDescent="0.25">
      <c r="A2525" t="s">
        <v>2974</v>
      </c>
      <c r="B2525" t="str">
        <f t="shared" si="40"/>
        <v>GA1200001830</v>
      </c>
      <c r="C2525" t="s">
        <v>227</v>
      </c>
      <c r="D2525" t="s">
        <v>77</v>
      </c>
      <c r="E2525" t="s">
        <v>82</v>
      </c>
      <c r="F2525">
        <v>15000</v>
      </c>
      <c r="G2525" s="13">
        <v>45133</v>
      </c>
      <c r="H2525" s="13">
        <v>45317</v>
      </c>
      <c r="I2525">
        <v>7198</v>
      </c>
      <c r="J2525">
        <v>5802</v>
      </c>
      <c r="K2525">
        <v>13000</v>
      </c>
      <c r="N2525">
        <v>9.5238095238095237</v>
      </c>
      <c r="O2525">
        <v>6.4539</v>
      </c>
      <c r="P2525">
        <v>86.666700000000006</v>
      </c>
      <c r="Q2525">
        <v>6.25</v>
      </c>
      <c r="R2525">
        <v>6.25</v>
      </c>
      <c r="S2525">
        <v>6.25</v>
      </c>
      <c r="T2525">
        <v>96.840277999999998</v>
      </c>
      <c r="W2525" t="s">
        <v>497</v>
      </c>
    </row>
    <row r="2526" spans="1:23" x14ac:dyDescent="0.25">
      <c r="A2526" t="s">
        <v>2975</v>
      </c>
      <c r="B2526" t="str">
        <f t="shared" si="40"/>
        <v>GA1100001716</v>
      </c>
      <c r="C2526" t="s">
        <v>227</v>
      </c>
      <c r="D2526" t="s">
        <v>77</v>
      </c>
      <c r="E2526" t="s">
        <v>78</v>
      </c>
      <c r="F2526">
        <v>9500</v>
      </c>
      <c r="G2526" s="13">
        <v>45140</v>
      </c>
      <c r="H2526" s="13">
        <v>45233</v>
      </c>
      <c r="I2526">
        <v>4373</v>
      </c>
      <c r="J2526">
        <v>5127</v>
      </c>
      <c r="K2526">
        <v>9500</v>
      </c>
      <c r="N2526">
        <v>33.333333333333329</v>
      </c>
      <c r="O2526">
        <v>5.9766000000000004</v>
      </c>
      <c r="P2526">
        <v>172.16839999999999</v>
      </c>
      <c r="Q2526">
        <v>5.95</v>
      </c>
      <c r="R2526">
        <v>5.5</v>
      </c>
      <c r="S2526">
        <v>6</v>
      </c>
      <c r="T2526">
        <v>98.511722000000006</v>
      </c>
      <c r="W2526" t="s">
        <v>497</v>
      </c>
    </row>
    <row r="2527" spans="1:23" x14ac:dyDescent="0.25">
      <c r="A2527" t="s">
        <v>2976</v>
      </c>
      <c r="B2527" t="str">
        <f t="shared" si="40"/>
        <v>GQ1200000099</v>
      </c>
      <c r="C2527" t="s">
        <v>528</v>
      </c>
      <c r="D2527" t="s">
        <v>77</v>
      </c>
      <c r="E2527" t="s">
        <v>82</v>
      </c>
      <c r="F2527">
        <v>15000</v>
      </c>
      <c r="G2527" s="13">
        <v>45139</v>
      </c>
      <c r="H2527" s="13">
        <v>45323</v>
      </c>
      <c r="I2527">
        <v>9500</v>
      </c>
      <c r="J2527">
        <v>0</v>
      </c>
      <c r="K2527">
        <v>9500</v>
      </c>
      <c r="N2527">
        <v>30.76923076923077</v>
      </c>
      <c r="O2527">
        <v>6.5858999999999996</v>
      </c>
      <c r="P2527">
        <v>111.2867</v>
      </c>
      <c r="Q2527">
        <v>6.4</v>
      </c>
      <c r="R2527">
        <v>6.35</v>
      </c>
      <c r="S2527">
        <v>6.75</v>
      </c>
      <c r="T2527">
        <v>96.777749</v>
      </c>
      <c r="W2527" t="s">
        <v>497</v>
      </c>
    </row>
    <row r="2528" spans="1:23" x14ac:dyDescent="0.25">
      <c r="A2528" t="s">
        <v>2977</v>
      </c>
      <c r="B2528" t="str">
        <f t="shared" si="40"/>
        <v>TD1200001675</v>
      </c>
      <c r="C2528" t="s">
        <v>237</v>
      </c>
      <c r="D2528" t="s">
        <v>77</v>
      </c>
      <c r="E2528" t="s">
        <v>82</v>
      </c>
      <c r="F2528">
        <v>12000</v>
      </c>
      <c r="G2528" s="13">
        <v>45140</v>
      </c>
      <c r="H2528" s="13">
        <v>45324</v>
      </c>
      <c r="I2528">
        <v>6592</v>
      </c>
      <c r="J2528">
        <v>963</v>
      </c>
      <c r="K2528">
        <v>7555</v>
      </c>
      <c r="N2528">
        <v>33.333333333333329</v>
      </c>
      <c r="O2528">
        <v>6.7209000000000003</v>
      </c>
      <c r="P2528">
        <v>62.958300000000001</v>
      </c>
      <c r="Q2528">
        <v>6.5</v>
      </c>
      <c r="R2528">
        <v>6.5</v>
      </c>
      <c r="S2528">
        <v>6.5</v>
      </c>
      <c r="T2528">
        <v>96.713888999999995</v>
      </c>
      <c r="W2528" t="s">
        <v>497</v>
      </c>
    </row>
    <row r="2529" spans="1:23" x14ac:dyDescent="0.25">
      <c r="A2529" t="s">
        <v>2978</v>
      </c>
      <c r="B2529" t="str">
        <f t="shared" si="40"/>
        <v>CM1200001400</v>
      </c>
      <c r="C2529" t="s">
        <v>225</v>
      </c>
      <c r="D2529" t="s">
        <v>77</v>
      </c>
      <c r="E2529" t="s">
        <v>82</v>
      </c>
      <c r="F2529">
        <v>15000</v>
      </c>
      <c r="G2529" s="13">
        <v>45145</v>
      </c>
      <c r="H2529" s="13">
        <v>45329</v>
      </c>
      <c r="I2529">
        <v>10700</v>
      </c>
      <c r="J2529">
        <v>3500</v>
      </c>
      <c r="K2529">
        <v>14200</v>
      </c>
      <c r="N2529">
        <v>28.571428571428569</v>
      </c>
      <c r="O2529">
        <v>5.0073999999999996</v>
      </c>
      <c r="P2529">
        <v>110</v>
      </c>
      <c r="Q2529">
        <v>5</v>
      </c>
      <c r="R2529">
        <v>3</v>
      </c>
      <c r="S2529">
        <v>5.75</v>
      </c>
      <c r="T2529">
        <v>97.530966000000006</v>
      </c>
      <c r="W2529" t="s">
        <v>497</v>
      </c>
    </row>
    <row r="2530" spans="1:23" x14ac:dyDescent="0.25">
      <c r="A2530" t="s">
        <v>2979</v>
      </c>
      <c r="B2530" t="str">
        <f t="shared" si="40"/>
        <v>CG1100000559</v>
      </c>
      <c r="C2530" t="s">
        <v>229</v>
      </c>
      <c r="D2530" t="s">
        <v>77</v>
      </c>
      <c r="E2530" t="s">
        <v>78</v>
      </c>
      <c r="F2530">
        <v>30000</v>
      </c>
      <c r="G2530" s="13">
        <v>45146</v>
      </c>
      <c r="H2530" s="13">
        <v>45239</v>
      </c>
      <c r="I2530">
        <v>6817</v>
      </c>
      <c r="J2530">
        <v>13005</v>
      </c>
      <c r="K2530">
        <v>19822</v>
      </c>
      <c r="N2530">
        <v>20.833333333333336</v>
      </c>
      <c r="O2530">
        <v>6.3628</v>
      </c>
      <c r="P2530">
        <v>66.073300000000003</v>
      </c>
      <c r="Q2530">
        <v>6.3</v>
      </c>
      <c r="R2530">
        <v>6</v>
      </c>
      <c r="S2530">
        <v>6.3</v>
      </c>
      <c r="T2530">
        <v>98.417083000000005</v>
      </c>
      <c r="W2530" t="s">
        <v>497</v>
      </c>
    </row>
    <row r="2531" spans="1:23" x14ac:dyDescent="0.25">
      <c r="A2531" t="s">
        <v>2980</v>
      </c>
      <c r="B2531" t="str">
        <f t="shared" si="40"/>
        <v>CG1200001036</v>
      </c>
      <c r="C2531" t="s">
        <v>229</v>
      </c>
      <c r="D2531" t="s">
        <v>77</v>
      </c>
      <c r="E2531" t="s">
        <v>82</v>
      </c>
      <c r="F2531">
        <v>10000</v>
      </c>
      <c r="G2531" s="13">
        <v>45146</v>
      </c>
      <c r="H2531" s="13">
        <v>45330</v>
      </c>
      <c r="I2531">
        <v>30</v>
      </c>
      <c r="J2531">
        <v>9970</v>
      </c>
      <c r="K2531">
        <v>10000</v>
      </c>
      <c r="N2531">
        <v>29.166666666666668</v>
      </c>
      <c r="O2531">
        <v>6.7106000000000003</v>
      </c>
      <c r="P2531">
        <v>116.37</v>
      </c>
      <c r="Q2531">
        <v>6.5549999999999997</v>
      </c>
      <c r="R2531">
        <v>5</v>
      </c>
      <c r="S2531">
        <v>6.75</v>
      </c>
      <c r="T2531">
        <v>96.718746999999993</v>
      </c>
      <c r="W2531" t="s">
        <v>497</v>
      </c>
    </row>
    <row r="2532" spans="1:23" x14ac:dyDescent="0.25">
      <c r="A2532" t="s">
        <v>2981</v>
      </c>
      <c r="B2532" t="str">
        <f t="shared" si="40"/>
        <v>CG1300000342</v>
      </c>
      <c r="C2532" t="s">
        <v>229</v>
      </c>
      <c r="D2532" t="s">
        <v>77</v>
      </c>
      <c r="E2532" t="s">
        <v>287</v>
      </c>
      <c r="F2532">
        <v>7000</v>
      </c>
      <c r="G2532" s="13">
        <v>45146</v>
      </c>
      <c r="H2532" s="13">
        <v>45512</v>
      </c>
      <c r="I2532">
        <v>44</v>
      </c>
      <c r="J2532">
        <v>692</v>
      </c>
      <c r="K2532">
        <v>736</v>
      </c>
      <c r="N2532">
        <v>25</v>
      </c>
      <c r="O2532">
        <v>6.5266999999999999</v>
      </c>
      <c r="P2532">
        <v>11.7286</v>
      </c>
      <c r="Q2532">
        <v>6.75</v>
      </c>
      <c r="R2532">
        <v>5.7</v>
      </c>
      <c r="S2532">
        <v>6.75</v>
      </c>
      <c r="T2532">
        <v>93.809348999999997</v>
      </c>
      <c r="W2532" t="s">
        <v>497</v>
      </c>
    </row>
    <row r="2533" spans="1:23" x14ac:dyDescent="0.25">
      <c r="A2533" t="s">
        <v>2982</v>
      </c>
      <c r="B2533" t="str">
        <f t="shared" si="40"/>
        <v>GA1100001724</v>
      </c>
      <c r="C2533" t="s">
        <v>227</v>
      </c>
      <c r="D2533" t="s">
        <v>77</v>
      </c>
      <c r="E2533" t="s">
        <v>78</v>
      </c>
      <c r="F2533">
        <v>10000</v>
      </c>
      <c r="G2533" s="13">
        <v>45147</v>
      </c>
      <c r="H2533" s="13">
        <v>45240</v>
      </c>
      <c r="I2533">
        <v>0</v>
      </c>
      <c r="J2533">
        <v>10000</v>
      </c>
      <c r="K2533">
        <v>10000</v>
      </c>
      <c r="N2533">
        <v>4.7619047619047619</v>
      </c>
      <c r="O2533">
        <v>6.0923999999999996</v>
      </c>
      <c r="P2533">
        <v>100</v>
      </c>
      <c r="Q2533">
        <v>6</v>
      </c>
      <c r="R2533">
        <v>6</v>
      </c>
      <c r="S2533">
        <v>6</v>
      </c>
      <c r="T2533">
        <v>98.483333000000002</v>
      </c>
      <c r="W2533" t="s">
        <v>497</v>
      </c>
    </row>
    <row r="2534" spans="1:23" x14ac:dyDescent="0.25">
      <c r="A2534" t="s">
        <v>2983</v>
      </c>
      <c r="B2534" t="str">
        <f t="shared" si="40"/>
        <v>GA1200001848</v>
      </c>
      <c r="C2534" t="s">
        <v>227</v>
      </c>
      <c r="D2534" t="s">
        <v>77</v>
      </c>
      <c r="E2534" t="s">
        <v>82</v>
      </c>
      <c r="F2534">
        <v>15000</v>
      </c>
      <c r="G2534" s="13">
        <v>45147</v>
      </c>
      <c r="H2534" s="13">
        <v>45331</v>
      </c>
      <c r="I2534">
        <v>1782</v>
      </c>
      <c r="J2534">
        <v>13218</v>
      </c>
      <c r="K2534">
        <v>15000</v>
      </c>
      <c r="N2534">
        <v>33.333333333333329</v>
      </c>
      <c r="O2534">
        <v>6.3742999999999999</v>
      </c>
      <c r="P2534">
        <v>103.36</v>
      </c>
      <c r="Q2534">
        <v>6.25</v>
      </c>
      <c r="R2534">
        <v>5.5</v>
      </c>
      <c r="S2534">
        <v>7</v>
      </c>
      <c r="T2534">
        <v>96.878060000000005</v>
      </c>
      <c r="W2534" t="s">
        <v>497</v>
      </c>
    </row>
    <row r="2535" spans="1:23" x14ac:dyDescent="0.25">
      <c r="A2535" t="s">
        <v>2984</v>
      </c>
      <c r="B2535" t="str">
        <f t="shared" si="40"/>
        <v>TD1300000650</v>
      </c>
      <c r="C2535" t="s">
        <v>237</v>
      </c>
      <c r="D2535" t="s">
        <v>77</v>
      </c>
      <c r="E2535" t="s">
        <v>287</v>
      </c>
      <c r="F2535">
        <v>20000</v>
      </c>
      <c r="G2535" s="13">
        <v>45147</v>
      </c>
      <c r="H2535" s="13">
        <v>45513</v>
      </c>
      <c r="I2535">
        <v>7250</v>
      </c>
      <c r="J2535">
        <v>6700</v>
      </c>
      <c r="K2535">
        <v>13950</v>
      </c>
      <c r="N2535">
        <v>33.333333333333329</v>
      </c>
      <c r="O2535">
        <v>7.2003000000000004</v>
      </c>
      <c r="P2535">
        <v>69.8</v>
      </c>
      <c r="Q2535">
        <v>6.85</v>
      </c>
      <c r="R2535">
        <v>6.5</v>
      </c>
      <c r="S2535">
        <v>7.5</v>
      </c>
      <c r="T2535">
        <v>93.213776999999993</v>
      </c>
      <c r="W2535" t="s">
        <v>497</v>
      </c>
    </row>
    <row r="2536" spans="1:23" x14ac:dyDescent="0.25">
      <c r="A2536" t="s">
        <v>2985</v>
      </c>
      <c r="B2536" t="str">
        <f t="shared" si="40"/>
        <v>CF1200000443</v>
      </c>
      <c r="C2536" t="s">
        <v>2406</v>
      </c>
      <c r="D2536" t="s">
        <v>77</v>
      </c>
      <c r="E2536" t="s">
        <v>82</v>
      </c>
      <c r="F2536">
        <v>5000</v>
      </c>
      <c r="G2536" s="13">
        <v>45152</v>
      </c>
      <c r="H2536" s="13">
        <v>45336</v>
      </c>
      <c r="I2536">
        <v>4000</v>
      </c>
      <c r="J2536">
        <v>1000</v>
      </c>
      <c r="K2536">
        <v>5000</v>
      </c>
      <c r="N2536">
        <v>22.222222222222221</v>
      </c>
      <c r="O2536">
        <v>6.7209000000000003</v>
      </c>
      <c r="P2536">
        <v>100</v>
      </c>
      <c r="Q2536">
        <v>6.5</v>
      </c>
      <c r="R2536">
        <v>6.5</v>
      </c>
      <c r="S2536">
        <v>6.5</v>
      </c>
      <c r="T2536">
        <v>96.713888999999995</v>
      </c>
      <c r="W2536" t="s">
        <v>875</v>
      </c>
    </row>
    <row r="2537" spans="1:23" x14ac:dyDescent="0.25">
      <c r="A2537" t="s">
        <v>2986</v>
      </c>
      <c r="B2537" t="str">
        <f t="shared" si="40"/>
        <v>CF1300000038</v>
      </c>
      <c r="C2537" t="s">
        <v>2406</v>
      </c>
      <c r="D2537" t="s">
        <v>77</v>
      </c>
      <c r="E2537" t="s">
        <v>287</v>
      </c>
      <c r="F2537">
        <v>5000</v>
      </c>
      <c r="G2537" s="13">
        <v>45152</v>
      </c>
      <c r="H2537" s="13">
        <v>45518</v>
      </c>
      <c r="I2537">
        <v>2392</v>
      </c>
      <c r="J2537">
        <v>2608</v>
      </c>
      <c r="K2537">
        <v>5000</v>
      </c>
      <c r="N2537">
        <v>33.333333333333329</v>
      </c>
      <c r="O2537">
        <v>8.1153999999999993</v>
      </c>
      <c r="P2537">
        <v>100</v>
      </c>
      <c r="Q2537">
        <v>7.5</v>
      </c>
      <c r="R2537">
        <v>7.5</v>
      </c>
      <c r="S2537">
        <v>7.5</v>
      </c>
      <c r="T2537">
        <v>92.416667000000004</v>
      </c>
      <c r="W2537" t="s">
        <v>875</v>
      </c>
    </row>
    <row r="2538" spans="1:23" x14ac:dyDescent="0.25">
      <c r="A2538" t="s">
        <v>2987</v>
      </c>
      <c r="B2538" t="str">
        <f t="shared" si="40"/>
        <v>CG1200001044</v>
      </c>
      <c r="C2538" t="s">
        <v>229</v>
      </c>
      <c r="D2538" t="s">
        <v>77</v>
      </c>
      <c r="E2538" t="s">
        <v>82</v>
      </c>
      <c r="F2538">
        <v>25000</v>
      </c>
      <c r="G2538" s="13">
        <v>45153</v>
      </c>
      <c r="H2538" s="13">
        <v>45337</v>
      </c>
      <c r="I2538">
        <v>0</v>
      </c>
      <c r="J2538">
        <v>4145</v>
      </c>
      <c r="K2538">
        <v>4145</v>
      </c>
      <c r="N2538">
        <v>16.666666666666664</v>
      </c>
      <c r="O2538">
        <v>6.9701000000000004</v>
      </c>
      <c r="P2538">
        <v>16.62</v>
      </c>
      <c r="Q2538">
        <v>6.75</v>
      </c>
      <c r="R2538">
        <v>6</v>
      </c>
      <c r="S2538">
        <v>7</v>
      </c>
      <c r="T2538">
        <v>96.596190000000007</v>
      </c>
      <c r="W2538" t="s">
        <v>497</v>
      </c>
    </row>
    <row r="2539" spans="1:23" x14ac:dyDescent="0.25">
      <c r="A2539" t="s">
        <v>2988</v>
      </c>
      <c r="B2539" t="str">
        <f t="shared" si="40"/>
        <v>GA1100001732</v>
      </c>
      <c r="C2539" t="s">
        <v>227</v>
      </c>
      <c r="D2539" t="s">
        <v>77</v>
      </c>
      <c r="E2539" t="s">
        <v>78</v>
      </c>
      <c r="F2539">
        <v>9500</v>
      </c>
      <c r="G2539" s="13">
        <v>45154</v>
      </c>
      <c r="H2539" s="13">
        <v>45247</v>
      </c>
      <c r="I2539">
        <v>6026</v>
      </c>
      <c r="J2539">
        <v>3220</v>
      </c>
      <c r="K2539">
        <v>9246</v>
      </c>
      <c r="N2539">
        <v>23.809523809523807</v>
      </c>
      <c r="O2539">
        <v>6.0362999999999998</v>
      </c>
      <c r="P2539">
        <v>129.01050000000001</v>
      </c>
      <c r="Q2539">
        <v>6</v>
      </c>
      <c r="R2539">
        <v>5.5</v>
      </c>
      <c r="S2539">
        <v>7</v>
      </c>
      <c r="T2539">
        <v>98.49709</v>
      </c>
      <c r="W2539" t="s">
        <v>497</v>
      </c>
    </row>
    <row r="2540" spans="1:23" x14ac:dyDescent="0.25">
      <c r="A2540" t="s">
        <v>2989</v>
      </c>
      <c r="B2540" t="str">
        <f t="shared" si="40"/>
        <v>TD1300000668</v>
      </c>
      <c r="C2540" t="s">
        <v>237</v>
      </c>
      <c r="D2540" t="s">
        <v>77</v>
      </c>
      <c r="E2540" t="s">
        <v>287</v>
      </c>
      <c r="G2540" s="13"/>
      <c r="H2540" s="13"/>
      <c r="J2540">
        <v>0</v>
      </c>
      <c r="N2540">
        <v>0</v>
      </c>
      <c r="T2540" t="s">
        <v>1418</v>
      </c>
      <c r="W2540" t="s">
        <v>497</v>
      </c>
    </row>
    <row r="2541" spans="1:23" x14ac:dyDescent="0.25">
      <c r="A2541" t="s">
        <v>2990</v>
      </c>
      <c r="B2541" t="str">
        <f t="shared" si="40"/>
        <v>CG1100000567</v>
      </c>
      <c r="C2541" t="s">
        <v>229</v>
      </c>
      <c r="D2541" t="s">
        <v>77</v>
      </c>
      <c r="E2541" t="s">
        <v>78</v>
      </c>
      <c r="F2541">
        <v>20000</v>
      </c>
      <c r="G2541" s="13">
        <v>45160</v>
      </c>
      <c r="H2541" s="13">
        <v>45253</v>
      </c>
      <c r="I2541">
        <v>5000</v>
      </c>
      <c r="J2541">
        <v>7323</v>
      </c>
      <c r="K2541">
        <v>12323</v>
      </c>
      <c r="N2541">
        <v>20.833333333333336</v>
      </c>
      <c r="O2541">
        <v>6.3440000000000003</v>
      </c>
      <c r="P2541">
        <v>61.615000000000002</v>
      </c>
      <c r="Q2541">
        <v>6.6</v>
      </c>
      <c r="R2541">
        <v>6</v>
      </c>
      <c r="S2541">
        <v>6.6</v>
      </c>
      <c r="T2541">
        <v>98.421678</v>
      </c>
      <c r="W2541" t="s">
        <v>497</v>
      </c>
    </row>
    <row r="2542" spans="1:23" x14ac:dyDescent="0.25">
      <c r="A2542" t="s">
        <v>2991</v>
      </c>
      <c r="B2542" t="str">
        <f t="shared" si="40"/>
        <v>CG1200001044</v>
      </c>
      <c r="C2542" t="s">
        <v>229</v>
      </c>
      <c r="D2542" t="s">
        <v>77</v>
      </c>
      <c r="E2542" t="s">
        <v>82</v>
      </c>
      <c r="F2542">
        <v>13000</v>
      </c>
      <c r="G2542" s="13">
        <v>45160</v>
      </c>
      <c r="H2542" s="13">
        <v>45337</v>
      </c>
      <c r="I2542">
        <v>0</v>
      </c>
      <c r="J2542">
        <v>3062</v>
      </c>
      <c r="K2542">
        <v>3062</v>
      </c>
      <c r="N2542">
        <v>12.5</v>
      </c>
      <c r="O2542">
        <v>6.8037000000000001</v>
      </c>
      <c r="P2542">
        <v>23.553799999999999</v>
      </c>
      <c r="Q2542">
        <v>7</v>
      </c>
      <c r="R2542">
        <v>5</v>
      </c>
      <c r="S2542">
        <v>7</v>
      </c>
      <c r="T2542">
        <v>96.798524999999998</v>
      </c>
      <c r="W2542" t="s">
        <v>497</v>
      </c>
    </row>
    <row r="2543" spans="1:23" x14ac:dyDescent="0.25">
      <c r="A2543" t="s">
        <v>2992</v>
      </c>
      <c r="B2543" t="str">
        <f t="shared" si="40"/>
        <v>GA1200001855</v>
      </c>
      <c r="C2543" t="s">
        <v>227</v>
      </c>
      <c r="D2543" t="s">
        <v>77</v>
      </c>
      <c r="E2543" t="s">
        <v>82</v>
      </c>
      <c r="F2543">
        <v>9500</v>
      </c>
      <c r="G2543" s="13">
        <v>45161</v>
      </c>
      <c r="H2543" s="13">
        <v>45345</v>
      </c>
      <c r="I2543">
        <v>4661</v>
      </c>
      <c r="J2543">
        <v>4839</v>
      </c>
      <c r="K2543">
        <v>9500</v>
      </c>
      <c r="N2543">
        <v>19.047619047619047</v>
      </c>
      <c r="O2543">
        <v>6.2862</v>
      </c>
      <c r="P2543">
        <v>136.1789</v>
      </c>
      <c r="Q2543">
        <v>6.25</v>
      </c>
      <c r="R2543">
        <v>5.7</v>
      </c>
      <c r="S2543">
        <v>6.25</v>
      </c>
      <c r="T2543">
        <v>96.919878999999995</v>
      </c>
      <c r="W2543" t="s">
        <v>497</v>
      </c>
    </row>
    <row r="2544" spans="1:23" x14ac:dyDescent="0.25">
      <c r="A2544" t="s">
        <v>2993</v>
      </c>
      <c r="B2544" t="str">
        <f t="shared" si="40"/>
        <v>TD1300000676</v>
      </c>
      <c r="C2544" t="s">
        <v>237</v>
      </c>
      <c r="D2544" t="s">
        <v>77</v>
      </c>
      <c r="E2544" t="s">
        <v>287</v>
      </c>
      <c r="F2544">
        <v>20000</v>
      </c>
      <c r="G2544" s="13">
        <v>45161</v>
      </c>
      <c r="H2544" s="13">
        <v>45527</v>
      </c>
      <c r="I2544">
        <v>4329</v>
      </c>
      <c r="J2544">
        <v>142</v>
      </c>
      <c r="K2544">
        <v>4471</v>
      </c>
      <c r="N2544">
        <v>16.666666666666664</v>
      </c>
      <c r="O2544">
        <v>7.2263000000000002</v>
      </c>
      <c r="P2544">
        <v>22.355</v>
      </c>
      <c r="Q2544">
        <v>6.75</v>
      </c>
      <c r="R2544">
        <v>6</v>
      </c>
      <c r="S2544">
        <v>6.75</v>
      </c>
      <c r="T2544">
        <v>93.190943000000004</v>
      </c>
      <c r="W2544" t="s">
        <v>497</v>
      </c>
    </row>
    <row r="2545" spans="1:23" x14ac:dyDescent="0.25">
      <c r="A2545" t="s">
        <v>2994</v>
      </c>
      <c r="B2545" t="str">
        <f t="shared" si="40"/>
        <v>CM1100001054</v>
      </c>
      <c r="C2545" t="s">
        <v>225</v>
      </c>
      <c r="D2545" t="s">
        <v>77</v>
      </c>
      <c r="E2545" t="s">
        <v>78</v>
      </c>
      <c r="F2545">
        <v>20000</v>
      </c>
      <c r="G2545" s="13">
        <v>45166</v>
      </c>
      <c r="H2545" s="13">
        <v>45259</v>
      </c>
      <c r="I2545">
        <v>13700</v>
      </c>
      <c r="J2545">
        <v>0</v>
      </c>
      <c r="K2545">
        <v>13700</v>
      </c>
      <c r="N2545">
        <v>23.809523809523807</v>
      </c>
      <c r="O2545">
        <v>5.3697999999999997</v>
      </c>
      <c r="P2545">
        <v>68.55</v>
      </c>
      <c r="Q2545">
        <v>5.5</v>
      </c>
      <c r="R2545">
        <v>4.5</v>
      </c>
      <c r="S2545">
        <v>6</v>
      </c>
      <c r="T2545">
        <v>98.660813000000005</v>
      </c>
      <c r="W2545" t="s">
        <v>497</v>
      </c>
    </row>
    <row r="2546" spans="1:23" x14ac:dyDescent="0.25">
      <c r="A2546" t="s">
        <v>2995</v>
      </c>
      <c r="B2546" t="str">
        <f t="shared" si="40"/>
        <v>CM1200001418</v>
      </c>
      <c r="C2546" t="s">
        <v>225</v>
      </c>
      <c r="D2546" t="s">
        <v>77</v>
      </c>
      <c r="E2546" t="s">
        <v>82</v>
      </c>
      <c r="F2546">
        <v>20000</v>
      </c>
      <c r="G2546" s="13">
        <v>45166</v>
      </c>
      <c r="H2546" s="13">
        <v>45350</v>
      </c>
      <c r="I2546">
        <v>11300</v>
      </c>
      <c r="J2546">
        <v>2000</v>
      </c>
      <c r="K2546">
        <v>13300</v>
      </c>
      <c r="N2546">
        <v>28.571428571428569</v>
      </c>
      <c r="O2546">
        <v>5.5598999999999998</v>
      </c>
      <c r="P2546">
        <v>66.55</v>
      </c>
      <c r="Q2546">
        <v>5.5</v>
      </c>
      <c r="R2546">
        <v>4.8499999999999996</v>
      </c>
      <c r="S2546">
        <v>6.5</v>
      </c>
      <c r="T2546">
        <v>97.266008999999997</v>
      </c>
      <c r="W2546" t="s">
        <v>497</v>
      </c>
    </row>
    <row r="2547" spans="1:23" x14ac:dyDescent="0.25">
      <c r="A2547" t="s">
        <v>2996</v>
      </c>
      <c r="B2547" t="str">
        <f t="shared" si="40"/>
        <v>CM1200001426</v>
      </c>
      <c r="C2547" t="s">
        <v>225</v>
      </c>
      <c r="D2547" t="s">
        <v>77</v>
      </c>
      <c r="E2547" t="s">
        <v>82</v>
      </c>
      <c r="F2547">
        <v>30000</v>
      </c>
      <c r="G2547" s="13">
        <v>45166</v>
      </c>
      <c r="H2547" s="13">
        <v>45350</v>
      </c>
      <c r="I2547">
        <v>14965</v>
      </c>
      <c r="J2547">
        <v>0</v>
      </c>
      <c r="K2547">
        <v>14965</v>
      </c>
      <c r="N2547">
        <v>14.285714285714285</v>
      </c>
      <c r="O2547">
        <v>5.6573000000000002</v>
      </c>
      <c r="P2547">
        <v>49.883299999999998</v>
      </c>
      <c r="Q2547">
        <v>5.5</v>
      </c>
      <c r="R2547">
        <v>5.5</v>
      </c>
      <c r="S2547">
        <v>5.5</v>
      </c>
      <c r="T2547">
        <v>97.219443999999996</v>
      </c>
      <c r="W2547" t="s">
        <v>497</v>
      </c>
    </row>
    <row r="2548" spans="1:23" x14ac:dyDescent="0.25">
      <c r="A2548" t="s">
        <v>2997</v>
      </c>
      <c r="B2548" t="str">
        <f t="shared" si="40"/>
        <v>CG1100000575</v>
      </c>
      <c r="C2548" t="s">
        <v>229</v>
      </c>
      <c r="D2548" t="s">
        <v>77</v>
      </c>
      <c r="E2548" t="s">
        <v>78</v>
      </c>
      <c r="F2548">
        <v>25000</v>
      </c>
      <c r="G2548" s="13">
        <v>45167</v>
      </c>
      <c r="H2548" s="13"/>
      <c r="J2548">
        <v>0</v>
      </c>
      <c r="N2548">
        <v>0</v>
      </c>
      <c r="T2548" t="s">
        <v>1418</v>
      </c>
      <c r="W2548" t="s">
        <v>497</v>
      </c>
    </row>
    <row r="2549" spans="1:23" x14ac:dyDescent="0.25">
      <c r="A2549" t="s">
        <v>2998</v>
      </c>
      <c r="B2549" t="str">
        <f t="shared" si="40"/>
        <v>CG1300000359</v>
      </c>
      <c r="C2549" t="s">
        <v>229</v>
      </c>
      <c r="D2549" t="s">
        <v>77</v>
      </c>
      <c r="E2549" t="s">
        <v>287</v>
      </c>
      <c r="F2549">
        <v>10000</v>
      </c>
      <c r="G2549" s="13">
        <v>45167</v>
      </c>
      <c r="H2549" s="13"/>
      <c r="J2549">
        <v>0</v>
      </c>
      <c r="N2549">
        <v>0</v>
      </c>
      <c r="T2549" t="s">
        <v>1418</v>
      </c>
      <c r="W2549" t="s">
        <v>497</v>
      </c>
    </row>
    <row r="2550" spans="1:23" x14ac:dyDescent="0.25">
      <c r="A2550" t="s">
        <v>2999</v>
      </c>
      <c r="B2550" t="str">
        <f t="shared" si="40"/>
        <v>GA1200001863</v>
      </c>
      <c r="C2550" t="s">
        <v>227</v>
      </c>
      <c r="D2550" t="s">
        <v>77</v>
      </c>
      <c r="E2550" t="s">
        <v>82</v>
      </c>
      <c r="F2550">
        <v>9000</v>
      </c>
      <c r="G2550" s="13">
        <v>45168</v>
      </c>
      <c r="H2550" s="13">
        <v>45352</v>
      </c>
      <c r="I2550">
        <v>0</v>
      </c>
      <c r="J2550">
        <v>1900</v>
      </c>
      <c r="K2550">
        <v>1900</v>
      </c>
      <c r="N2550">
        <v>19.047619047619047</v>
      </c>
      <c r="O2550">
        <v>6.1877000000000004</v>
      </c>
      <c r="P2550">
        <v>21.444400000000002</v>
      </c>
      <c r="Q2550">
        <v>6</v>
      </c>
      <c r="R2550">
        <v>6</v>
      </c>
      <c r="S2550">
        <v>6</v>
      </c>
      <c r="T2550">
        <v>96.966667000000001</v>
      </c>
      <c r="W2550" t="s">
        <v>497</v>
      </c>
    </row>
    <row r="2551" spans="1:23" x14ac:dyDescent="0.25">
      <c r="A2551" t="s">
        <v>3000</v>
      </c>
      <c r="B2551" t="str">
        <f t="shared" si="40"/>
        <v>TD1300000684</v>
      </c>
      <c r="C2551" t="s">
        <v>237</v>
      </c>
      <c r="D2551" t="s">
        <v>77</v>
      </c>
      <c r="E2551" t="s">
        <v>287</v>
      </c>
      <c r="F2551">
        <v>20000</v>
      </c>
      <c r="G2551" s="13">
        <v>45168</v>
      </c>
      <c r="H2551" s="13">
        <v>45534</v>
      </c>
      <c r="I2551">
        <v>10054</v>
      </c>
      <c r="J2551">
        <v>587</v>
      </c>
      <c r="K2551">
        <v>10641</v>
      </c>
      <c r="N2551">
        <v>41.666666666666671</v>
      </c>
      <c r="O2551">
        <v>7.2428999999999997</v>
      </c>
      <c r="P2551">
        <v>53.204999999999998</v>
      </c>
      <c r="Q2551">
        <v>6.75</v>
      </c>
      <c r="R2551">
        <v>6.5</v>
      </c>
      <c r="S2551">
        <v>6.75</v>
      </c>
      <c r="T2551">
        <v>93.176306999999994</v>
      </c>
      <c r="W2551" t="s">
        <v>497</v>
      </c>
    </row>
    <row r="2552" spans="1:23" x14ac:dyDescent="0.25">
      <c r="A2552" t="s">
        <v>3001</v>
      </c>
      <c r="B2552" t="str">
        <f t="shared" si="40"/>
        <v>CM1200001434</v>
      </c>
      <c r="C2552" t="s">
        <v>225</v>
      </c>
      <c r="D2552" t="s">
        <v>77</v>
      </c>
      <c r="E2552" t="s">
        <v>82</v>
      </c>
      <c r="F2552">
        <v>10000</v>
      </c>
      <c r="G2552" s="13">
        <v>45173</v>
      </c>
      <c r="H2552" s="13">
        <v>45357</v>
      </c>
      <c r="I2552">
        <v>10000</v>
      </c>
      <c r="J2552">
        <v>0</v>
      </c>
      <c r="K2552">
        <v>10000</v>
      </c>
      <c r="N2552">
        <v>19.047619047619047</v>
      </c>
      <c r="O2552">
        <v>5.4859</v>
      </c>
      <c r="P2552">
        <v>130</v>
      </c>
      <c r="Q2552">
        <v>5.5</v>
      </c>
      <c r="R2552">
        <v>4.9000000000000004</v>
      </c>
      <c r="S2552">
        <v>6</v>
      </c>
      <c r="T2552">
        <v>97.302860999999993</v>
      </c>
      <c r="W2552" t="s">
        <v>497</v>
      </c>
    </row>
    <row r="2553" spans="1:23" x14ac:dyDescent="0.25">
      <c r="A2553" t="s">
        <v>3002</v>
      </c>
      <c r="B2553" t="str">
        <f t="shared" si="40"/>
        <v>CG1100000583</v>
      </c>
      <c r="C2553" t="s">
        <v>229</v>
      </c>
      <c r="D2553" t="s">
        <v>77</v>
      </c>
      <c r="E2553" t="s">
        <v>78</v>
      </c>
      <c r="F2553">
        <v>20000</v>
      </c>
      <c r="G2553" s="13">
        <v>45174</v>
      </c>
      <c r="H2553" s="13">
        <v>45267</v>
      </c>
      <c r="I2553">
        <v>7950</v>
      </c>
      <c r="J2553">
        <v>12050</v>
      </c>
      <c r="K2553">
        <v>20000</v>
      </c>
      <c r="N2553">
        <v>37.5</v>
      </c>
      <c r="O2553">
        <v>6.4160000000000004</v>
      </c>
      <c r="P2553">
        <v>101.66</v>
      </c>
      <c r="Q2553">
        <v>6.5</v>
      </c>
      <c r="R2553">
        <v>6</v>
      </c>
      <c r="S2553">
        <v>6.5</v>
      </c>
      <c r="T2553">
        <v>98.404069000000007</v>
      </c>
      <c r="W2553" t="s">
        <v>497</v>
      </c>
    </row>
    <row r="2554" spans="1:23" x14ac:dyDescent="0.25">
      <c r="A2554" t="s">
        <v>3003</v>
      </c>
      <c r="B2554" t="str">
        <f t="shared" si="40"/>
        <v>CG1200001051</v>
      </c>
      <c r="C2554" t="s">
        <v>229</v>
      </c>
      <c r="D2554" t="s">
        <v>77</v>
      </c>
      <c r="E2554" t="s">
        <v>82</v>
      </c>
      <c r="F2554">
        <v>15000</v>
      </c>
      <c r="G2554" s="13">
        <v>45174</v>
      </c>
      <c r="H2554" s="13">
        <v>45358</v>
      </c>
      <c r="I2554">
        <v>585</v>
      </c>
      <c r="J2554">
        <v>2415</v>
      </c>
      <c r="K2554">
        <v>3000</v>
      </c>
      <c r="N2554">
        <v>33.333333333333329</v>
      </c>
      <c r="O2554">
        <v>6.5206</v>
      </c>
      <c r="P2554">
        <v>20.066669999999998</v>
      </c>
      <c r="Q2554">
        <v>6.5</v>
      </c>
      <c r="R2554">
        <v>6</v>
      </c>
      <c r="S2554">
        <v>7.5</v>
      </c>
      <c r="T2554">
        <v>96.808681000000007</v>
      </c>
      <c r="W2554" t="s">
        <v>497</v>
      </c>
    </row>
    <row r="2555" spans="1:23" x14ac:dyDescent="0.25">
      <c r="A2555" t="s">
        <v>3004</v>
      </c>
      <c r="B2555" t="str">
        <f t="shared" si="40"/>
        <v>GA1300000666</v>
      </c>
      <c r="C2555" t="s">
        <v>227</v>
      </c>
      <c r="D2555" t="s">
        <v>77</v>
      </c>
      <c r="E2555" t="s">
        <v>287</v>
      </c>
      <c r="F2555">
        <v>9500</v>
      </c>
      <c r="G2555" s="13">
        <v>45175</v>
      </c>
      <c r="H2555" s="13">
        <v>45541</v>
      </c>
      <c r="I2555">
        <v>1500</v>
      </c>
      <c r="J2555">
        <v>50</v>
      </c>
      <c r="K2555">
        <v>1550</v>
      </c>
      <c r="N2555">
        <v>9.5238095238095237</v>
      </c>
      <c r="O2555">
        <v>6.5522999999999998</v>
      </c>
      <c r="P2555">
        <v>16.315799999999999</v>
      </c>
      <c r="Q2555">
        <v>6.15</v>
      </c>
      <c r="R2555">
        <v>6</v>
      </c>
      <c r="S2555">
        <v>6.15</v>
      </c>
      <c r="T2555">
        <v>93.786558999999997</v>
      </c>
      <c r="W2555" t="s">
        <v>497</v>
      </c>
    </row>
    <row r="2556" spans="1:23" x14ac:dyDescent="0.25">
      <c r="A2556" t="s">
        <v>3005</v>
      </c>
      <c r="B2556" t="str">
        <f t="shared" si="40"/>
        <v>TD1300000692</v>
      </c>
      <c r="C2556" t="s">
        <v>237</v>
      </c>
      <c r="D2556" t="s">
        <v>77</v>
      </c>
      <c r="E2556" t="s">
        <v>287</v>
      </c>
      <c r="F2556">
        <v>10000</v>
      </c>
      <c r="G2556" s="13">
        <v>45175</v>
      </c>
      <c r="H2556" s="13">
        <v>45541</v>
      </c>
      <c r="I2556">
        <v>4000</v>
      </c>
      <c r="J2556">
        <v>3388</v>
      </c>
      <c r="K2556">
        <v>7388</v>
      </c>
      <c r="N2556">
        <v>50</v>
      </c>
      <c r="O2556">
        <v>7.2382</v>
      </c>
      <c r="P2556">
        <v>73.88</v>
      </c>
      <c r="Q2556">
        <v>6.75</v>
      </c>
      <c r="R2556">
        <v>6.5</v>
      </c>
      <c r="S2556">
        <v>6.75</v>
      </c>
      <c r="T2556">
        <v>93.180509000000001</v>
      </c>
      <c r="W2556" t="s">
        <v>497</v>
      </c>
    </row>
    <row r="2557" spans="1:23" x14ac:dyDescent="0.25">
      <c r="A2557" t="s">
        <v>3006</v>
      </c>
      <c r="B2557" t="str">
        <f t="shared" si="40"/>
        <v>TD1200001683</v>
      </c>
      <c r="C2557" t="s">
        <v>237</v>
      </c>
      <c r="D2557" t="s">
        <v>77</v>
      </c>
      <c r="E2557" t="s">
        <v>82</v>
      </c>
      <c r="F2557">
        <v>12000</v>
      </c>
      <c r="G2557" s="13">
        <v>45175</v>
      </c>
      <c r="H2557" s="13">
        <v>45359</v>
      </c>
      <c r="I2557">
        <v>0</v>
      </c>
      <c r="J2557">
        <v>9400</v>
      </c>
      <c r="K2557">
        <v>9400</v>
      </c>
      <c r="N2557">
        <v>8.3333333333333321</v>
      </c>
      <c r="O2557">
        <v>6.9771000000000001</v>
      </c>
      <c r="P2557">
        <v>78.333299999999994</v>
      </c>
      <c r="Q2557">
        <v>6.75</v>
      </c>
      <c r="R2557">
        <v>6.5</v>
      </c>
      <c r="S2557">
        <v>6.75</v>
      </c>
      <c r="T2557">
        <v>96.592877999999999</v>
      </c>
      <c r="W2557" t="s">
        <v>497</v>
      </c>
    </row>
    <row r="2558" spans="1:23" x14ac:dyDescent="0.25">
      <c r="A2558" t="s">
        <v>3007</v>
      </c>
      <c r="B2558" t="str">
        <f t="shared" si="40"/>
        <v>CM1200001442</v>
      </c>
      <c r="C2558" t="s">
        <v>225</v>
      </c>
      <c r="D2558" t="s">
        <v>77</v>
      </c>
      <c r="E2558" t="s">
        <v>82</v>
      </c>
      <c r="F2558">
        <v>10000</v>
      </c>
      <c r="G2558" s="13">
        <v>45180</v>
      </c>
      <c r="H2558" s="13"/>
      <c r="T2558" t="s">
        <v>1418</v>
      </c>
      <c r="W2558" t="s">
        <v>497</v>
      </c>
    </row>
    <row r="2559" spans="1:23" x14ac:dyDescent="0.25">
      <c r="A2559" t="s">
        <v>2958</v>
      </c>
      <c r="B2559" t="str">
        <f t="shared" si="40"/>
        <v>CG1100000518</v>
      </c>
      <c r="C2559" t="s">
        <v>229</v>
      </c>
      <c r="D2559" t="s">
        <v>77</v>
      </c>
      <c r="E2559" t="s">
        <v>78</v>
      </c>
      <c r="F2559">
        <v>1000</v>
      </c>
      <c r="G2559" s="13">
        <v>45181</v>
      </c>
      <c r="H2559" s="13">
        <v>45204</v>
      </c>
      <c r="I2559">
        <v>0</v>
      </c>
      <c r="J2559">
        <v>157</v>
      </c>
      <c r="K2559">
        <v>157</v>
      </c>
      <c r="N2559">
        <v>4.1666666666666661</v>
      </c>
      <c r="O2559">
        <v>6.0210999999999997</v>
      </c>
      <c r="P2559">
        <v>15.7</v>
      </c>
      <c r="R2559">
        <v>6</v>
      </c>
      <c r="S2559">
        <v>6</v>
      </c>
      <c r="T2559">
        <v>99.65</v>
      </c>
      <c r="W2559" t="s">
        <v>681</v>
      </c>
    </row>
    <row r="2560" spans="1:23" x14ac:dyDescent="0.25">
      <c r="A2560" t="s">
        <v>2954</v>
      </c>
      <c r="B2560" t="str">
        <f t="shared" si="40"/>
        <v>CG1200000996</v>
      </c>
      <c r="C2560" t="s">
        <v>229</v>
      </c>
      <c r="D2560" t="s">
        <v>77</v>
      </c>
      <c r="E2560" t="s">
        <v>82</v>
      </c>
      <c r="F2560">
        <v>1000</v>
      </c>
      <c r="G2560" s="13">
        <v>45181</v>
      </c>
      <c r="H2560" s="13"/>
      <c r="J2560">
        <v>0</v>
      </c>
      <c r="N2560">
        <v>0</v>
      </c>
      <c r="T2560" t="s">
        <v>1418</v>
      </c>
      <c r="W2560" t="s">
        <v>681</v>
      </c>
    </row>
    <row r="2561" spans="1:23" x14ac:dyDescent="0.25">
      <c r="A2561" t="s">
        <v>2847</v>
      </c>
      <c r="B2561" t="str">
        <f t="shared" si="40"/>
        <v>CG1300000243</v>
      </c>
      <c r="C2561" t="s">
        <v>229</v>
      </c>
      <c r="D2561" t="s">
        <v>77</v>
      </c>
      <c r="E2561" t="s">
        <v>287</v>
      </c>
      <c r="F2561">
        <v>6000</v>
      </c>
      <c r="G2561" s="13">
        <v>45181</v>
      </c>
      <c r="H2561" s="13">
        <v>45288</v>
      </c>
      <c r="I2561">
        <v>5000</v>
      </c>
      <c r="J2561">
        <v>0</v>
      </c>
      <c r="K2561">
        <v>5000</v>
      </c>
      <c r="N2561">
        <v>4.1666666666666661</v>
      </c>
      <c r="O2561">
        <v>6.6256000000000004</v>
      </c>
      <c r="P2561">
        <v>83.333299999999994</v>
      </c>
      <c r="Q2561">
        <v>100</v>
      </c>
      <c r="R2561">
        <v>6.5</v>
      </c>
      <c r="S2561">
        <v>6.5</v>
      </c>
      <c r="T2561">
        <v>98.104167000000004</v>
      </c>
      <c r="W2561" t="s">
        <v>681</v>
      </c>
    </row>
    <row r="2562" spans="1:23" x14ac:dyDescent="0.25">
      <c r="A2562" t="s">
        <v>3003</v>
      </c>
      <c r="B2562" t="str">
        <f t="shared" si="40"/>
        <v>CG1200001051</v>
      </c>
      <c r="C2562" t="s">
        <v>229</v>
      </c>
      <c r="D2562" t="s">
        <v>77</v>
      </c>
      <c r="E2562" t="s">
        <v>82</v>
      </c>
      <c r="F2562">
        <v>12000</v>
      </c>
      <c r="G2562" s="13">
        <v>45181</v>
      </c>
      <c r="H2562" s="13">
        <v>45358</v>
      </c>
      <c r="I2562">
        <v>10</v>
      </c>
      <c r="J2562">
        <v>10045</v>
      </c>
      <c r="K2562">
        <v>10055</v>
      </c>
      <c r="N2562">
        <v>25</v>
      </c>
      <c r="O2562">
        <v>6.6722000000000001</v>
      </c>
      <c r="P2562">
        <v>83.791700000000006</v>
      </c>
      <c r="Q2562">
        <v>6.75</v>
      </c>
      <c r="R2562">
        <v>5.5</v>
      </c>
      <c r="S2562">
        <v>6.75</v>
      </c>
      <c r="T2562">
        <v>96.858456000000004</v>
      </c>
      <c r="W2562" t="s">
        <v>497</v>
      </c>
    </row>
    <row r="2563" spans="1:23" x14ac:dyDescent="0.25">
      <c r="A2563" t="s">
        <v>3008</v>
      </c>
      <c r="B2563" t="str">
        <f t="shared" si="40"/>
        <v>CG1100000591</v>
      </c>
      <c r="C2563" t="s">
        <v>229</v>
      </c>
      <c r="D2563" t="s">
        <v>77</v>
      </c>
      <c r="E2563" t="s">
        <v>78</v>
      </c>
      <c r="F2563">
        <v>10000</v>
      </c>
      <c r="G2563" s="13">
        <v>45181</v>
      </c>
      <c r="H2563" s="13">
        <v>45274</v>
      </c>
      <c r="I2563">
        <v>6670</v>
      </c>
      <c r="J2563">
        <v>2700</v>
      </c>
      <c r="K2563">
        <v>9370</v>
      </c>
      <c r="N2563">
        <v>20.833333333333336</v>
      </c>
      <c r="O2563">
        <v>6.4118000000000004</v>
      </c>
      <c r="P2563">
        <v>93.7</v>
      </c>
      <c r="Q2563">
        <v>6.5</v>
      </c>
      <c r="R2563">
        <v>6</v>
      </c>
      <c r="S2563">
        <v>6.5</v>
      </c>
      <c r="T2563">
        <v>98.405099000000007</v>
      </c>
      <c r="W2563" t="s">
        <v>497</v>
      </c>
    </row>
    <row r="2564" spans="1:23" x14ac:dyDescent="0.25">
      <c r="A2564" t="s">
        <v>3009</v>
      </c>
      <c r="B2564" t="str">
        <f t="shared" si="40"/>
        <v>CG1300000367</v>
      </c>
      <c r="C2564" t="s">
        <v>229</v>
      </c>
      <c r="D2564" t="s">
        <v>77</v>
      </c>
      <c r="E2564" t="s">
        <v>287</v>
      </c>
      <c r="F2564">
        <v>7000</v>
      </c>
      <c r="G2564" s="13">
        <v>45182</v>
      </c>
      <c r="H2564" s="13"/>
      <c r="J2564">
        <v>0</v>
      </c>
      <c r="N2564">
        <v>0</v>
      </c>
      <c r="T2564" t="s">
        <v>1418</v>
      </c>
      <c r="W2564" t="s">
        <v>497</v>
      </c>
    </row>
    <row r="2565" spans="1:23" x14ac:dyDescent="0.25">
      <c r="A2565" t="s">
        <v>3010</v>
      </c>
      <c r="B2565" t="str">
        <f t="shared" si="40"/>
        <v>GA1100001740</v>
      </c>
      <c r="C2565" t="s">
        <v>227</v>
      </c>
      <c r="D2565" t="s">
        <v>77</v>
      </c>
      <c r="E2565" t="s">
        <v>78</v>
      </c>
      <c r="F2565">
        <v>7500</v>
      </c>
      <c r="G2565" s="13">
        <v>45182</v>
      </c>
      <c r="H2565" s="13">
        <v>45275</v>
      </c>
      <c r="I2565">
        <v>0</v>
      </c>
      <c r="J2565">
        <v>7500</v>
      </c>
      <c r="K2565">
        <v>7500</v>
      </c>
      <c r="N2565">
        <v>9.5238095238095237</v>
      </c>
      <c r="O2565">
        <v>6.0511999999999997</v>
      </c>
      <c r="P2565">
        <v>100.13330000000001</v>
      </c>
      <c r="Q2565">
        <v>6</v>
      </c>
      <c r="R2565">
        <v>5.9</v>
      </c>
      <c r="S2565">
        <v>6</v>
      </c>
      <c r="T2565">
        <v>98.493440000000007</v>
      </c>
      <c r="W2565" t="s">
        <v>497</v>
      </c>
    </row>
    <row r="2566" spans="1:23" x14ac:dyDescent="0.25">
      <c r="A2566" t="s">
        <v>3011</v>
      </c>
      <c r="B2566" t="str">
        <f t="shared" si="40"/>
        <v>GQ1300001245</v>
      </c>
      <c r="C2566" t="s">
        <v>528</v>
      </c>
      <c r="D2566" t="s">
        <v>77</v>
      </c>
      <c r="E2566" t="s">
        <v>287</v>
      </c>
      <c r="F2566">
        <v>10000</v>
      </c>
      <c r="G2566" s="13">
        <v>45181</v>
      </c>
      <c r="H2566" s="13">
        <v>45547</v>
      </c>
      <c r="I2566">
        <v>1922</v>
      </c>
      <c r="J2566">
        <v>78</v>
      </c>
      <c r="K2566">
        <v>2000</v>
      </c>
      <c r="N2566">
        <v>30.76923076923077</v>
      </c>
      <c r="O2566">
        <v>6.9572000000000003</v>
      </c>
      <c r="P2566">
        <v>182.23</v>
      </c>
      <c r="Q2566">
        <v>6.5</v>
      </c>
      <c r="R2566">
        <v>6.5</v>
      </c>
      <c r="S2566">
        <v>6.5</v>
      </c>
      <c r="T2566">
        <v>93.427778000000004</v>
      </c>
      <c r="W2566" t="s">
        <v>497</v>
      </c>
    </row>
    <row r="2567" spans="1:23" x14ac:dyDescent="0.25">
      <c r="A2567" t="s">
        <v>3012</v>
      </c>
      <c r="B2567" t="str">
        <f t="shared" si="40"/>
        <v>TD1200001691</v>
      </c>
      <c r="C2567" t="s">
        <v>237</v>
      </c>
      <c r="D2567" t="s">
        <v>77</v>
      </c>
      <c r="E2567" t="s">
        <v>82</v>
      </c>
      <c r="F2567">
        <v>12000</v>
      </c>
      <c r="G2567" s="13">
        <v>45182</v>
      </c>
      <c r="H2567" s="13">
        <v>45366</v>
      </c>
      <c r="I2567">
        <v>0</v>
      </c>
      <c r="J2567">
        <v>9663</v>
      </c>
      <c r="K2567">
        <v>9663</v>
      </c>
      <c r="N2567">
        <v>16.666666666666664</v>
      </c>
      <c r="O2567">
        <v>6.8912000000000004</v>
      </c>
      <c r="P2567">
        <v>80.525000000000006</v>
      </c>
      <c r="Q2567">
        <v>6.75</v>
      </c>
      <c r="R2567">
        <v>6.25</v>
      </c>
      <c r="S2567">
        <v>6.75</v>
      </c>
      <c r="T2567">
        <v>96.633382999999995</v>
      </c>
      <c r="W2567" t="s">
        <v>497</v>
      </c>
    </row>
    <row r="2568" spans="1:23" x14ac:dyDescent="0.25">
      <c r="A2568" t="s">
        <v>3013</v>
      </c>
      <c r="B2568" t="str">
        <f t="shared" si="40"/>
        <v>CM1100001062</v>
      </c>
      <c r="C2568" t="s">
        <v>225</v>
      </c>
      <c r="D2568" t="s">
        <v>77</v>
      </c>
      <c r="E2568" t="s">
        <v>78</v>
      </c>
      <c r="F2568">
        <v>75000</v>
      </c>
      <c r="G2568" s="13">
        <v>45187</v>
      </c>
      <c r="H2568" s="13">
        <v>45280</v>
      </c>
      <c r="I2568">
        <v>61000</v>
      </c>
      <c r="J2568">
        <v>4000</v>
      </c>
      <c r="K2568">
        <v>65000</v>
      </c>
      <c r="N2568">
        <v>28.571428571428569</v>
      </c>
      <c r="O2568">
        <v>5.6966000000000001</v>
      </c>
      <c r="P2568">
        <v>100.104</v>
      </c>
      <c r="Q2568">
        <v>6.75</v>
      </c>
      <c r="R2568">
        <v>5.5</v>
      </c>
      <c r="S2568">
        <v>6.75</v>
      </c>
      <c r="T2568">
        <v>98.580461999999997</v>
      </c>
      <c r="W2568" t="s">
        <v>497</v>
      </c>
    </row>
    <row r="2569" spans="1:23" x14ac:dyDescent="0.25">
      <c r="A2569" t="s">
        <v>3014</v>
      </c>
      <c r="B2569" t="str">
        <f t="shared" si="40"/>
        <v>CG1100000609</v>
      </c>
      <c r="C2569" t="s">
        <v>229</v>
      </c>
      <c r="D2569" t="s">
        <v>77</v>
      </c>
      <c r="E2569" t="s">
        <v>78</v>
      </c>
      <c r="F2569">
        <v>10000</v>
      </c>
      <c r="G2569" s="13">
        <v>45188</v>
      </c>
      <c r="H2569" s="13">
        <v>45281</v>
      </c>
      <c r="I2569">
        <v>8506</v>
      </c>
      <c r="J2569">
        <v>1494</v>
      </c>
      <c r="K2569">
        <v>10000</v>
      </c>
      <c r="N2569">
        <v>16.666666666666664</v>
      </c>
      <c r="O2569">
        <v>6.3830999999999998</v>
      </c>
      <c r="P2569">
        <v>109</v>
      </c>
      <c r="Q2569">
        <v>6.3</v>
      </c>
      <c r="R2569">
        <v>5.5</v>
      </c>
      <c r="S2569">
        <v>6.3</v>
      </c>
      <c r="T2569">
        <v>98.412103000000002</v>
      </c>
      <c r="W2569" t="s">
        <v>497</v>
      </c>
    </row>
    <row r="2570" spans="1:23" x14ac:dyDescent="0.25">
      <c r="A2570" t="s">
        <v>3015</v>
      </c>
      <c r="B2570" t="str">
        <f t="shared" si="40"/>
        <v>CG1200001069</v>
      </c>
      <c r="C2570" t="s">
        <v>229</v>
      </c>
      <c r="D2570" t="s">
        <v>77</v>
      </c>
      <c r="E2570" t="s">
        <v>82</v>
      </c>
      <c r="F2570">
        <v>10000</v>
      </c>
      <c r="G2570" s="13">
        <v>45188</v>
      </c>
      <c r="H2570" s="13">
        <v>45372</v>
      </c>
      <c r="I2570">
        <v>46</v>
      </c>
      <c r="J2570">
        <v>2576</v>
      </c>
      <c r="K2570">
        <v>2622</v>
      </c>
      <c r="N2570">
        <v>25</v>
      </c>
      <c r="O2570">
        <v>6.5109000000000004</v>
      </c>
      <c r="P2570">
        <v>26.22</v>
      </c>
      <c r="Q2570">
        <v>6.75</v>
      </c>
      <c r="R2570">
        <v>5.5</v>
      </c>
      <c r="S2570">
        <v>6.75</v>
      </c>
      <c r="T2570">
        <v>96.813283999999996</v>
      </c>
      <c r="W2570" t="s">
        <v>497</v>
      </c>
    </row>
    <row r="2571" spans="1:23" x14ac:dyDescent="0.25">
      <c r="A2571" t="s">
        <v>3016</v>
      </c>
      <c r="B2571" t="str">
        <f t="shared" si="40"/>
        <v>GA1200001871</v>
      </c>
      <c r="C2571" t="s">
        <v>227</v>
      </c>
      <c r="D2571" t="s">
        <v>77</v>
      </c>
      <c r="E2571" t="s">
        <v>82</v>
      </c>
      <c r="F2571">
        <v>8500</v>
      </c>
      <c r="G2571" s="13">
        <v>45189</v>
      </c>
      <c r="H2571" s="13">
        <v>45373</v>
      </c>
      <c r="I2571">
        <v>15</v>
      </c>
      <c r="J2571">
        <v>3025</v>
      </c>
      <c r="K2571">
        <v>3040</v>
      </c>
      <c r="N2571">
        <v>19.047619047619047</v>
      </c>
      <c r="O2571">
        <v>6.7138</v>
      </c>
      <c r="P2571">
        <v>35.882399999999997</v>
      </c>
      <c r="Q2571">
        <v>6.5</v>
      </c>
      <c r="R2571">
        <v>6</v>
      </c>
      <c r="S2571">
        <v>7.5</v>
      </c>
      <c r="T2571">
        <v>96.717214999999996</v>
      </c>
      <c r="W2571" t="s">
        <v>497</v>
      </c>
    </row>
    <row r="2572" spans="1:23" x14ac:dyDescent="0.25">
      <c r="A2572" t="s">
        <v>3017</v>
      </c>
      <c r="B2572" t="str">
        <f t="shared" si="40"/>
        <v>TD1200001709</v>
      </c>
      <c r="C2572" t="s">
        <v>237</v>
      </c>
      <c r="D2572" t="s">
        <v>77</v>
      </c>
      <c r="E2572" t="s">
        <v>82</v>
      </c>
      <c r="F2572">
        <v>10000</v>
      </c>
      <c r="G2572" s="13">
        <v>45189</v>
      </c>
      <c r="H2572" s="13">
        <v>45373</v>
      </c>
      <c r="I2572">
        <v>1000</v>
      </c>
      <c r="J2572">
        <v>7159</v>
      </c>
      <c r="K2572">
        <v>8159</v>
      </c>
      <c r="N2572">
        <v>25</v>
      </c>
      <c r="O2572">
        <v>6.9821999999999997</v>
      </c>
      <c r="P2572">
        <v>81.59</v>
      </c>
      <c r="Q2572">
        <v>6.75</v>
      </c>
      <c r="R2572">
        <v>6.45</v>
      </c>
      <c r="S2572">
        <v>6.75</v>
      </c>
      <c r="T2572">
        <v>96.590456000000003</v>
      </c>
      <c r="W2572" t="s">
        <v>497</v>
      </c>
    </row>
    <row r="2573" spans="1:23" x14ac:dyDescent="0.25">
      <c r="A2573" t="s">
        <v>3018</v>
      </c>
      <c r="B2573" t="str">
        <f t="shared" si="40"/>
        <v>CF1200000435</v>
      </c>
      <c r="C2573" t="s">
        <v>2406</v>
      </c>
      <c r="D2573" t="s">
        <v>77</v>
      </c>
      <c r="E2573" t="s">
        <v>82</v>
      </c>
      <c r="F2573">
        <v>7175</v>
      </c>
      <c r="G2573" s="13">
        <v>45194</v>
      </c>
      <c r="H2573" s="13">
        <v>45231</v>
      </c>
      <c r="I2573">
        <v>7000</v>
      </c>
      <c r="J2573">
        <v>0</v>
      </c>
      <c r="K2573">
        <v>7000</v>
      </c>
      <c r="N2573">
        <v>22.222222222222221</v>
      </c>
      <c r="O2573">
        <v>6.5412999999999997</v>
      </c>
      <c r="P2573">
        <v>97.561000000000007</v>
      </c>
      <c r="Q2573">
        <v>6.5</v>
      </c>
      <c r="R2573">
        <v>6.5</v>
      </c>
      <c r="S2573">
        <v>6.5</v>
      </c>
      <c r="T2573">
        <v>99.368059000000002</v>
      </c>
      <c r="W2573" t="s">
        <v>681</v>
      </c>
    </row>
    <row r="2574" spans="1:23" x14ac:dyDescent="0.25">
      <c r="A2574" t="s">
        <v>3019</v>
      </c>
      <c r="B2574" t="str">
        <f t="shared" si="40"/>
        <v>CG1200001069</v>
      </c>
      <c r="C2574" t="s">
        <v>229</v>
      </c>
      <c r="D2574" t="s">
        <v>77</v>
      </c>
      <c r="E2574" t="s">
        <v>82</v>
      </c>
      <c r="F2574">
        <v>10000</v>
      </c>
      <c r="G2574" s="13">
        <v>45195</v>
      </c>
      <c r="H2574" s="13">
        <v>45372</v>
      </c>
      <c r="I2574">
        <v>445</v>
      </c>
      <c r="J2574">
        <v>7939</v>
      </c>
      <c r="K2574">
        <v>8384</v>
      </c>
      <c r="N2574">
        <v>29.166666666666668</v>
      </c>
      <c r="O2574">
        <v>6.7500999999999998</v>
      </c>
      <c r="P2574">
        <v>83.84</v>
      </c>
      <c r="Q2574">
        <v>6.75</v>
      </c>
      <c r="R2574">
        <v>6</v>
      </c>
      <c r="S2574">
        <v>6.75</v>
      </c>
      <c r="T2574">
        <v>96.822941999999998</v>
      </c>
      <c r="W2574" t="s">
        <v>497</v>
      </c>
    </row>
    <row r="2575" spans="1:23" x14ac:dyDescent="0.25">
      <c r="A2575" t="s">
        <v>3020</v>
      </c>
      <c r="B2575" t="str">
        <f t="shared" si="40"/>
        <v>CG1100000617</v>
      </c>
      <c r="C2575" t="s">
        <v>229</v>
      </c>
      <c r="D2575" t="s">
        <v>77</v>
      </c>
      <c r="E2575" t="s">
        <v>78</v>
      </c>
      <c r="F2575">
        <v>15000</v>
      </c>
      <c r="G2575" s="13">
        <v>45195</v>
      </c>
      <c r="H2575" s="13">
        <v>45288</v>
      </c>
      <c r="I2575">
        <v>5270</v>
      </c>
      <c r="J2575">
        <v>7417</v>
      </c>
      <c r="K2575">
        <v>12687</v>
      </c>
      <c r="N2575">
        <v>37.5</v>
      </c>
      <c r="O2575">
        <v>6.3449</v>
      </c>
      <c r="P2575">
        <v>84.646699999999996</v>
      </c>
      <c r="Q2575">
        <v>6.5</v>
      </c>
      <c r="R2575">
        <v>6</v>
      </c>
      <c r="S2575">
        <v>7</v>
      </c>
      <c r="T2575">
        <v>98.421460999999994</v>
      </c>
      <c r="W2575" t="s">
        <v>497</v>
      </c>
    </row>
    <row r="2576" spans="1:23" x14ac:dyDescent="0.25">
      <c r="A2576" t="s">
        <v>3021</v>
      </c>
      <c r="B2576" t="str">
        <f t="shared" si="40"/>
        <v>GA1200001889</v>
      </c>
      <c r="C2576" t="s">
        <v>227</v>
      </c>
      <c r="D2576" t="s">
        <v>77</v>
      </c>
      <c r="E2576" t="s">
        <v>82</v>
      </c>
      <c r="F2576">
        <v>7500</v>
      </c>
      <c r="G2576" s="13">
        <v>45196</v>
      </c>
      <c r="H2576" s="13">
        <v>45380</v>
      </c>
      <c r="I2576">
        <v>7000</v>
      </c>
      <c r="J2576">
        <v>500</v>
      </c>
      <c r="K2576">
        <v>7500</v>
      </c>
      <c r="N2576">
        <v>33.333333333333329</v>
      </c>
      <c r="O2576">
        <v>6.3616000000000001</v>
      </c>
      <c r="P2576">
        <v>180.0667</v>
      </c>
      <c r="Q2576">
        <v>6.5</v>
      </c>
      <c r="R2576">
        <v>6</v>
      </c>
      <c r="S2576">
        <v>7</v>
      </c>
      <c r="T2576">
        <v>96.884092999999993</v>
      </c>
      <c r="W2576" t="s">
        <v>497</v>
      </c>
    </row>
    <row r="2577" spans="1:23" x14ac:dyDescent="0.25">
      <c r="A2577" t="s">
        <v>3022</v>
      </c>
      <c r="B2577" t="str">
        <f t="shared" si="40"/>
        <v>CM1200001459</v>
      </c>
      <c r="C2577" t="s">
        <v>225</v>
      </c>
      <c r="D2577" t="s">
        <v>77</v>
      </c>
      <c r="E2577" t="s">
        <v>82</v>
      </c>
      <c r="F2577">
        <v>20000</v>
      </c>
      <c r="G2577" s="13">
        <v>45201</v>
      </c>
      <c r="H2577" s="13">
        <v>45385</v>
      </c>
      <c r="I2577">
        <v>9500</v>
      </c>
      <c r="J2577">
        <v>0</v>
      </c>
      <c r="K2577">
        <v>9500</v>
      </c>
      <c r="N2577">
        <v>9.5238095238095237</v>
      </c>
      <c r="O2577">
        <v>5.7492000000000001</v>
      </c>
      <c r="P2577">
        <v>82.5</v>
      </c>
      <c r="Q2577">
        <v>5.75</v>
      </c>
      <c r="R2577">
        <v>5.5</v>
      </c>
      <c r="S2577">
        <v>6</v>
      </c>
      <c r="T2577">
        <v>97.175540999999996</v>
      </c>
      <c r="W2577" t="s">
        <v>497</v>
      </c>
    </row>
    <row r="2578" spans="1:23" x14ac:dyDescent="0.25">
      <c r="A2578" t="s">
        <v>3023</v>
      </c>
      <c r="B2578" t="str">
        <f t="shared" si="40"/>
        <v>CG1200001077</v>
      </c>
      <c r="C2578" t="s">
        <v>229</v>
      </c>
      <c r="D2578" t="s">
        <v>77</v>
      </c>
      <c r="E2578" t="s">
        <v>82</v>
      </c>
      <c r="F2578">
        <v>15000</v>
      </c>
      <c r="G2578" s="13">
        <v>45202</v>
      </c>
      <c r="H2578" s="13">
        <v>45386</v>
      </c>
      <c r="I2578">
        <v>2300</v>
      </c>
      <c r="J2578">
        <v>7354</v>
      </c>
      <c r="K2578">
        <v>9654</v>
      </c>
      <c r="N2578">
        <v>33.333333333333329</v>
      </c>
      <c r="O2578">
        <v>6.7920999999999996</v>
      </c>
      <c r="P2578">
        <v>64.36</v>
      </c>
      <c r="Q2578">
        <v>6.75</v>
      </c>
      <c r="R2578">
        <v>5</v>
      </c>
      <c r="S2578">
        <v>6.75</v>
      </c>
      <c r="T2578">
        <v>96.680216999999999</v>
      </c>
      <c r="W2578" t="s">
        <v>497</v>
      </c>
    </row>
    <row r="2579" spans="1:23" x14ac:dyDescent="0.25">
      <c r="A2579" t="s">
        <v>3024</v>
      </c>
      <c r="B2579" t="str">
        <f t="shared" si="40"/>
        <v>GA1100001757</v>
      </c>
      <c r="C2579" t="s">
        <v>227</v>
      </c>
      <c r="D2579" t="s">
        <v>77</v>
      </c>
      <c r="E2579" t="s">
        <v>78</v>
      </c>
      <c r="F2579">
        <v>7500</v>
      </c>
      <c r="G2579" s="13">
        <v>45203</v>
      </c>
      <c r="H2579" s="13">
        <v>45296</v>
      </c>
      <c r="I2579">
        <v>4000</v>
      </c>
      <c r="J2579">
        <v>2087</v>
      </c>
      <c r="K2579">
        <v>6087</v>
      </c>
      <c r="N2579">
        <v>23.809523809523807</v>
      </c>
      <c r="O2579">
        <v>6.1177999999999999</v>
      </c>
      <c r="P2579">
        <v>81.293300000000002</v>
      </c>
      <c r="Q2579">
        <v>6.15</v>
      </c>
      <c r="R2579">
        <v>6</v>
      </c>
      <c r="S2579">
        <v>7</v>
      </c>
      <c r="T2579">
        <v>98.477103999999997</v>
      </c>
      <c r="W2579" t="s">
        <v>497</v>
      </c>
    </row>
    <row r="2580" spans="1:23" x14ac:dyDescent="0.25">
      <c r="A2580" t="s">
        <v>3025</v>
      </c>
      <c r="B2580" t="str">
        <f t="shared" si="40"/>
        <v>CG1100000625</v>
      </c>
      <c r="C2580" t="s">
        <v>229</v>
      </c>
      <c r="D2580" t="s">
        <v>77</v>
      </c>
      <c r="E2580" t="s">
        <v>78</v>
      </c>
      <c r="F2580">
        <v>15000</v>
      </c>
      <c r="G2580" s="13">
        <v>45209</v>
      </c>
      <c r="H2580" s="13">
        <v>45302</v>
      </c>
      <c r="I2580">
        <v>4000</v>
      </c>
      <c r="J2580">
        <v>4885</v>
      </c>
      <c r="K2580">
        <v>8885</v>
      </c>
      <c r="N2580">
        <v>25</v>
      </c>
      <c r="O2580">
        <v>6.5753000000000004</v>
      </c>
      <c r="P2580">
        <v>59.2333</v>
      </c>
      <c r="Q2580">
        <v>6.75</v>
      </c>
      <c r="R2580">
        <v>5.9</v>
      </c>
      <c r="S2580">
        <v>6.75</v>
      </c>
      <c r="T2580">
        <v>98.365081000000004</v>
      </c>
      <c r="W2580" t="s">
        <v>497</v>
      </c>
    </row>
    <row r="2581" spans="1:23" x14ac:dyDescent="0.25">
      <c r="A2581" t="s">
        <v>3026</v>
      </c>
      <c r="B2581" t="str">
        <f t="shared" si="40"/>
        <v>CG1200001085</v>
      </c>
      <c r="C2581" t="s">
        <v>229</v>
      </c>
      <c r="D2581" t="s">
        <v>77</v>
      </c>
      <c r="E2581" t="s">
        <v>82</v>
      </c>
      <c r="F2581">
        <v>10000</v>
      </c>
      <c r="G2581" s="13">
        <v>45209</v>
      </c>
      <c r="H2581" s="13">
        <v>45393</v>
      </c>
      <c r="I2581">
        <v>1000</v>
      </c>
      <c r="J2581">
        <v>6995</v>
      </c>
      <c r="K2581">
        <v>7995</v>
      </c>
      <c r="N2581">
        <v>33.333333333333329</v>
      </c>
      <c r="O2581">
        <v>6.7470999999999997</v>
      </c>
      <c r="P2581">
        <v>79.95</v>
      </c>
      <c r="Q2581">
        <v>7</v>
      </c>
      <c r="R2581">
        <v>5.5</v>
      </c>
      <c r="S2581">
        <v>7</v>
      </c>
      <c r="T2581">
        <v>96.701494999999994</v>
      </c>
      <c r="W2581" t="s">
        <v>497</v>
      </c>
    </row>
    <row r="2582" spans="1:23" x14ac:dyDescent="0.25">
      <c r="A2582" t="s">
        <v>3027</v>
      </c>
      <c r="B2582" t="str">
        <f t="shared" si="40"/>
        <v>GA1200001897</v>
      </c>
      <c r="C2582" t="s">
        <v>227</v>
      </c>
      <c r="D2582" t="s">
        <v>77</v>
      </c>
      <c r="E2582" t="s">
        <v>82</v>
      </c>
      <c r="F2582">
        <v>8500</v>
      </c>
      <c r="G2582" s="13">
        <v>45210</v>
      </c>
      <c r="H2582" s="13">
        <v>45394</v>
      </c>
      <c r="I2582">
        <v>5639</v>
      </c>
      <c r="J2582">
        <v>2861</v>
      </c>
      <c r="K2582">
        <v>8500</v>
      </c>
      <c r="N2582">
        <v>23.809523809523807</v>
      </c>
      <c r="O2582">
        <v>6.524</v>
      </c>
      <c r="P2582">
        <v>103</v>
      </c>
      <c r="Q2582">
        <v>6.5</v>
      </c>
      <c r="R2582">
        <v>5.5</v>
      </c>
      <c r="S2582">
        <v>7</v>
      </c>
      <c r="T2582">
        <v>96.807090000000002</v>
      </c>
      <c r="W2582" t="s">
        <v>497</v>
      </c>
    </row>
    <row r="2583" spans="1:23" x14ac:dyDescent="0.25">
      <c r="A2583" t="s">
        <v>3028</v>
      </c>
      <c r="B2583" t="str">
        <f t="shared" si="40"/>
        <v>TD1300000700</v>
      </c>
      <c r="C2583" t="s">
        <v>237</v>
      </c>
      <c r="D2583" t="s">
        <v>77</v>
      </c>
      <c r="E2583" t="s">
        <v>287</v>
      </c>
      <c r="F2583">
        <v>7000</v>
      </c>
      <c r="G2583" s="13">
        <v>45210</v>
      </c>
      <c r="H2583" s="13">
        <v>45576</v>
      </c>
      <c r="I2583">
        <v>3361</v>
      </c>
      <c r="J2583">
        <v>0</v>
      </c>
      <c r="K2583">
        <v>3361</v>
      </c>
      <c r="N2583">
        <v>8.3333333333333321</v>
      </c>
      <c r="O2583">
        <v>7.3021000000000003</v>
      </c>
      <c r="P2583">
        <v>48.014299999999999</v>
      </c>
      <c r="Q2583">
        <v>6.8</v>
      </c>
      <c r="R2583">
        <v>6.8</v>
      </c>
      <c r="S2583">
        <v>6.8</v>
      </c>
      <c r="T2583">
        <v>93.124443999999997</v>
      </c>
      <c r="W2583" t="s">
        <v>497</v>
      </c>
    </row>
    <row r="2584" spans="1:23" x14ac:dyDescent="0.25">
      <c r="A2584" t="s">
        <v>3029</v>
      </c>
      <c r="B2584" t="str">
        <f t="shared" si="40"/>
        <v>CM1200001467</v>
      </c>
      <c r="C2584" t="s">
        <v>225</v>
      </c>
      <c r="D2584" t="s">
        <v>77</v>
      </c>
      <c r="E2584" t="s">
        <v>82</v>
      </c>
      <c r="F2584">
        <v>45000</v>
      </c>
      <c r="G2584" s="13">
        <v>45215</v>
      </c>
      <c r="H2584" s="13">
        <v>45399</v>
      </c>
      <c r="I2584">
        <v>37562</v>
      </c>
      <c r="J2584">
        <v>2250</v>
      </c>
      <c r="K2584">
        <v>39812</v>
      </c>
      <c r="N2584">
        <v>33.333333333333329</v>
      </c>
      <c r="O2584">
        <v>5.7553000000000001</v>
      </c>
      <c r="P2584">
        <v>99.804400000000001</v>
      </c>
      <c r="Q2584">
        <v>5.8</v>
      </c>
      <c r="R2584">
        <v>5.35</v>
      </c>
      <c r="S2584">
        <v>7</v>
      </c>
      <c r="T2584">
        <v>97.172618</v>
      </c>
      <c r="W2584" t="s">
        <v>497</v>
      </c>
    </row>
    <row r="2585" spans="1:23" x14ac:dyDescent="0.25">
      <c r="A2585" t="s">
        <v>3030</v>
      </c>
      <c r="B2585" t="str">
        <f t="shared" si="40"/>
        <v>CM1300000641</v>
      </c>
      <c r="C2585" t="s">
        <v>225</v>
      </c>
      <c r="D2585" t="s">
        <v>77</v>
      </c>
      <c r="E2585" t="s">
        <v>287</v>
      </c>
      <c r="F2585">
        <v>10000</v>
      </c>
      <c r="G2585" s="13">
        <v>45215</v>
      </c>
      <c r="H2585" s="13">
        <v>45581</v>
      </c>
      <c r="I2585">
        <v>0</v>
      </c>
      <c r="J2585">
        <v>10000</v>
      </c>
      <c r="K2585">
        <v>10000</v>
      </c>
      <c r="N2585">
        <v>14.285714285714285</v>
      </c>
      <c r="O2585">
        <v>6.2178000000000004</v>
      </c>
      <c r="P2585">
        <v>140</v>
      </c>
      <c r="Q2585">
        <v>5.85</v>
      </c>
      <c r="R2585">
        <v>5.85</v>
      </c>
      <c r="S2585">
        <v>6</v>
      </c>
      <c r="T2585">
        <v>94.084999999999994</v>
      </c>
      <c r="W2585" t="s">
        <v>497</v>
      </c>
    </row>
    <row r="2586" spans="1:23" x14ac:dyDescent="0.25">
      <c r="A2586" t="s">
        <v>3031</v>
      </c>
      <c r="B2586" t="str">
        <f t="shared" si="40"/>
        <v>CG1100000633</v>
      </c>
      <c r="C2586" t="s">
        <v>229</v>
      </c>
      <c r="D2586" t="s">
        <v>77</v>
      </c>
      <c r="E2586" t="s">
        <v>78</v>
      </c>
      <c r="F2586">
        <v>15000</v>
      </c>
      <c r="G2586" s="13">
        <v>45216</v>
      </c>
      <c r="H2586" s="13">
        <v>45309</v>
      </c>
      <c r="I2586">
        <v>5520</v>
      </c>
      <c r="J2586">
        <v>5054</v>
      </c>
      <c r="K2586">
        <v>10574</v>
      </c>
      <c r="N2586">
        <v>41.666666666666671</v>
      </c>
      <c r="O2586">
        <v>6.4686000000000003</v>
      </c>
      <c r="P2586">
        <v>70.6267</v>
      </c>
      <c r="Q2586">
        <v>6.5</v>
      </c>
      <c r="R2586">
        <v>5.95</v>
      </c>
      <c r="S2586">
        <v>7</v>
      </c>
      <c r="T2586">
        <v>98.391176999999999</v>
      </c>
      <c r="W2586" t="s">
        <v>497</v>
      </c>
    </row>
    <row r="2587" spans="1:23" x14ac:dyDescent="0.25">
      <c r="A2587" t="s">
        <v>3032</v>
      </c>
      <c r="B2587" t="str">
        <f t="shared" ref="B2587:B2650" si="41">MID(A2587,1,12)</f>
        <v>CG1200001093</v>
      </c>
      <c r="C2587" t="s">
        <v>229</v>
      </c>
      <c r="D2587" t="s">
        <v>77</v>
      </c>
      <c r="E2587" t="s">
        <v>82</v>
      </c>
      <c r="F2587">
        <v>10000</v>
      </c>
      <c r="G2587" s="13">
        <v>45216</v>
      </c>
      <c r="H2587" s="13">
        <v>45400</v>
      </c>
      <c r="I2587">
        <v>1895</v>
      </c>
      <c r="J2587">
        <v>2665</v>
      </c>
      <c r="K2587">
        <v>4560</v>
      </c>
      <c r="N2587">
        <v>29.166666666666668</v>
      </c>
      <c r="O2587">
        <v>6.9672999999999998</v>
      </c>
      <c r="P2587">
        <v>45.6</v>
      </c>
      <c r="Q2587">
        <v>7</v>
      </c>
      <c r="R2587">
        <v>6</v>
      </c>
      <c r="S2587">
        <v>7</v>
      </c>
      <c r="T2587">
        <v>96.597477999999995</v>
      </c>
      <c r="W2587" t="s">
        <v>497</v>
      </c>
    </row>
    <row r="2588" spans="1:23" x14ac:dyDescent="0.25">
      <c r="A2588" t="s">
        <v>3033</v>
      </c>
      <c r="B2588" t="str">
        <f t="shared" si="41"/>
        <v>GA1200001905</v>
      </c>
      <c r="C2588" t="s">
        <v>227</v>
      </c>
      <c r="D2588" t="s">
        <v>77</v>
      </c>
      <c r="E2588" t="s">
        <v>82</v>
      </c>
      <c r="F2588">
        <v>9500</v>
      </c>
      <c r="G2588" s="13">
        <v>45217</v>
      </c>
      <c r="H2588" s="13">
        <v>45401</v>
      </c>
      <c r="I2588">
        <v>4040</v>
      </c>
      <c r="J2588">
        <v>5460</v>
      </c>
      <c r="K2588">
        <v>9500</v>
      </c>
      <c r="N2588">
        <v>19.047619047619047</v>
      </c>
      <c r="O2588">
        <v>6.7096</v>
      </c>
      <c r="P2588">
        <v>137.1474</v>
      </c>
      <c r="Q2588">
        <v>6.5</v>
      </c>
      <c r="R2588">
        <v>6.45</v>
      </c>
      <c r="S2588">
        <v>6.75</v>
      </c>
      <c r="T2588">
        <v>96.719211000000001</v>
      </c>
      <c r="W2588" t="s">
        <v>497</v>
      </c>
    </row>
    <row r="2589" spans="1:23" x14ac:dyDescent="0.25">
      <c r="A2589" t="s">
        <v>3034</v>
      </c>
      <c r="B2589" t="str">
        <f t="shared" si="41"/>
        <v>TD1200001717</v>
      </c>
      <c r="C2589" t="s">
        <v>237</v>
      </c>
      <c r="D2589" t="s">
        <v>77</v>
      </c>
      <c r="E2589" t="s">
        <v>82</v>
      </c>
      <c r="F2589">
        <v>9000</v>
      </c>
      <c r="G2589" s="13">
        <v>45217</v>
      </c>
      <c r="H2589" s="13">
        <v>45401</v>
      </c>
      <c r="J2589">
        <v>0</v>
      </c>
      <c r="N2589">
        <v>0</v>
      </c>
      <c r="T2589" t="s">
        <v>1418</v>
      </c>
      <c r="W2589" t="s">
        <v>497</v>
      </c>
    </row>
    <row r="2590" spans="1:23" x14ac:dyDescent="0.25">
      <c r="A2590" t="s">
        <v>3035</v>
      </c>
      <c r="B2590" t="str">
        <f t="shared" si="41"/>
        <v>TD1300000718</v>
      </c>
      <c r="C2590" t="s">
        <v>237</v>
      </c>
      <c r="D2590" t="s">
        <v>77</v>
      </c>
      <c r="E2590" t="s">
        <v>287</v>
      </c>
      <c r="F2590">
        <v>9000</v>
      </c>
      <c r="G2590" s="13">
        <v>45217</v>
      </c>
      <c r="H2590" s="13">
        <v>45583</v>
      </c>
      <c r="J2590">
        <v>0</v>
      </c>
      <c r="N2590">
        <v>0</v>
      </c>
      <c r="T2590" t="s">
        <v>1418</v>
      </c>
      <c r="W2590" t="s">
        <v>497</v>
      </c>
    </row>
    <row r="2591" spans="1:23" x14ac:dyDescent="0.25">
      <c r="A2591" t="s">
        <v>3036</v>
      </c>
      <c r="B2591" t="str">
        <f t="shared" si="41"/>
        <v>CM1200001475</v>
      </c>
      <c r="C2591" t="s">
        <v>225</v>
      </c>
      <c r="D2591" t="s">
        <v>77</v>
      </c>
      <c r="E2591" t="s">
        <v>82</v>
      </c>
      <c r="F2591">
        <v>15000</v>
      </c>
      <c r="G2591" s="13">
        <v>45222</v>
      </c>
      <c r="H2591" s="13">
        <v>45406</v>
      </c>
      <c r="I2591">
        <v>9000</v>
      </c>
      <c r="J2591">
        <v>6000</v>
      </c>
      <c r="K2591">
        <v>15000</v>
      </c>
      <c r="N2591">
        <v>19.047619047619047</v>
      </c>
      <c r="O2591">
        <v>5.8691000000000004</v>
      </c>
      <c r="P2591">
        <v>170</v>
      </c>
      <c r="Q2591">
        <v>6</v>
      </c>
      <c r="R2591">
        <v>5.35</v>
      </c>
      <c r="S2591">
        <v>6</v>
      </c>
      <c r="T2591">
        <v>97.118333000000007</v>
      </c>
      <c r="W2591" t="s">
        <v>497</v>
      </c>
    </row>
    <row r="2592" spans="1:23" x14ac:dyDescent="0.25">
      <c r="A2592" t="s">
        <v>3037</v>
      </c>
      <c r="B2592" t="str">
        <f t="shared" si="41"/>
        <v>CG1100000641</v>
      </c>
      <c r="C2592" t="s">
        <v>229</v>
      </c>
      <c r="D2592" t="s">
        <v>77</v>
      </c>
      <c r="E2592" t="s">
        <v>78</v>
      </c>
      <c r="F2592">
        <v>10000</v>
      </c>
      <c r="G2592" s="13">
        <v>45223</v>
      </c>
      <c r="H2592" s="13">
        <v>45316</v>
      </c>
      <c r="I2592">
        <v>5334</v>
      </c>
      <c r="J2592">
        <v>4666</v>
      </c>
      <c r="K2592">
        <v>10000</v>
      </c>
      <c r="N2592">
        <v>20.833333333333336</v>
      </c>
      <c r="O2592">
        <v>6.4935999999999998</v>
      </c>
      <c r="P2592">
        <v>100.5</v>
      </c>
      <c r="Q2592">
        <v>6.5</v>
      </c>
      <c r="R2592">
        <v>6.25</v>
      </c>
      <c r="S2592">
        <v>6.5</v>
      </c>
      <c r="T2592">
        <v>98.385065999999995</v>
      </c>
      <c r="W2592" t="s">
        <v>497</v>
      </c>
    </row>
    <row r="2593" spans="1:23" x14ac:dyDescent="0.25">
      <c r="A2593" t="s">
        <v>3038</v>
      </c>
      <c r="B2593" t="str">
        <f t="shared" si="41"/>
        <v>CG1200001093</v>
      </c>
      <c r="C2593" t="s">
        <v>229</v>
      </c>
      <c r="D2593" t="s">
        <v>77</v>
      </c>
      <c r="E2593" t="s">
        <v>82</v>
      </c>
      <c r="F2593">
        <v>10000</v>
      </c>
      <c r="G2593" s="13">
        <v>45223</v>
      </c>
      <c r="H2593" s="13">
        <v>45400</v>
      </c>
      <c r="I2593">
        <v>2930</v>
      </c>
      <c r="J2593">
        <v>3036</v>
      </c>
      <c r="K2593">
        <v>5966</v>
      </c>
      <c r="N2593">
        <v>29.166666666666668</v>
      </c>
      <c r="O2593">
        <v>6.7493999999999996</v>
      </c>
      <c r="P2593">
        <v>59.66</v>
      </c>
      <c r="Q2593">
        <v>6.75</v>
      </c>
      <c r="R2593">
        <v>6</v>
      </c>
      <c r="S2593">
        <v>6.75</v>
      </c>
      <c r="T2593">
        <v>96.823289000000003</v>
      </c>
      <c r="W2593" t="s">
        <v>497</v>
      </c>
    </row>
    <row r="2594" spans="1:23" x14ac:dyDescent="0.25">
      <c r="A2594" t="s">
        <v>3039</v>
      </c>
      <c r="B2594" t="str">
        <f t="shared" si="41"/>
        <v>CG1300000375</v>
      </c>
      <c r="C2594" t="s">
        <v>229</v>
      </c>
      <c r="D2594" t="s">
        <v>77</v>
      </c>
      <c r="E2594" t="s">
        <v>287</v>
      </c>
      <c r="F2594">
        <v>21000</v>
      </c>
      <c r="G2594" s="13">
        <v>45223</v>
      </c>
      <c r="H2594" s="13">
        <v>45589</v>
      </c>
      <c r="I2594">
        <v>12025</v>
      </c>
      <c r="J2594">
        <v>6780</v>
      </c>
      <c r="K2594">
        <v>18805</v>
      </c>
      <c r="N2594">
        <v>16.666666666666664</v>
      </c>
      <c r="O2594">
        <v>6.8121999999999998</v>
      </c>
      <c r="P2594">
        <v>89.547600000000003</v>
      </c>
      <c r="Q2594">
        <v>7</v>
      </c>
      <c r="R2594">
        <v>6</v>
      </c>
      <c r="S2594">
        <v>7</v>
      </c>
      <c r="T2594">
        <v>93.555948000000001</v>
      </c>
      <c r="W2594" t="s">
        <v>497</v>
      </c>
    </row>
    <row r="2595" spans="1:23" x14ac:dyDescent="0.25">
      <c r="A2595" t="s">
        <v>3040</v>
      </c>
      <c r="B2595" t="str">
        <f t="shared" si="41"/>
        <v>GA1100001765</v>
      </c>
      <c r="C2595" t="s">
        <v>227</v>
      </c>
      <c r="D2595" t="s">
        <v>77</v>
      </c>
      <c r="E2595" t="s">
        <v>78</v>
      </c>
      <c r="F2595">
        <v>7000</v>
      </c>
      <c r="G2595" s="13">
        <v>45224</v>
      </c>
      <c r="H2595" s="13">
        <v>45317</v>
      </c>
      <c r="I2595">
        <v>785</v>
      </c>
      <c r="J2595">
        <v>6215</v>
      </c>
      <c r="K2595">
        <v>7000</v>
      </c>
      <c r="N2595">
        <v>28.571428571428569</v>
      </c>
      <c r="O2595">
        <v>6.0941000000000001</v>
      </c>
      <c r="P2595">
        <v>102.24290000000001</v>
      </c>
      <c r="Q2595">
        <v>6.15</v>
      </c>
      <c r="R2595">
        <v>5.9</v>
      </c>
      <c r="S2595">
        <v>6.15</v>
      </c>
      <c r="T2595">
        <v>98.482919999999993</v>
      </c>
      <c r="W2595" t="s">
        <v>497</v>
      </c>
    </row>
    <row r="2596" spans="1:23" x14ac:dyDescent="0.25">
      <c r="A2596" t="s">
        <v>3041</v>
      </c>
      <c r="B2596" t="str">
        <f t="shared" si="41"/>
        <v>GQ1300001252</v>
      </c>
      <c r="C2596" t="s">
        <v>528</v>
      </c>
      <c r="D2596" t="s">
        <v>77</v>
      </c>
      <c r="E2596" t="s">
        <v>287</v>
      </c>
      <c r="F2596">
        <v>10000</v>
      </c>
      <c r="G2596" s="13">
        <v>45223</v>
      </c>
      <c r="H2596" s="13">
        <v>45589</v>
      </c>
      <c r="I2596">
        <v>500</v>
      </c>
      <c r="J2596">
        <v>0</v>
      </c>
      <c r="K2596">
        <v>500</v>
      </c>
      <c r="N2596">
        <v>25</v>
      </c>
      <c r="O2596">
        <v>6.8428000000000004</v>
      </c>
      <c r="P2596">
        <v>148.99</v>
      </c>
      <c r="Q2596">
        <v>6.4</v>
      </c>
      <c r="R2596">
        <v>6.4</v>
      </c>
      <c r="S2596">
        <v>7.5</v>
      </c>
      <c r="T2596">
        <v>93.528889000000007</v>
      </c>
      <c r="W2596" t="s">
        <v>497</v>
      </c>
    </row>
    <row r="2597" spans="1:23" x14ac:dyDescent="0.25">
      <c r="A2597" t="s">
        <v>3042</v>
      </c>
      <c r="B2597" t="str">
        <f t="shared" si="41"/>
        <v>TD1200001725</v>
      </c>
      <c r="C2597" t="s">
        <v>237</v>
      </c>
      <c r="D2597" t="s">
        <v>77</v>
      </c>
      <c r="E2597" t="s">
        <v>82</v>
      </c>
      <c r="F2597">
        <v>10000</v>
      </c>
      <c r="G2597" s="13">
        <v>45224</v>
      </c>
      <c r="H2597" s="13">
        <v>45408</v>
      </c>
      <c r="I2597">
        <v>0</v>
      </c>
      <c r="J2597">
        <v>2530</v>
      </c>
      <c r="K2597">
        <v>2530</v>
      </c>
      <c r="N2597">
        <v>16.666666666666664</v>
      </c>
      <c r="O2597">
        <v>6.9878</v>
      </c>
      <c r="P2597">
        <v>25.3</v>
      </c>
      <c r="Q2597">
        <v>6.75</v>
      </c>
      <c r="R2597">
        <v>6.7</v>
      </c>
      <c r="S2597">
        <v>6.75</v>
      </c>
      <c r="T2597">
        <v>96.587800000000001</v>
      </c>
      <c r="W2597" t="s">
        <v>497</v>
      </c>
    </row>
    <row r="2598" spans="1:23" x14ac:dyDescent="0.25">
      <c r="A2598" t="s">
        <v>3043</v>
      </c>
      <c r="B2598" t="str">
        <f t="shared" si="41"/>
        <v>CM1100001070</v>
      </c>
      <c r="C2598" t="s">
        <v>225</v>
      </c>
      <c r="D2598" t="s">
        <v>77</v>
      </c>
      <c r="E2598" t="s">
        <v>78</v>
      </c>
      <c r="F2598">
        <v>15000</v>
      </c>
      <c r="G2598" s="13">
        <v>45229</v>
      </c>
      <c r="H2598" s="13">
        <v>45322</v>
      </c>
      <c r="I2598">
        <v>13715</v>
      </c>
      <c r="J2598">
        <v>750</v>
      </c>
      <c r="K2598">
        <v>14465</v>
      </c>
      <c r="N2598">
        <v>19.047619047619047</v>
      </c>
      <c r="O2598">
        <v>5.6497000000000002</v>
      </c>
      <c r="P2598">
        <v>96.5</v>
      </c>
      <c r="Q2598">
        <v>5.75</v>
      </c>
      <c r="R2598">
        <v>5.25</v>
      </c>
      <c r="S2598">
        <v>6</v>
      </c>
      <c r="T2598">
        <v>98.592000999999996</v>
      </c>
      <c r="W2598" t="s">
        <v>497</v>
      </c>
    </row>
    <row r="2599" spans="1:23" x14ac:dyDescent="0.25">
      <c r="A2599" t="s">
        <v>3044</v>
      </c>
      <c r="B2599" t="str">
        <f t="shared" si="41"/>
        <v>CG1100000658</v>
      </c>
      <c r="C2599" t="s">
        <v>229</v>
      </c>
      <c r="D2599" t="s">
        <v>77</v>
      </c>
      <c r="E2599" t="s">
        <v>78</v>
      </c>
      <c r="F2599">
        <v>15000</v>
      </c>
      <c r="G2599" s="13">
        <v>45230</v>
      </c>
      <c r="H2599" s="13">
        <v>45323</v>
      </c>
      <c r="I2599">
        <v>1622</v>
      </c>
      <c r="J2599">
        <v>13378</v>
      </c>
      <c r="K2599">
        <v>15000</v>
      </c>
      <c r="N2599">
        <v>33.333333333333329</v>
      </c>
      <c r="O2599">
        <v>6.5377999999999998</v>
      </c>
      <c r="P2599">
        <v>108.05329999999999</v>
      </c>
      <c r="Q2599">
        <v>6.5</v>
      </c>
      <c r="R2599">
        <v>6</v>
      </c>
      <c r="S2599">
        <v>6.5</v>
      </c>
      <c r="T2599">
        <v>98.374257999999998</v>
      </c>
      <c r="W2599" t="s">
        <v>497</v>
      </c>
    </row>
    <row r="2600" spans="1:23" x14ac:dyDescent="0.25">
      <c r="A2600" t="s">
        <v>3045</v>
      </c>
      <c r="B2600" t="str">
        <f t="shared" si="41"/>
        <v>CG1200001101</v>
      </c>
      <c r="C2600" t="s">
        <v>229</v>
      </c>
      <c r="D2600" t="s">
        <v>77</v>
      </c>
      <c r="E2600" t="s">
        <v>82</v>
      </c>
      <c r="F2600">
        <v>10000</v>
      </c>
      <c r="G2600" s="13">
        <v>45230</v>
      </c>
      <c r="H2600" s="13">
        <v>45414</v>
      </c>
      <c r="I2600">
        <v>260</v>
      </c>
      <c r="J2600">
        <v>5805</v>
      </c>
      <c r="K2600">
        <v>6065</v>
      </c>
      <c r="N2600">
        <v>20.833333333333336</v>
      </c>
      <c r="O2600">
        <v>6.8963999999999999</v>
      </c>
      <c r="P2600">
        <v>60.65</v>
      </c>
      <c r="Q2600">
        <v>6.75</v>
      </c>
      <c r="R2600">
        <v>6</v>
      </c>
      <c r="S2600">
        <v>6.75</v>
      </c>
      <c r="T2600">
        <v>96.630949000000001</v>
      </c>
      <c r="W2600" t="s">
        <v>497</v>
      </c>
    </row>
    <row r="2601" spans="1:23" x14ac:dyDescent="0.25">
      <c r="A2601" t="s">
        <v>3046</v>
      </c>
      <c r="B2601" t="str">
        <f t="shared" si="41"/>
        <v>GA1300000674</v>
      </c>
      <c r="C2601" t="s">
        <v>227</v>
      </c>
      <c r="D2601" t="s">
        <v>77</v>
      </c>
      <c r="E2601" t="s">
        <v>287</v>
      </c>
      <c r="F2601">
        <v>7500</v>
      </c>
      <c r="G2601" s="13">
        <v>45231</v>
      </c>
      <c r="H2601" s="13">
        <v>45597</v>
      </c>
      <c r="I2601">
        <v>2395</v>
      </c>
      <c r="J2601">
        <v>5067</v>
      </c>
      <c r="K2601">
        <v>7462</v>
      </c>
      <c r="N2601">
        <v>28.571428571428569</v>
      </c>
      <c r="O2601">
        <v>6.9446000000000003</v>
      </c>
      <c r="P2601">
        <v>153.0933</v>
      </c>
      <c r="Q2601">
        <v>6.75</v>
      </c>
      <c r="R2601">
        <v>6</v>
      </c>
      <c r="S2601">
        <v>7</v>
      </c>
      <c r="T2601">
        <v>93.438957000000002</v>
      </c>
      <c r="W2601" t="s">
        <v>497</v>
      </c>
    </row>
    <row r="2602" spans="1:23" x14ac:dyDescent="0.25">
      <c r="A2602" t="s">
        <v>3047</v>
      </c>
      <c r="B2602" t="str">
        <f t="shared" si="41"/>
        <v>CG1200001119</v>
      </c>
      <c r="C2602" t="s">
        <v>229</v>
      </c>
      <c r="D2602" t="s">
        <v>77</v>
      </c>
      <c r="E2602" t="s">
        <v>82</v>
      </c>
      <c r="F2602">
        <v>12000</v>
      </c>
      <c r="G2602" s="13">
        <v>45237</v>
      </c>
      <c r="H2602" s="13">
        <v>45421</v>
      </c>
      <c r="I2602">
        <v>5000</v>
      </c>
      <c r="J2602">
        <v>5899</v>
      </c>
      <c r="K2602">
        <v>10899</v>
      </c>
      <c r="N2602">
        <v>25</v>
      </c>
      <c r="O2602">
        <v>6.8226000000000004</v>
      </c>
      <c r="P2602">
        <v>107.75830000000001</v>
      </c>
      <c r="Q2602">
        <v>6.75</v>
      </c>
      <c r="R2602">
        <v>6.15</v>
      </c>
      <c r="S2602">
        <v>7</v>
      </c>
      <c r="T2602">
        <v>96.665786999999995</v>
      </c>
      <c r="W2602" t="s">
        <v>497</v>
      </c>
    </row>
    <row r="2603" spans="1:23" x14ac:dyDescent="0.25">
      <c r="A2603" t="s">
        <v>3048</v>
      </c>
      <c r="B2603" t="str">
        <f t="shared" si="41"/>
        <v>CG1300000383</v>
      </c>
      <c r="C2603" t="s">
        <v>229</v>
      </c>
      <c r="D2603" t="s">
        <v>77</v>
      </c>
      <c r="E2603" t="s">
        <v>287</v>
      </c>
      <c r="F2603">
        <v>7000</v>
      </c>
      <c r="G2603" s="13">
        <v>45237</v>
      </c>
      <c r="H2603" s="13">
        <v>45603</v>
      </c>
      <c r="I2603">
        <v>781</v>
      </c>
      <c r="J2603">
        <v>6219</v>
      </c>
      <c r="K2603">
        <v>7000</v>
      </c>
      <c r="N2603">
        <v>20.833333333333336</v>
      </c>
      <c r="O2603">
        <v>7.3723999999999998</v>
      </c>
      <c r="P2603">
        <v>140.24289999999999</v>
      </c>
      <c r="Q2603">
        <v>7</v>
      </c>
      <c r="R2603">
        <v>6.5</v>
      </c>
      <c r="S2603">
        <v>7.5</v>
      </c>
      <c r="T2603">
        <v>93.062805999999995</v>
      </c>
      <c r="W2603" t="s">
        <v>497</v>
      </c>
    </row>
    <row r="2604" spans="1:23" x14ac:dyDescent="0.25">
      <c r="A2604" t="s">
        <v>3049</v>
      </c>
      <c r="B2604" t="str">
        <f t="shared" si="41"/>
        <v>GA1200001913</v>
      </c>
      <c r="C2604" t="s">
        <v>227</v>
      </c>
      <c r="D2604" t="s">
        <v>77</v>
      </c>
      <c r="E2604" t="s">
        <v>82</v>
      </c>
      <c r="F2604">
        <v>9500</v>
      </c>
      <c r="G2604" s="13">
        <v>45238</v>
      </c>
      <c r="H2604" s="13">
        <v>45422</v>
      </c>
      <c r="I2604">
        <v>7636</v>
      </c>
      <c r="J2604">
        <v>1864</v>
      </c>
      <c r="K2604">
        <v>9500</v>
      </c>
      <c r="N2604">
        <v>28.571428571428569</v>
      </c>
      <c r="O2604">
        <v>6.5781000000000001</v>
      </c>
      <c r="P2604">
        <v>158.6105</v>
      </c>
      <c r="Q2604">
        <v>6.5</v>
      </c>
      <c r="R2604">
        <v>6.1</v>
      </c>
      <c r="S2604">
        <v>7</v>
      </c>
      <c r="T2604">
        <v>96.781419999999997</v>
      </c>
      <c r="W2604" t="s">
        <v>497</v>
      </c>
    </row>
    <row r="2605" spans="1:23" x14ac:dyDescent="0.25">
      <c r="A2605" t="s">
        <v>3050</v>
      </c>
      <c r="B2605" t="str">
        <f t="shared" si="41"/>
        <v>GQ1300001260</v>
      </c>
      <c r="C2605" t="s">
        <v>528</v>
      </c>
      <c r="D2605" t="s">
        <v>77</v>
      </c>
      <c r="E2605" t="s">
        <v>287</v>
      </c>
      <c r="F2605">
        <v>15000</v>
      </c>
      <c r="G2605" s="13">
        <v>45237</v>
      </c>
      <c r="H2605" s="13">
        <v>45603</v>
      </c>
      <c r="I2605">
        <v>15000</v>
      </c>
      <c r="J2605">
        <v>0</v>
      </c>
      <c r="K2605">
        <v>15000</v>
      </c>
      <c r="N2605">
        <v>30.76923076923077</v>
      </c>
      <c r="O2605">
        <v>6.7876000000000003</v>
      </c>
      <c r="P2605">
        <v>200</v>
      </c>
      <c r="Q2605">
        <v>6.4</v>
      </c>
      <c r="R2605">
        <v>6.3</v>
      </c>
      <c r="S2605">
        <v>7</v>
      </c>
      <c r="T2605">
        <v>93.577759</v>
      </c>
      <c r="W2605" t="s">
        <v>497</v>
      </c>
    </row>
    <row r="2606" spans="1:23" x14ac:dyDescent="0.25">
      <c r="A2606" t="s">
        <v>3051</v>
      </c>
      <c r="B2606" t="str">
        <f t="shared" si="41"/>
        <v>TD1200001733</v>
      </c>
      <c r="C2606" t="s">
        <v>237</v>
      </c>
      <c r="D2606" t="s">
        <v>77</v>
      </c>
      <c r="E2606" t="s">
        <v>82</v>
      </c>
      <c r="F2606">
        <v>15000</v>
      </c>
      <c r="G2606" s="13">
        <v>45238</v>
      </c>
      <c r="H2606" s="13">
        <v>45422</v>
      </c>
      <c r="J2606">
        <v>7000</v>
      </c>
      <c r="K2606">
        <v>7000</v>
      </c>
      <c r="N2606">
        <v>25</v>
      </c>
      <c r="O2606">
        <v>6.9885000000000002</v>
      </c>
      <c r="P2606">
        <v>56.666699999999999</v>
      </c>
      <c r="Q2606">
        <v>6.75</v>
      </c>
      <c r="R2606">
        <v>6.75</v>
      </c>
      <c r="S2606">
        <v>7</v>
      </c>
      <c r="T2606">
        <v>96.587500000000006</v>
      </c>
      <c r="W2606" t="s">
        <v>497</v>
      </c>
    </row>
    <row r="2607" spans="1:23" x14ac:dyDescent="0.25">
      <c r="A2607" t="s">
        <v>3052</v>
      </c>
      <c r="B2607" t="str">
        <f t="shared" si="41"/>
        <v>CG1100000666</v>
      </c>
      <c r="C2607" t="s">
        <v>229</v>
      </c>
      <c r="D2607" t="s">
        <v>77</v>
      </c>
      <c r="E2607" t="s">
        <v>78</v>
      </c>
      <c r="F2607">
        <v>10000</v>
      </c>
      <c r="G2607" s="13">
        <v>45244</v>
      </c>
      <c r="H2607" s="13">
        <v>45337</v>
      </c>
      <c r="I2607">
        <v>4500</v>
      </c>
      <c r="J2607">
        <v>4807</v>
      </c>
      <c r="K2607">
        <v>9307</v>
      </c>
      <c r="N2607">
        <v>33.333333333333329</v>
      </c>
      <c r="O2607">
        <v>6.4996999999999998</v>
      </c>
      <c r="P2607">
        <v>108.07</v>
      </c>
      <c r="Q2607">
        <v>6.5</v>
      </c>
      <c r="R2607">
        <v>5.5</v>
      </c>
      <c r="S2607">
        <v>6.75</v>
      </c>
      <c r="T2607">
        <v>98.383574999999993</v>
      </c>
      <c r="W2607" t="s">
        <v>497</v>
      </c>
    </row>
    <row r="2608" spans="1:23" x14ac:dyDescent="0.25">
      <c r="A2608" t="s">
        <v>3053</v>
      </c>
      <c r="B2608" t="str">
        <f t="shared" si="41"/>
        <v>GA1100001773</v>
      </c>
      <c r="C2608" t="s">
        <v>227</v>
      </c>
      <c r="D2608" t="s">
        <v>77</v>
      </c>
      <c r="E2608" t="s">
        <v>78</v>
      </c>
      <c r="F2608">
        <v>9500</v>
      </c>
      <c r="G2608" s="13">
        <v>45245</v>
      </c>
      <c r="H2608" s="13">
        <v>45338</v>
      </c>
      <c r="I2608">
        <v>6839</v>
      </c>
      <c r="J2608">
        <v>2661</v>
      </c>
      <c r="K2608">
        <v>9500</v>
      </c>
      <c r="N2608">
        <v>23.809523809523807</v>
      </c>
      <c r="O2608">
        <v>6.0690999999999997</v>
      </c>
      <c r="P2608">
        <v>115.0421</v>
      </c>
      <c r="Q2608">
        <v>6</v>
      </c>
      <c r="R2608">
        <v>5.9</v>
      </c>
      <c r="S2608">
        <v>6.25</v>
      </c>
      <c r="T2608">
        <v>98.489053999999996</v>
      </c>
      <c r="W2608" t="s">
        <v>497</v>
      </c>
    </row>
    <row r="2609" spans="1:23" x14ac:dyDescent="0.25">
      <c r="A2609" t="s">
        <v>3054</v>
      </c>
      <c r="B2609" t="str">
        <f t="shared" si="41"/>
        <v>TD1300000726</v>
      </c>
      <c r="C2609" t="s">
        <v>237</v>
      </c>
      <c r="D2609" t="s">
        <v>77</v>
      </c>
      <c r="E2609" t="s">
        <v>287</v>
      </c>
      <c r="F2609">
        <v>10000</v>
      </c>
      <c r="G2609" s="13">
        <v>45245</v>
      </c>
      <c r="H2609" s="13"/>
      <c r="J2609">
        <v>0</v>
      </c>
      <c r="N2609">
        <v>0</v>
      </c>
      <c r="T2609" t="s">
        <v>1418</v>
      </c>
      <c r="W2609" t="s">
        <v>497</v>
      </c>
    </row>
    <row r="2610" spans="1:23" x14ac:dyDescent="0.25">
      <c r="A2610" t="s">
        <v>3055</v>
      </c>
      <c r="B2610" t="str">
        <f t="shared" si="41"/>
        <v>CM1200001483</v>
      </c>
      <c r="C2610" t="s">
        <v>225</v>
      </c>
      <c r="D2610" t="s">
        <v>77</v>
      </c>
      <c r="E2610" t="s">
        <v>82</v>
      </c>
      <c r="F2610">
        <v>50000</v>
      </c>
      <c r="G2610" s="13">
        <v>45250</v>
      </c>
      <c r="H2610" s="13">
        <v>45434</v>
      </c>
      <c r="I2610">
        <v>50000</v>
      </c>
      <c r="J2610">
        <v>0</v>
      </c>
      <c r="K2610">
        <v>50000</v>
      </c>
      <c r="N2610">
        <v>23.809523809523807</v>
      </c>
      <c r="O2610">
        <v>6.0526999999999997</v>
      </c>
      <c r="P2610">
        <v>106</v>
      </c>
      <c r="Q2610">
        <v>6</v>
      </c>
      <c r="R2610">
        <v>5.8</v>
      </c>
      <c r="S2610">
        <v>6</v>
      </c>
      <c r="T2610">
        <v>97.030872000000002</v>
      </c>
      <c r="W2610" t="s">
        <v>497</v>
      </c>
    </row>
    <row r="2611" spans="1:23" x14ac:dyDescent="0.25">
      <c r="A2611" t="s">
        <v>3056</v>
      </c>
      <c r="B2611" t="str">
        <f t="shared" si="41"/>
        <v>CG1100000674</v>
      </c>
      <c r="C2611" t="s">
        <v>229</v>
      </c>
      <c r="D2611" t="s">
        <v>77</v>
      </c>
      <c r="E2611" t="s">
        <v>78</v>
      </c>
      <c r="F2611">
        <v>12000</v>
      </c>
      <c r="G2611" s="13">
        <v>45251</v>
      </c>
      <c r="H2611" s="13">
        <v>45344</v>
      </c>
      <c r="I2611">
        <v>9930</v>
      </c>
      <c r="J2611">
        <v>2070</v>
      </c>
      <c r="K2611">
        <v>12000</v>
      </c>
      <c r="N2611">
        <v>33.333333333333329</v>
      </c>
      <c r="O2611">
        <v>6.2641999999999998</v>
      </c>
      <c r="P2611">
        <v>155.22499999999999</v>
      </c>
      <c r="Q2611">
        <v>6.3</v>
      </c>
      <c r="R2611">
        <v>6</v>
      </c>
      <c r="S2611">
        <v>6.5</v>
      </c>
      <c r="T2611">
        <v>98.441235000000006</v>
      </c>
      <c r="W2611" t="s">
        <v>497</v>
      </c>
    </row>
    <row r="2612" spans="1:23" x14ac:dyDescent="0.25">
      <c r="A2612" t="s">
        <v>3057</v>
      </c>
      <c r="B2612" t="str">
        <f t="shared" si="41"/>
        <v>CG1200001127</v>
      </c>
      <c r="C2612" t="s">
        <v>229</v>
      </c>
      <c r="D2612" t="s">
        <v>77</v>
      </c>
      <c r="E2612" t="s">
        <v>82</v>
      </c>
      <c r="F2612">
        <v>13000</v>
      </c>
      <c r="G2612" s="13">
        <v>45251</v>
      </c>
      <c r="H2612" s="13">
        <v>45435</v>
      </c>
      <c r="I2612">
        <v>0</v>
      </c>
      <c r="J2612">
        <v>1118</v>
      </c>
      <c r="K2612">
        <v>1118</v>
      </c>
      <c r="N2612">
        <v>25</v>
      </c>
      <c r="O2612">
        <v>6.2096</v>
      </c>
      <c r="P2612">
        <v>18.884599999999999</v>
      </c>
      <c r="Q2612">
        <v>6.1</v>
      </c>
      <c r="R2612">
        <v>6</v>
      </c>
      <c r="S2612">
        <v>7</v>
      </c>
      <c r="T2612">
        <v>96.956265999999999</v>
      </c>
      <c r="W2612" t="s">
        <v>497</v>
      </c>
    </row>
    <row r="2613" spans="1:23" x14ac:dyDescent="0.25">
      <c r="A2613" t="s">
        <v>3058</v>
      </c>
      <c r="B2613" t="str">
        <f t="shared" si="41"/>
        <v>CG1300000391</v>
      </c>
      <c r="C2613" t="s">
        <v>229</v>
      </c>
      <c r="D2613" t="s">
        <v>77</v>
      </c>
      <c r="E2613" t="s">
        <v>287</v>
      </c>
      <c r="F2613">
        <v>12000</v>
      </c>
      <c r="G2613" s="13">
        <v>45251</v>
      </c>
      <c r="H2613" s="13">
        <v>45617</v>
      </c>
      <c r="I2613">
        <v>5699</v>
      </c>
      <c r="J2613">
        <v>6301</v>
      </c>
      <c r="K2613">
        <v>12000</v>
      </c>
      <c r="N2613">
        <v>41.666666666666671</v>
      </c>
      <c r="O2613">
        <v>7.4397000000000002</v>
      </c>
      <c r="P2613">
        <v>113.83329999999999</v>
      </c>
      <c r="Q2613">
        <v>7</v>
      </c>
      <c r="R2613">
        <v>6</v>
      </c>
      <c r="S2613">
        <v>7</v>
      </c>
      <c r="T2613">
        <v>93.003868999999995</v>
      </c>
      <c r="W2613" t="s">
        <v>497</v>
      </c>
    </row>
    <row r="2614" spans="1:23" x14ac:dyDescent="0.25">
      <c r="A2614" t="s">
        <v>3059</v>
      </c>
      <c r="B2614" t="str">
        <f t="shared" si="41"/>
        <v>GA1200001921</v>
      </c>
      <c r="C2614" t="s">
        <v>227</v>
      </c>
      <c r="D2614" t="s">
        <v>77</v>
      </c>
      <c r="E2614" t="s">
        <v>82</v>
      </c>
      <c r="F2614">
        <v>9500</v>
      </c>
      <c r="G2614" s="13">
        <v>45252</v>
      </c>
      <c r="H2614" s="13">
        <v>45436</v>
      </c>
      <c r="I2614">
        <v>5930</v>
      </c>
      <c r="J2614">
        <v>3570</v>
      </c>
      <c r="K2614">
        <v>9500</v>
      </c>
      <c r="N2614">
        <v>33.333333333333329</v>
      </c>
      <c r="O2614">
        <v>6.6451000000000002</v>
      </c>
      <c r="P2614">
        <v>156.2842</v>
      </c>
      <c r="Q2614">
        <v>6.5</v>
      </c>
      <c r="R2614">
        <v>5.9</v>
      </c>
      <c r="S2614">
        <v>6.75</v>
      </c>
      <c r="T2614">
        <v>96.749724999999998</v>
      </c>
      <c r="W2614" t="s">
        <v>497</v>
      </c>
    </row>
    <row r="2615" spans="1:23" x14ac:dyDescent="0.25">
      <c r="A2615" t="s">
        <v>3060</v>
      </c>
      <c r="B2615" t="str">
        <f t="shared" si="41"/>
        <v>TD1200001741</v>
      </c>
      <c r="C2615" t="s">
        <v>237</v>
      </c>
      <c r="D2615" t="s">
        <v>77</v>
      </c>
      <c r="E2615" t="s">
        <v>82</v>
      </c>
      <c r="F2615">
        <v>10000</v>
      </c>
      <c r="G2615" s="13">
        <v>45252</v>
      </c>
      <c r="H2615" s="13">
        <v>45436</v>
      </c>
      <c r="I2615">
        <v>5500</v>
      </c>
      <c r="J2615">
        <v>4500</v>
      </c>
      <c r="K2615">
        <v>10000</v>
      </c>
      <c r="N2615">
        <v>25</v>
      </c>
      <c r="O2615">
        <v>6.7209000000000003</v>
      </c>
      <c r="P2615">
        <v>100.1</v>
      </c>
      <c r="Q2615">
        <v>6.5</v>
      </c>
      <c r="R2615">
        <v>6.5</v>
      </c>
      <c r="S2615">
        <v>7</v>
      </c>
      <c r="T2615">
        <v>96.713888999999995</v>
      </c>
      <c r="W2615" t="s">
        <v>497</v>
      </c>
    </row>
    <row r="2616" spans="1:23" x14ac:dyDescent="0.25">
      <c r="A2616" t="s">
        <v>3061</v>
      </c>
      <c r="B2616" t="str">
        <f t="shared" si="41"/>
        <v>CM1200001491</v>
      </c>
      <c r="C2616" t="s">
        <v>225</v>
      </c>
      <c r="D2616" t="s">
        <v>77</v>
      </c>
      <c r="E2616" t="s">
        <v>82</v>
      </c>
      <c r="F2616">
        <v>10000</v>
      </c>
      <c r="G2616" s="13">
        <v>45257</v>
      </c>
      <c r="H2616" s="13">
        <v>45441</v>
      </c>
      <c r="I2616">
        <v>3000</v>
      </c>
      <c r="J2616">
        <v>500</v>
      </c>
      <c r="K2616">
        <v>3500</v>
      </c>
      <c r="N2616">
        <v>19.047619047619047</v>
      </c>
      <c r="O2616">
        <v>5.9146000000000001</v>
      </c>
      <c r="P2616">
        <v>35.1</v>
      </c>
      <c r="Q2616">
        <v>6</v>
      </c>
      <c r="R2616">
        <v>5</v>
      </c>
      <c r="S2616">
        <v>7</v>
      </c>
      <c r="T2616">
        <v>97.096666999999997</v>
      </c>
      <c r="W2616" t="s">
        <v>497</v>
      </c>
    </row>
    <row r="2617" spans="1:23" x14ac:dyDescent="0.25">
      <c r="A2617" t="s">
        <v>3062</v>
      </c>
      <c r="B2617" t="str">
        <f t="shared" si="41"/>
        <v>CG1100000682</v>
      </c>
      <c r="C2617" t="s">
        <v>229</v>
      </c>
      <c r="D2617" t="s">
        <v>77</v>
      </c>
      <c r="E2617" t="s">
        <v>78</v>
      </c>
      <c r="F2617">
        <v>15000</v>
      </c>
      <c r="G2617" s="13">
        <v>45258</v>
      </c>
      <c r="H2617" s="13">
        <v>45351</v>
      </c>
      <c r="I2617">
        <v>2302</v>
      </c>
      <c r="J2617">
        <v>0</v>
      </c>
      <c r="K2617">
        <v>2302</v>
      </c>
      <c r="N2617">
        <v>12.5</v>
      </c>
      <c r="O2617">
        <v>6.4020000000000001</v>
      </c>
      <c r="P2617">
        <v>17.513300000000001</v>
      </c>
      <c r="Q2617">
        <v>6.3</v>
      </c>
      <c r="R2617">
        <v>6.3</v>
      </c>
      <c r="S2617">
        <v>7</v>
      </c>
      <c r="T2617">
        <v>98.407499999999999</v>
      </c>
      <c r="W2617" t="s">
        <v>497</v>
      </c>
    </row>
    <row r="2618" spans="1:23" x14ac:dyDescent="0.25">
      <c r="A2618" t="s">
        <v>3063</v>
      </c>
      <c r="B2618" t="str">
        <f t="shared" si="41"/>
        <v>CG1300000417</v>
      </c>
      <c r="C2618" t="s">
        <v>229</v>
      </c>
      <c r="D2618" t="s">
        <v>77</v>
      </c>
      <c r="E2618" t="s">
        <v>287</v>
      </c>
      <c r="F2618">
        <v>5000</v>
      </c>
      <c r="G2618" s="13">
        <v>45258</v>
      </c>
      <c r="H2618" s="13">
        <v>45624</v>
      </c>
      <c r="J2618">
        <v>0</v>
      </c>
      <c r="N2618">
        <v>0</v>
      </c>
      <c r="T2618" t="s">
        <v>1418</v>
      </c>
      <c r="W2618" t="s">
        <v>497</v>
      </c>
    </row>
    <row r="2619" spans="1:23" x14ac:dyDescent="0.25">
      <c r="A2619" t="s">
        <v>3064</v>
      </c>
      <c r="B2619" t="str">
        <f t="shared" si="41"/>
        <v>GQ1300001278</v>
      </c>
      <c r="C2619" t="s">
        <v>528</v>
      </c>
      <c r="D2619" t="s">
        <v>77</v>
      </c>
      <c r="E2619" t="s">
        <v>287</v>
      </c>
      <c r="F2619">
        <v>10000</v>
      </c>
      <c r="G2619" s="13">
        <v>45258</v>
      </c>
      <c r="H2619" s="13">
        <v>45624</v>
      </c>
      <c r="J2619">
        <v>1270</v>
      </c>
      <c r="K2619">
        <v>1270</v>
      </c>
      <c r="N2619">
        <v>23.076923076923077</v>
      </c>
      <c r="O2619">
        <v>6.7529000000000003</v>
      </c>
      <c r="P2619">
        <v>18.399999999999999</v>
      </c>
      <c r="Q2619">
        <v>6.4</v>
      </c>
      <c r="R2619">
        <v>6</v>
      </c>
      <c r="S2619">
        <v>6.5</v>
      </c>
      <c r="T2619">
        <v>93.608503999999996</v>
      </c>
      <c r="W2619" t="s">
        <v>497</v>
      </c>
    </row>
    <row r="2620" spans="1:23" x14ac:dyDescent="0.25">
      <c r="A2620" t="s">
        <v>3065</v>
      </c>
      <c r="B2620" t="str">
        <f t="shared" si="41"/>
        <v>GA1200001939</v>
      </c>
      <c r="C2620" t="s">
        <v>227</v>
      </c>
      <c r="D2620" t="s">
        <v>77</v>
      </c>
      <c r="E2620" t="s">
        <v>82</v>
      </c>
      <c r="F2620">
        <v>9500</v>
      </c>
      <c r="G2620" s="13">
        <v>45259</v>
      </c>
      <c r="H2620" s="13">
        <v>45443</v>
      </c>
      <c r="I2620">
        <v>495</v>
      </c>
      <c r="J2620">
        <v>1633</v>
      </c>
      <c r="K2620">
        <v>2128</v>
      </c>
      <c r="N2620">
        <v>23.809523809523807</v>
      </c>
      <c r="O2620">
        <v>6.6473000000000004</v>
      </c>
      <c r="P2620">
        <v>22.610499999999998</v>
      </c>
      <c r="Q2620">
        <v>6.5</v>
      </c>
      <c r="R2620">
        <v>6.2</v>
      </c>
      <c r="S2620">
        <v>6.7</v>
      </c>
      <c r="T2620">
        <v>96.748693000000003</v>
      </c>
      <c r="W2620" t="s">
        <v>497</v>
      </c>
    </row>
    <row r="2621" spans="1:23" x14ac:dyDescent="0.25">
      <c r="A2621" t="s">
        <v>3066</v>
      </c>
      <c r="B2621" t="str">
        <f t="shared" si="41"/>
        <v>GA1200001947</v>
      </c>
      <c r="C2621" t="s">
        <v>227</v>
      </c>
      <c r="D2621" t="s">
        <v>77</v>
      </c>
      <c r="E2621" t="s">
        <v>82</v>
      </c>
      <c r="F2621">
        <v>11000</v>
      </c>
      <c r="G2621" s="13">
        <v>45259</v>
      </c>
      <c r="H2621" s="13">
        <v>45443</v>
      </c>
      <c r="I2621">
        <v>9000</v>
      </c>
      <c r="J2621">
        <v>2000</v>
      </c>
      <c r="K2621">
        <v>11000</v>
      </c>
      <c r="N2621">
        <v>9.5238095238095237</v>
      </c>
      <c r="O2621">
        <v>6.4539</v>
      </c>
      <c r="P2621">
        <v>100</v>
      </c>
      <c r="Q2621">
        <v>6.25</v>
      </c>
      <c r="R2621">
        <v>6.25</v>
      </c>
      <c r="S2621">
        <v>6.25</v>
      </c>
      <c r="T2621">
        <v>96.840277999999998</v>
      </c>
      <c r="W2621" t="s">
        <v>497</v>
      </c>
    </row>
    <row r="2622" spans="1:23" x14ac:dyDescent="0.25">
      <c r="A2622" t="s">
        <v>3067</v>
      </c>
      <c r="B2622" t="str">
        <f t="shared" si="41"/>
        <v>GA1300000682</v>
      </c>
      <c r="C2622" t="s">
        <v>227</v>
      </c>
      <c r="D2622" t="s">
        <v>77</v>
      </c>
      <c r="E2622" t="s">
        <v>287</v>
      </c>
      <c r="F2622">
        <v>25000</v>
      </c>
      <c r="G2622" s="13">
        <v>45259</v>
      </c>
      <c r="H2622" s="13">
        <v>45625</v>
      </c>
      <c r="I2622">
        <v>18000</v>
      </c>
      <c r="J2622">
        <v>4000</v>
      </c>
      <c r="K2622">
        <v>22000</v>
      </c>
      <c r="N2622">
        <v>14.285714285714285</v>
      </c>
      <c r="O2622">
        <v>7.0719000000000003</v>
      </c>
      <c r="P2622">
        <v>88</v>
      </c>
      <c r="Q2622">
        <v>6.6</v>
      </c>
      <c r="R2622">
        <v>6.6</v>
      </c>
      <c r="S2622">
        <v>6.6</v>
      </c>
      <c r="T2622">
        <v>93.326667</v>
      </c>
      <c r="W2622" t="s">
        <v>497</v>
      </c>
    </row>
    <row r="2623" spans="1:23" x14ac:dyDescent="0.25">
      <c r="A2623" t="s">
        <v>3068</v>
      </c>
      <c r="B2623" t="str">
        <f t="shared" si="41"/>
        <v>TD1300000734</v>
      </c>
      <c r="C2623" t="s">
        <v>237</v>
      </c>
      <c r="D2623" t="s">
        <v>77</v>
      </c>
      <c r="E2623" t="s">
        <v>287</v>
      </c>
      <c r="F2623">
        <v>10000</v>
      </c>
      <c r="G2623" s="13">
        <v>45259</v>
      </c>
      <c r="H2623" s="13">
        <v>45625</v>
      </c>
      <c r="J2623">
        <v>0</v>
      </c>
      <c r="N2623">
        <v>0</v>
      </c>
      <c r="T2623" t="s">
        <v>1418</v>
      </c>
      <c r="W2623" t="s">
        <v>497</v>
      </c>
    </row>
    <row r="2624" spans="1:23" x14ac:dyDescent="0.25">
      <c r="A2624" t="s">
        <v>3069</v>
      </c>
      <c r="B2624" t="str">
        <f t="shared" si="41"/>
        <v>CM1200001509</v>
      </c>
      <c r="C2624" t="s">
        <v>225</v>
      </c>
      <c r="D2624" t="s">
        <v>77</v>
      </c>
      <c r="E2624" t="s">
        <v>82</v>
      </c>
      <c r="F2624">
        <v>45000</v>
      </c>
      <c r="G2624" s="13">
        <v>45264</v>
      </c>
      <c r="H2624" s="13">
        <v>45448</v>
      </c>
      <c r="I2624">
        <v>31388</v>
      </c>
      <c r="J2624">
        <v>0</v>
      </c>
      <c r="K2624">
        <v>31388</v>
      </c>
      <c r="N2624">
        <v>23.809523809523807</v>
      </c>
      <c r="O2624">
        <v>6.0858999999999996</v>
      </c>
      <c r="P2624">
        <v>69.773300000000006</v>
      </c>
      <c r="Q2624">
        <v>6</v>
      </c>
      <c r="R2624">
        <v>5.8</v>
      </c>
      <c r="S2624">
        <v>6.5</v>
      </c>
      <c r="T2624">
        <v>97.015083000000004</v>
      </c>
      <c r="W2624" t="s">
        <v>497</v>
      </c>
    </row>
    <row r="2625" spans="1:23" x14ac:dyDescent="0.25">
      <c r="A2625" t="s">
        <v>3070</v>
      </c>
      <c r="B2625" t="str">
        <f t="shared" si="41"/>
        <v>CM1300000658</v>
      </c>
      <c r="C2625" t="s">
        <v>225</v>
      </c>
      <c r="D2625" t="s">
        <v>77</v>
      </c>
      <c r="E2625" t="s">
        <v>287</v>
      </c>
      <c r="F2625">
        <v>15000</v>
      </c>
      <c r="G2625" s="13">
        <v>45264</v>
      </c>
      <c r="H2625" s="13">
        <v>45630</v>
      </c>
      <c r="I2625">
        <v>14000</v>
      </c>
      <c r="J2625">
        <v>750</v>
      </c>
      <c r="K2625">
        <v>14750</v>
      </c>
      <c r="N2625">
        <v>19.047619047619047</v>
      </c>
      <c r="O2625">
        <v>6.5761000000000003</v>
      </c>
      <c r="P2625">
        <v>98.4</v>
      </c>
      <c r="Q2625">
        <v>6.4</v>
      </c>
      <c r="R2625">
        <v>6.1</v>
      </c>
      <c r="S2625">
        <v>7</v>
      </c>
      <c r="T2625">
        <v>93.765386000000007</v>
      </c>
      <c r="W2625" t="s">
        <v>497</v>
      </c>
    </row>
    <row r="2626" spans="1:23" x14ac:dyDescent="0.25">
      <c r="A2626" t="s">
        <v>3071</v>
      </c>
      <c r="B2626" t="str">
        <f t="shared" si="41"/>
        <v>CG1100000690</v>
      </c>
      <c r="C2626" t="s">
        <v>229</v>
      </c>
      <c r="D2626" t="s">
        <v>77</v>
      </c>
      <c r="E2626" t="s">
        <v>78</v>
      </c>
      <c r="F2626">
        <v>15000</v>
      </c>
      <c r="G2626" s="13">
        <v>45265</v>
      </c>
      <c r="H2626" s="13">
        <v>45358</v>
      </c>
      <c r="I2626">
        <v>5457</v>
      </c>
      <c r="J2626">
        <v>6651</v>
      </c>
      <c r="K2626">
        <v>12108</v>
      </c>
      <c r="N2626">
        <v>50</v>
      </c>
      <c r="O2626">
        <v>6.3209999999999997</v>
      </c>
      <c r="P2626">
        <v>80.78</v>
      </c>
      <c r="Q2626">
        <v>6.5</v>
      </c>
      <c r="R2626">
        <v>5.95</v>
      </c>
      <c r="S2626">
        <v>7</v>
      </c>
      <c r="T2626">
        <v>98.427319999999995</v>
      </c>
      <c r="W2626" t="s">
        <v>497</v>
      </c>
    </row>
    <row r="2627" spans="1:23" x14ac:dyDescent="0.25">
      <c r="A2627" t="s">
        <v>3072</v>
      </c>
      <c r="B2627" t="str">
        <f t="shared" si="41"/>
        <v>GA1200001954</v>
      </c>
      <c r="C2627" t="s">
        <v>227</v>
      </c>
      <c r="D2627" t="s">
        <v>77</v>
      </c>
      <c r="E2627" t="s">
        <v>82</v>
      </c>
      <c r="F2627">
        <v>9500</v>
      </c>
      <c r="G2627" s="13">
        <v>45266</v>
      </c>
      <c r="H2627" s="13">
        <v>45450</v>
      </c>
      <c r="J2627">
        <v>0</v>
      </c>
      <c r="N2627">
        <v>0</v>
      </c>
      <c r="T2627" t="s">
        <v>1418</v>
      </c>
      <c r="W2627" t="s">
        <v>497</v>
      </c>
    </row>
    <row r="2628" spans="1:23" x14ac:dyDescent="0.25">
      <c r="A2628" t="s">
        <v>3073</v>
      </c>
      <c r="B2628" t="str">
        <f t="shared" si="41"/>
        <v>CM1200001517</v>
      </c>
      <c r="C2628" t="s">
        <v>225</v>
      </c>
      <c r="D2628" t="s">
        <v>77</v>
      </c>
      <c r="E2628" t="s">
        <v>82</v>
      </c>
      <c r="F2628">
        <v>20000</v>
      </c>
      <c r="G2628" s="13">
        <v>45271</v>
      </c>
      <c r="H2628" s="13">
        <v>45455</v>
      </c>
      <c r="I2628">
        <v>8000</v>
      </c>
      <c r="J2628">
        <v>1000</v>
      </c>
      <c r="K2628">
        <v>9000</v>
      </c>
      <c r="N2628">
        <v>14.285714285714285</v>
      </c>
      <c r="O2628">
        <v>6.1109</v>
      </c>
      <c r="P2628">
        <v>45</v>
      </c>
      <c r="Q2628">
        <v>6</v>
      </c>
      <c r="R2628">
        <v>5.85</v>
      </c>
      <c r="S2628">
        <v>6</v>
      </c>
      <c r="T2628">
        <v>97.003179000000003</v>
      </c>
      <c r="W2628" t="s">
        <v>497</v>
      </c>
    </row>
    <row r="2629" spans="1:23" x14ac:dyDescent="0.25">
      <c r="A2629" t="s">
        <v>3074</v>
      </c>
      <c r="B2629" t="str">
        <f t="shared" si="41"/>
        <v>CG1100000708</v>
      </c>
      <c r="C2629" t="s">
        <v>229</v>
      </c>
      <c r="D2629" t="s">
        <v>77</v>
      </c>
      <c r="E2629" t="s">
        <v>78</v>
      </c>
      <c r="F2629">
        <v>35000</v>
      </c>
      <c r="G2629" s="13">
        <v>45272</v>
      </c>
      <c r="H2629" s="13">
        <v>45365</v>
      </c>
      <c r="I2629">
        <v>16200</v>
      </c>
      <c r="J2629">
        <v>10800</v>
      </c>
      <c r="K2629">
        <v>27000</v>
      </c>
      <c r="N2629">
        <v>25</v>
      </c>
      <c r="O2629">
        <v>6.2232000000000003</v>
      </c>
      <c r="P2629">
        <v>77.142899999999997</v>
      </c>
      <c r="Q2629">
        <v>6.25</v>
      </c>
      <c r="R2629">
        <v>6</v>
      </c>
      <c r="S2629">
        <v>6.25</v>
      </c>
      <c r="T2629">
        <v>98.451267999999999</v>
      </c>
      <c r="W2629" t="s">
        <v>497</v>
      </c>
    </row>
    <row r="2630" spans="1:23" x14ac:dyDescent="0.25">
      <c r="A2630" t="s">
        <v>3075</v>
      </c>
      <c r="B2630" t="str">
        <f t="shared" si="41"/>
        <v>CG1200001135</v>
      </c>
      <c r="C2630" t="s">
        <v>229</v>
      </c>
      <c r="D2630" t="s">
        <v>77</v>
      </c>
      <c r="E2630" t="s">
        <v>82</v>
      </c>
      <c r="F2630">
        <v>15000</v>
      </c>
      <c r="G2630" s="13">
        <v>45272</v>
      </c>
      <c r="H2630" s="13">
        <v>45456</v>
      </c>
      <c r="I2630">
        <v>600</v>
      </c>
      <c r="J2630">
        <v>8047</v>
      </c>
      <c r="K2630">
        <v>8647</v>
      </c>
      <c r="N2630">
        <v>25</v>
      </c>
      <c r="O2630">
        <v>6.6977000000000002</v>
      </c>
      <c r="P2630">
        <v>57.726700000000001</v>
      </c>
      <c r="Q2630">
        <v>6.5</v>
      </c>
      <c r="R2630">
        <v>6.25</v>
      </c>
      <c r="S2630">
        <v>7</v>
      </c>
      <c r="T2630">
        <v>96.724851000000001</v>
      </c>
      <c r="W2630" t="s">
        <v>497</v>
      </c>
    </row>
    <row r="2631" spans="1:23" x14ac:dyDescent="0.25">
      <c r="A2631" t="s">
        <v>3076</v>
      </c>
      <c r="B2631" t="str">
        <f t="shared" si="41"/>
        <v>CG1300000425</v>
      </c>
      <c r="C2631" t="s">
        <v>229</v>
      </c>
      <c r="D2631" t="s">
        <v>77</v>
      </c>
      <c r="E2631" t="s">
        <v>287</v>
      </c>
      <c r="F2631">
        <v>10000</v>
      </c>
      <c r="G2631" s="13">
        <v>45272</v>
      </c>
      <c r="H2631" s="13">
        <v>45638</v>
      </c>
      <c r="I2631">
        <v>0</v>
      </c>
      <c r="J2631">
        <v>8227</v>
      </c>
      <c r="K2631">
        <v>8227</v>
      </c>
      <c r="N2631">
        <v>20.833333333333336</v>
      </c>
      <c r="O2631">
        <v>7.2224000000000004</v>
      </c>
      <c r="P2631">
        <v>85.47</v>
      </c>
      <c r="Q2631">
        <v>6.75</v>
      </c>
      <c r="R2631">
        <v>6.5</v>
      </c>
      <c r="S2631">
        <v>7</v>
      </c>
      <c r="T2631">
        <v>93.194356999999997</v>
      </c>
      <c r="W2631" t="s">
        <v>497</v>
      </c>
    </row>
    <row r="2632" spans="1:23" x14ac:dyDescent="0.25">
      <c r="A2632" t="s">
        <v>3077</v>
      </c>
      <c r="B2632" t="str">
        <f t="shared" si="41"/>
        <v>GA1100001781</v>
      </c>
      <c r="C2632" t="s">
        <v>227</v>
      </c>
      <c r="D2632" t="s">
        <v>77</v>
      </c>
      <c r="E2632" t="s">
        <v>78</v>
      </c>
      <c r="F2632">
        <v>8500</v>
      </c>
      <c r="G2632" s="13">
        <v>45273</v>
      </c>
      <c r="H2632" s="13">
        <v>45366</v>
      </c>
      <c r="J2632">
        <v>0</v>
      </c>
      <c r="N2632">
        <v>0</v>
      </c>
      <c r="T2632" t="s">
        <v>1418</v>
      </c>
      <c r="W2632" t="s">
        <v>497</v>
      </c>
    </row>
    <row r="2633" spans="1:23" x14ac:dyDescent="0.25">
      <c r="A2633" t="s">
        <v>3078</v>
      </c>
      <c r="B2633" t="str">
        <f t="shared" si="41"/>
        <v>TD1200001758</v>
      </c>
      <c r="C2633" t="s">
        <v>237</v>
      </c>
      <c r="D2633" t="s">
        <v>77</v>
      </c>
      <c r="E2633" t="s">
        <v>82</v>
      </c>
      <c r="F2633">
        <v>10000</v>
      </c>
      <c r="G2633" s="13">
        <v>45273</v>
      </c>
      <c r="H2633" s="13">
        <v>45457</v>
      </c>
      <c r="I2633">
        <v>2700</v>
      </c>
      <c r="J2633">
        <v>7300</v>
      </c>
      <c r="K2633">
        <v>10000</v>
      </c>
      <c r="N2633">
        <v>25</v>
      </c>
      <c r="O2633">
        <v>6.9431000000000003</v>
      </c>
      <c r="P2633">
        <v>107.7</v>
      </c>
      <c r="Q2633">
        <v>6.75</v>
      </c>
      <c r="R2633">
        <v>6.4</v>
      </c>
      <c r="S2633">
        <v>6.75</v>
      </c>
      <c r="T2633">
        <v>96.608909999999995</v>
      </c>
      <c r="W2633" t="s">
        <v>497</v>
      </c>
    </row>
    <row r="2634" spans="1:23" x14ac:dyDescent="0.25">
      <c r="A2634" t="s">
        <v>3079</v>
      </c>
      <c r="B2634" t="str">
        <f t="shared" si="41"/>
        <v>CM1200001525</v>
      </c>
      <c r="C2634" t="s">
        <v>225</v>
      </c>
      <c r="D2634" t="s">
        <v>77</v>
      </c>
      <c r="E2634" t="s">
        <v>82</v>
      </c>
      <c r="F2634">
        <v>60000</v>
      </c>
      <c r="G2634" s="13">
        <v>45278</v>
      </c>
      <c r="H2634" s="13">
        <v>45462</v>
      </c>
      <c r="I2634">
        <v>50889</v>
      </c>
      <c r="J2634">
        <v>3000</v>
      </c>
      <c r="K2634">
        <v>53889</v>
      </c>
      <c r="N2634">
        <v>40.909090909090914</v>
      </c>
      <c r="O2634">
        <v>6.3830999999999998</v>
      </c>
      <c r="P2634">
        <v>89.814999999999998</v>
      </c>
      <c r="Q2634">
        <v>7</v>
      </c>
      <c r="R2634">
        <v>5.9</v>
      </c>
      <c r="S2634">
        <v>7</v>
      </c>
      <c r="T2634">
        <v>96.873851999999999</v>
      </c>
      <c r="W2634" t="s">
        <v>497</v>
      </c>
    </row>
    <row r="2635" spans="1:23" x14ac:dyDescent="0.25">
      <c r="A2635" t="s">
        <v>3080</v>
      </c>
      <c r="B2635" t="str">
        <f t="shared" si="41"/>
        <v>CM1300000666</v>
      </c>
      <c r="C2635" t="s">
        <v>225</v>
      </c>
      <c r="D2635" t="s">
        <v>77</v>
      </c>
      <c r="E2635" t="s">
        <v>287</v>
      </c>
      <c r="F2635">
        <v>30000</v>
      </c>
      <c r="G2635" s="13">
        <v>45278</v>
      </c>
      <c r="H2635" s="13">
        <v>45644</v>
      </c>
      <c r="I2635">
        <v>28625</v>
      </c>
      <c r="J2635">
        <v>0</v>
      </c>
      <c r="K2635">
        <v>28625</v>
      </c>
      <c r="N2635">
        <v>22.727272727272727</v>
      </c>
      <c r="O2635">
        <v>7.1577999999999999</v>
      </c>
      <c r="P2635">
        <v>95.416700000000006</v>
      </c>
      <c r="Q2635">
        <v>7</v>
      </c>
      <c r="R2635">
        <v>6.4</v>
      </c>
      <c r="S2635">
        <v>7</v>
      </c>
      <c r="T2635">
        <v>93.251147000000003</v>
      </c>
      <c r="W2635" t="s">
        <v>497</v>
      </c>
    </row>
    <row r="2636" spans="1:23" x14ac:dyDescent="0.25">
      <c r="A2636" t="s">
        <v>3081</v>
      </c>
      <c r="B2636" t="str">
        <f t="shared" si="41"/>
        <v>CG1100000716</v>
      </c>
      <c r="C2636" t="s">
        <v>229</v>
      </c>
      <c r="D2636" t="s">
        <v>77</v>
      </c>
      <c r="E2636" t="s">
        <v>78</v>
      </c>
      <c r="F2636">
        <v>11000</v>
      </c>
      <c r="G2636" s="13">
        <v>45279</v>
      </c>
      <c r="H2636" s="13">
        <v>45372</v>
      </c>
      <c r="I2636">
        <v>2007</v>
      </c>
      <c r="J2636">
        <v>8119</v>
      </c>
      <c r="K2636">
        <v>10126</v>
      </c>
      <c r="N2636">
        <v>25</v>
      </c>
      <c r="O2636">
        <v>6.4419000000000004</v>
      </c>
      <c r="P2636">
        <v>92.054500000000004</v>
      </c>
      <c r="Q2636">
        <v>6.5</v>
      </c>
      <c r="R2636">
        <v>6</v>
      </c>
      <c r="S2636">
        <v>6.5</v>
      </c>
      <c r="T2636">
        <v>98.397718999999995</v>
      </c>
      <c r="W2636" t="s">
        <v>497</v>
      </c>
    </row>
    <row r="2637" spans="1:23" x14ac:dyDescent="0.25">
      <c r="A2637" t="s">
        <v>3082</v>
      </c>
      <c r="B2637" t="str">
        <f t="shared" si="41"/>
        <v>CG1200001135</v>
      </c>
      <c r="C2637" t="s">
        <v>229</v>
      </c>
      <c r="D2637" t="s">
        <v>77</v>
      </c>
      <c r="E2637" t="s">
        <v>82</v>
      </c>
      <c r="F2637">
        <v>7000</v>
      </c>
      <c r="G2637" s="13">
        <v>45279</v>
      </c>
      <c r="H2637" s="13">
        <v>45456</v>
      </c>
      <c r="I2637">
        <v>0</v>
      </c>
      <c r="J2637">
        <v>7000</v>
      </c>
      <c r="K2637">
        <v>7000</v>
      </c>
      <c r="N2637">
        <v>25</v>
      </c>
      <c r="O2637">
        <v>6.6807999999999996</v>
      </c>
      <c r="P2637">
        <v>108.7286</v>
      </c>
      <c r="Q2637">
        <v>6.5</v>
      </c>
      <c r="R2637">
        <v>6</v>
      </c>
      <c r="S2637">
        <v>6.5</v>
      </c>
      <c r="T2637">
        <v>96.854549000000006</v>
      </c>
      <c r="W2637" t="s">
        <v>497</v>
      </c>
    </row>
    <row r="2638" spans="1:23" x14ac:dyDescent="0.25">
      <c r="A2638" t="s">
        <v>3083</v>
      </c>
      <c r="B2638" t="str">
        <f t="shared" si="41"/>
        <v>CG1300000433</v>
      </c>
      <c r="C2638" t="s">
        <v>229</v>
      </c>
      <c r="D2638" t="s">
        <v>77</v>
      </c>
      <c r="E2638" t="s">
        <v>287</v>
      </c>
      <c r="F2638">
        <v>20000</v>
      </c>
      <c r="G2638" s="13">
        <v>45279</v>
      </c>
      <c r="H2638" s="13">
        <v>45645</v>
      </c>
      <c r="I2638">
        <v>10000</v>
      </c>
      <c r="J2638">
        <v>77</v>
      </c>
      <c r="K2638">
        <v>10077</v>
      </c>
      <c r="N2638">
        <v>12.5</v>
      </c>
      <c r="O2638">
        <v>7.5312999999999999</v>
      </c>
      <c r="P2638">
        <v>50.384999999999998</v>
      </c>
      <c r="Q2638">
        <v>7</v>
      </c>
      <c r="R2638">
        <v>6.75</v>
      </c>
      <c r="S2638">
        <v>7</v>
      </c>
      <c r="T2638">
        <v>92.923902999999996</v>
      </c>
      <c r="W2638" t="s">
        <v>497</v>
      </c>
    </row>
    <row r="2639" spans="1:23" x14ac:dyDescent="0.25">
      <c r="A2639" t="s">
        <v>3084</v>
      </c>
      <c r="B2639" t="str">
        <f t="shared" si="41"/>
        <v>GA1200001962</v>
      </c>
      <c r="C2639" t="s">
        <v>227</v>
      </c>
      <c r="D2639" t="s">
        <v>77</v>
      </c>
      <c r="E2639" t="s">
        <v>82</v>
      </c>
      <c r="F2639">
        <v>7500</v>
      </c>
      <c r="G2639" s="13">
        <v>45280</v>
      </c>
      <c r="H2639" s="13">
        <v>45464</v>
      </c>
      <c r="I2639">
        <v>455</v>
      </c>
      <c r="J2639">
        <v>3000</v>
      </c>
      <c r="K2639">
        <v>3455</v>
      </c>
      <c r="N2639">
        <v>9.5238095238095237</v>
      </c>
      <c r="O2639">
        <v>6.6662999999999997</v>
      </c>
      <c r="P2639">
        <v>46.066699999999997</v>
      </c>
      <c r="Q2639">
        <v>6.5</v>
      </c>
      <c r="R2639">
        <v>5.7</v>
      </c>
      <c r="S2639">
        <v>6.5</v>
      </c>
      <c r="T2639">
        <v>96.739715000000004</v>
      </c>
      <c r="W2639" t="s">
        <v>497</v>
      </c>
    </row>
    <row r="2640" spans="1:23" x14ac:dyDescent="0.25">
      <c r="A2640" t="s">
        <v>3085</v>
      </c>
      <c r="B2640" t="str">
        <f t="shared" si="41"/>
        <v>GQ1300001286</v>
      </c>
      <c r="C2640" t="s">
        <v>528</v>
      </c>
      <c r="D2640" t="s">
        <v>77</v>
      </c>
      <c r="E2640" t="s">
        <v>287</v>
      </c>
      <c r="F2640">
        <v>15000</v>
      </c>
      <c r="G2640" s="13">
        <v>45279</v>
      </c>
      <c r="H2640" s="13">
        <v>45645</v>
      </c>
      <c r="N2640">
        <v>0</v>
      </c>
      <c r="T2640" t="s">
        <v>3086</v>
      </c>
      <c r="W2640" t="s">
        <v>497</v>
      </c>
    </row>
    <row r="2641" spans="1:23" x14ac:dyDescent="0.25">
      <c r="A2641" t="s">
        <v>3087</v>
      </c>
      <c r="B2641" t="str">
        <f t="shared" si="41"/>
        <v>TD1200001766</v>
      </c>
      <c r="C2641" t="s">
        <v>237</v>
      </c>
      <c r="D2641" t="s">
        <v>77</v>
      </c>
      <c r="E2641" t="s">
        <v>82</v>
      </c>
      <c r="F2641">
        <v>15000</v>
      </c>
      <c r="G2641" s="13">
        <v>45280</v>
      </c>
      <c r="H2641" s="13">
        <v>45464</v>
      </c>
      <c r="I2641">
        <v>11920</v>
      </c>
      <c r="J2641">
        <v>0</v>
      </c>
      <c r="K2641">
        <v>11920</v>
      </c>
      <c r="N2641">
        <v>8.3333333333333321</v>
      </c>
      <c r="O2641">
        <v>6.7209000000000003</v>
      </c>
      <c r="P2641">
        <v>79.466700000000003</v>
      </c>
      <c r="Q2641">
        <v>6.5</v>
      </c>
      <c r="R2641">
        <v>6.5</v>
      </c>
      <c r="S2641">
        <v>6.5</v>
      </c>
      <c r="T2641">
        <v>96.713888999999995</v>
      </c>
      <c r="W2641" t="s">
        <v>497</v>
      </c>
    </row>
    <row r="2642" spans="1:23" x14ac:dyDescent="0.25">
      <c r="A2642" t="s">
        <v>3088</v>
      </c>
      <c r="B2642" t="str">
        <f t="shared" si="41"/>
        <v>CG1100000724</v>
      </c>
      <c r="C2642" t="s">
        <v>229</v>
      </c>
      <c r="D2642" t="s">
        <v>77</v>
      </c>
      <c r="E2642" t="s">
        <v>78</v>
      </c>
      <c r="F2642">
        <v>15000</v>
      </c>
      <c r="G2642" s="13">
        <v>45286</v>
      </c>
      <c r="H2642" s="13">
        <v>45379</v>
      </c>
      <c r="I2642">
        <v>0</v>
      </c>
      <c r="J2642">
        <v>15000</v>
      </c>
      <c r="K2642">
        <v>15000</v>
      </c>
      <c r="N2642">
        <v>16.666666666666664</v>
      </c>
      <c r="O2642">
        <v>6.5229999999999997</v>
      </c>
      <c r="P2642">
        <v>121.41330000000001</v>
      </c>
      <c r="Q2642">
        <v>6.5</v>
      </c>
      <c r="R2642">
        <v>6.3</v>
      </c>
      <c r="S2642">
        <v>6.5</v>
      </c>
      <c r="T2642">
        <v>98.377881000000002</v>
      </c>
      <c r="W2642" t="s">
        <v>497</v>
      </c>
    </row>
    <row r="2643" spans="1:23" x14ac:dyDescent="0.25">
      <c r="A2643" t="s">
        <v>3089</v>
      </c>
      <c r="B2643" t="str">
        <f t="shared" si="41"/>
        <v>CG1200001143</v>
      </c>
      <c r="C2643" t="s">
        <v>229</v>
      </c>
      <c r="D2643" t="s">
        <v>77</v>
      </c>
      <c r="E2643" t="s">
        <v>82</v>
      </c>
      <c r="F2643">
        <v>15000</v>
      </c>
      <c r="G2643" s="13">
        <v>45286</v>
      </c>
      <c r="H2643" s="13">
        <v>45470</v>
      </c>
      <c r="I2643">
        <v>1000</v>
      </c>
      <c r="J2643">
        <v>3010</v>
      </c>
      <c r="K2643">
        <v>4010</v>
      </c>
      <c r="N2643">
        <v>12.5</v>
      </c>
      <c r="O2643">
        <v>6.9210000000000003</v>
      </c>
      <c r="P2643">
        <v>26.7333</v>
      </c>
      <c r="Q2643">
        <v>6.75</v>
      </c>
      <c r="R2643">
        <v>6.5</v>
      </c>
      <c r="S2643">
        <v>6.75</v>
      </c>
      <c r="T2643">
        <v>96.619333999999995</v>
      </c>
      <c r="W2643" t="s">
        <v>497</v>
      </c>
    </row>
    <row r="2644" spans="1:23" x14ac:dyDescent="0.25">
      <c r="A2644" t="s">
        <v>3090</v>
      </c>
      <c r="B2644" t="str">
        <f t="shared" si="41"/>
        <v>CG1300000441</v>
      </c>
      <c r="C2644" t="s">
        <v>229</v>
      </c>
      <c r="D2644" t="s">
        <v>77</v>
      </c>
      <c r="E2644" t="s">
        <v>287</v>
      </c>
      <c r="F2644">
        <v>10000</v>
      </c>
      <c r="G2644" s="13">
        <v>45286</v>
      </c>
      <c r="H2644" s="13">
        <v>45652</v>
      </c>
      <c r="I2644">
        <v>0</v>
      </c>
      <c r="J2644">
        <v>5402</v>
      </c>
      <c r="K2644">
        <v>5402</v>
      </c>
      <c r="N2644">
        <v>12.5</v>
      </c>
      <c r="O2644">
        <v>7.5148000000000001</v>
      </c>
      <c r="P2644">
        <v>54.02</v>
      </c>
      <c r="Q2644">
        <v>7</v>
      </c>
      <c r="R2644">
        <v>6.75</v>
      </c>
      <c r="S2644">
        <v>7</v>
      </c>
      <c r="T2644">
        <v>92.938271999999998</v>
      </c>
      <c r="W2644" t="s">
        <v>497</v>
      </c>
    </row>
    <row r="2645" spans="1:23" x14ac:dyDescent="0.25">
      <c r="A2645" t="s">
        <v>3091</v>
      </c>
      <c r="B2645" t="str">
        <f t="shared" si="41"/>
        <v>GA1200001970</v>
      </c>
      <c r="C2645" t="s">
        <v>227</v>
      </c>
      <c r="D2645" t="s">
        <v>77</v>
      </c>
      <c r="E2645" t="s">
        <v>82</v>
      </c>
      <c r="F2645">
        <v>9000</v>
      </c>
      <c r="G2645" s="13">
        <v>45287</v>
      </c>
      <c r="H2645" s="13">
        <v>45471</v>
      </c>
      <c r="J2645">
        <v>4000</v>
      </c>
      <c r="K2645">
        <v>4000</v>
      </c>
      <c r="N2645">
        <v>9.5238095238095237</v>
      </c>
      <c r="O2645">
        <v>6.7209000000000003</v>
      </c>
      <c r="P2645">
        <v>66.666700000000006</v>
      </c>
      <c r="Q2645">
        <v>6.5</v>
      </c>
      <c r="R2645">
        <v>6.5</v>
      </c>
      <c r="S2645">
        <v>6.75</v>
      </c>
      <c r="T2645">
        <v>96.713888999999995</v>
      </c>
      <c r="W2645" t="s">
        <v>497</v>
      </c>
    </row>
    <row r="2646" spans="1:23" x14ac:dyDescent="0.25">
      <c r="A2646" t="s">
        <v>3092</v>
      </c>
      <c r="B2646" t="str">
        <f t="shared" si="41"/>
        <v>GQ1300001294</v>
      </c>
      <c r="C2646" t="s">
        <v>528</v>
      </c>
      <c r="D2646" t="s">
        <v>77</v>
      </c>
      <c r="E2646" t="s">
        <v>287</v>
      </c>
      <c r="F2646">
        <v>20000</v>
      </c>
      <c r="G2646" s="13">
        <v>45286</v>
      </c>
      <c r="H2646" s="13">
        <v>45652</v>
      </c>
      <c r="J2646">
        <v>0</v>
      </c>
      <c r="N2646">
        <v>0</v>
      </c>
      <c r="T2646" t="s">
        <v>1418</v>
      </c>
      <c r="W2646" t="s">
        <v>497</v>
      </c>
    </row>
    <row r="2647" spans="1:23" x14ac:dyDescent="0.25">
      <c r="A2647" t="s">
        <v>3093</v>
      </c>
      <c r="B2647" t="str">
        <f t="shared" si="41"/>
        <v>TD1200001774</v>
      </c>
      <c r="C2647" t="s">
        <v>237</v>
      </c>
      <c r="D2647" t="s">
        <v>77</v>
      </c>
      <c r="E2647" t="s">
        <v>82</v>
      </c>
      <c r="F2647">
        <v>10000</v>
      </c>
      <c r="G2647" s="13">
        <v>45287</v>
      </c>
      <c r="H2647" s="13">
        <v>45471</v>
      </c>
      <c r="J2647">
        <v>5021</v>
      </c>
      <c r="K2647">
        <v>5021</v>
      </c>
      <c r="N2647">
        <v>25</v>
      </c>
      <c r="O2647">
        <v>6.9858000000000002</v>
      </c>
      <c r="P2647">
        <v>50.21</v>
      </c>
      <c r="Q2647">
        <v>6.75</v>
      </c>
      <c r="R2647">
        <v>6</v>
      </c>
      <c r="S2647">
        <v>6.75</v>
      </c>
      <c r="T2647">
        <v>96.588784000000004</v>
      </c>
      <c r="W2647" t="s">
        <v>497</v>
      </c>
    </row>
    <row r="2648" spans="1:23" x14ac:dyDescent="0.25">
      <c r="A2648" t="s">
        <v>3094</v>
      </c>
      <c r="B2648" t="str">
        <f t="shared" si="41"/>
        <v>CM1100001088</v>
      </c>
      <c r="C2648" t="s">
        <v>225</v>
      </c>
      <c r="D2648" t="s">
        <v>77</v>
      </c>
      <c r="E2648" t="s">
        <v>78</v>
      </c>
      <c r="F2648">
        <v>25000</v>
      </c>
      <c r="G2648" s="13">
        <v>45292</v>
      </c>
      <c r="H2648" s="13">
        <v>45385</v>
      </c>
      <c r="I2648">
        <v>25000</v>
      </c>
      <c r="J2648">
        <v>0</v>
      </c>
      <c r="K2648">
        <v>25000</v>
      </c>
      <c r="N2648">
        <v>9.0909090909090917</v>
      </c>
      <c r="O2648">
        <v>5.9893000000000001</v>
      </c>
      <c r="P2648">
        <v>108</v>
      </c>
      <c r="Q2648">
        <v>5.9</v>
      </c>
      <c r="R2648">
        <v>5.9</v>
      </c>
      <c r="S2648">
        <v>6</v>
      </c>
      <c r="T2648">
        <v>98.508611000000002</v>
      </c>
      <c r="W2648" t="s">
        <v>497</v>
      </c>
    </row>
    <row r="2649" spans="1:23" x14ac:dyDescent="0.25">
      <c r="A2649" t="s">
        <v>3095</v>
      </c>
      <c r="B2649" t="str">
        <f t="shared" si="41"/>
        <v>CM1200001533</v>
      </c>
      <c r="C2649" t="s">
        <v>225</v>
      </c>
      <c r="D2649" t="s">
        <v>77</v>
      </c>
      <c r="E2649" t="s">
        <v>82</v>
      </c>
      <c r="F2649">
        <v>20000</v>
      </c>
      <c r="G2649" s="13">
        <v>45292</v>
      </c>
      <c r="H2649" s="13">
        <v>45476</v>
      </c>
      <c r="I2649">
        <v>8500</v>
      </c>
      <c r="J2649">
        <v>2000</v>
      </c>
      <c r="K2649">
        <v>10500</v>
      </c>
      <c r="N2649">
        <v>18.181818181818183</v>
      </c>
      <c r="O2649">
        <v>6.4539</v>
      </c>
      <c r="P2649">
        <v>102.55</v>
      </c>
      <c r="Q2649">
        <v>6.25</v>
      </c>
      <c r="R2649">
        <v>6.25</v>
      </c>
      <c r="S2649">
        <v>7</v>
      </c>
      <c r="T2649">
        <v>96.840277999999998</v>
      </c>
      <c r="W2649" t="s">
        <v>497</v>
      </c>
    </row>
    <row r="2650" spans="1:23" x14ac:dyDescent="0.25">
      <c r="A2650" t="s">
        <v>3096</v>
      </c>
      <c r="B2650" t="str">
        <f t="shared" si="41"/>
        <v>CM1300000674</v>
      </c>
      <c r="C2650" t="s">
        <v>225</v>
      </c>
      <c r="D2650" t="s">
        <v>77</v>
      </c>
      <c r="E2650" t="s">
        <v>287</v>
      </c>
      <c r="F2650">
        <v>20000</v>
      </c>
      <c r="G2650" s="13">
        <v>45292</v>
      </c>
      <c r="H2650" s="13">
        <v>45658</v>
      </c>
      <c r="I2650">
        <v>6000</v>
      </c>
      <c r="J2650">
        <v>0</v>
      </c>
      <c r="K2650">
        <v>6000</v>
      </c>
      <c r="N2650">
        <v>13.636363636363635</v>
      </c>
      <c r="O2650">
        <v>6.9572000000000003</v>
      </c>
      <c r="P2650">
        <v>45.05</v>
      </c>
      <c r="Q2650">
        <v>6.5</v>
      </c>
      <c r="R2650">
        <v>6.5</v>
      </c>
      <c r="S2650">
        <v>7.5</v>
      </c>
      <c r="T2650">
        <v>93.427778000000004</v>
      </c>
      <c r="W2650" t="s">
        <v>497</v>
      </c>
    </row>
    <row r="2651" spans="1:23" x14ac:dyDescent="0.25">
      <c r="A2651" t="s">
        <v>3097</v>
      </c>
      <c r="B2651" t="str">
        <f t="shared" ref="B2651:B2714" si="42">MID(A2651,1,12)</f>
        <v>CG1200001150</v>
      </c>
      <c r="C2651" t="s">
        <v>229</v>
      </c>
      <c r="D2651" t="s">
        <v>77</v>
      </c>
      <c r="E2651" t="s">
        <v>82</v>
      </c>
      <c r="F2651">
        <v>15000</v>
      </c>
      <c r="G2651" s="13">
        <v>45293</v>
      </c>
      <c r="H2651" s="13">
        <v>45477</v>
      </c>
      <c r="I2651">
        <v>0</v>
      </c>
      <c r="J2651">
        <v>12050</v>
      </c>
      <c r="K2651">
        <v>12050</v>
      </c>
      <c r="N2651">
        <v>8.3333333333333321</v>
      </c>
      <c r="O2651">
        <v>6.7209000000000003</v>
      </c>
      <c r="P2651">
        <v>80.333299999999994</v>
      </c>
      <c r="Q2651">
        <v>6.5</v>
      </c>
      <c r="R2651">
        <v>6.5</v>
      </c>
      <c r="S2651">
        <v>6.5</v>
      </c>
      <c r="T2651">
        <v>96.713888999999995</v>
      </c>
      <c r="W2651" t="s">
        <v>497</v>
      </c>
    </row>
    <row r="2652" spans="1:23" x14ac:dyDescent="0.25">
      <c r="A2652" t="s">
        <v>3098</v>
      </c>
      <c r="B2652" t="str">
        <f t="shared" si="42"/>
        <v>GA1100001799</v>
      </c>
      <c r="C2652" t="s">
        <v>227</v>
      </c>
      <c r="D2652" t="s">
        <v>77</v>
      </c>
      <c r="E2652" t="s">
        <v>78</v>
      </c>
      <c r="F2652">
        <v>10000</v>
      </c>
      <c r="G2652" s="13">
        <v>45294</v>
      </c>
      <c r="H2652" s="13">
        <v>45387</v>
      </c>
      <c r="I2652">
        <v>1500</v>
      </c>
      <c r="J2652">
        <v>3022</v>
      </c>
      <c r="K2652">
        <v>4522</v>
      </c>
      <c r="N2652">
        <v>23.809523809523807</v>
      </c>
      <c r="O2652">
        <v>6.1265999999999998</v>
      </c>
      <c r="P2652">
        <v>47.22</v>
      </c>
      <c r="Q2652">
        <v>6.1</v>
      </c>
      <c r="R2652">
        <v>6</v>
      </c>
      <c r="S2652">
        <v>6.5</v>
      </c>
      <c r="T2652">
        <v>98.474947999999998</v>
      </c>
      <c r="W2652" t="s">
        <v>497</v>
      </c>
    </row>
    <row r="2653" spans="1:23" x14ac:dyDescent="0.25">
      <c r="A2653" t="s">
        <v>3099</v>
      </c>
      <c r="B2653" t="str">
        <f t="shared" si="42"/>
        <v>CM1200001541</v>
      </c>
      <c r="C2653" t="s">
        <v>225</v>
      </c>
      <c r="D2653" t="s">
        <v>77</v>
      </c>
      <c r="E2653" t="s">
        <v>82</v>
      </c>
      <c r="F2653">
        <v>50000</v>
      </c>
      <c r="G2653" s="13">
        <v>45299</v>
      </c>
      <c r="H2653" s="13">
        <v>45483</v>
      </c>
      <c r="I2653">
        <v>45350</v>
      </c>
      <c r="J2653">
        <v>2625</v>
      </c>
      <c r="K2653">
        <v>47975</v>
      </c>
      <c r="N2653">
        <v>40.909090909090914</v>
      </c>
      <c r="O2653">
        <v>6.5111999999999997</v>
      </c>
      <c r="P2653">
        <v>96.546000000000006</v>
      </c>
      <c r="Q2653">
        <v>6.5</v>
      </c>
      <c r="R2653">
        <v>5.95</v>
      </c>
      <c r="S2653">
        <v>6.5</v>
      </c>
      <c r="T2653">
        <v>96.813142999999997</v>
      </c>
      <c r="W2653" t="s">
        <v>497</v>
      </c>
    </row>
    <row r="2654" spans="1:23" x14ac:dyDescent="0.25">
      <c r="A2654" t="s">
        <v>3100</v>
      </c>
      <c r="B2654" t="str">
        <f t="shared" si="42"/>
        <v>CG1100000732</v>
      </c>
      <c r="C2654" t="s">
        <v>229</v>
      </c>
      <c r="D2654" t="s">
        <v>77</v>
      </c>
      <c r="E2654" t="s">
        <v>78</v>
      </c>
      <c r="F2654">
        <v>15000</v>
      </c>
      <c r="G2654" s="13">
        <v>45300</v>
      </c>
      <c r="H2654" s="13">
        <v>45393</v>
      </c>
      <c r="I2654">
        <v>4973</v>
      </c>
      <c r="J2654">
        <v>10027</v>
      </c>
      <c r="K2654">
        <v>15000</v>
      </c>
      <c r="N2654">
        <v>29.166666666666668</v>
      </c>
      <c r="O2654">
        <v>6.3967999999999998</v>
      </c>
      <c r="P2654">
        <v>115.9267</v>
      </c>
      <c r="Q2654">
        <v>6.5</v>
      </c>
      <c r="R2654">
        <v>6</v>
      </c>
      <c r="S2654">
        <v>6.95</v>
      </c>
      <c r="T2654">
        <v>98.408756999999994</v>
      </c>
      <c r="W2654" t="s">
        <v>497</v>
      </c>
    </row>
    <row r="2655" spans="1:23" x14ac:dyDescent="0.25">
      <c r="A2655" t="s">
        <v>3101</v>
      </c>
      <c r="B2655" t="str">
        <f t="shared" si="42"/>
        <v>GA1200001988</v>
      </c>
      <c r="C2655" t="s">
        <v>227</v>
      </c>
      <c r="D2655" t="s">
        <v>77</v>
      </c>
      <c r="E2655" t="s">
        <v>82</v>
      </c>
      <c r="F2655">
        <v>10000</v>
      </c>
      <c r="G2655" s="13">
        <v>45301</v>
      </c>
      <c r="H2655" s="13">
        <v>45485</v>
      </c>
      <c r="I2655">
        <v>500</v>
      </c>
      <c r="J2655">
        <v>6675</v>
      </c>
      <c r="K2655">
        <v>7175</v>
      </c>
      <c r="N2655">
        <v>28.571428571428569</v>
      </c>
      <c r="O2655">
        <v>6.6872999999999996</v>
      </c>
      <c r="P2655">
        <v>74.75</v>
      </c>
      <c r="Q2655">
        <v>6.5</v>
      </c>
      <c r="R2655">
        <v>6</v>
      </c>
      <c r="S2655">
        <v>6.6</v>
      </c>
      <c r="T2655">
        <v>96.729742999999999</v>
      </c>
      <c r="W2655" t="s">
        <v>497</v>
      </c>
    </row>
    <row r="2656" spans="1:23" x14ac:dyDescent="0.25">
      <c r="A2656" t="s">
        <v>3102</v>
      </c>
      <c r="B2656" t="str">
        <f t="shared" si="42"/>
        <v>CM1200001558</v>
      </c>
      <c r="C2656" t="s">
        <v>225</v>
      </c>
      <c r="D2656" t="s">
        <v>77</v>
      </c>
      <c r="E2656" t="s">
        <v>82</v>
      </c>
      <c r="F2656">
        <v>20000</v>
      </c>
      <c r="G2656" s="13">
        <v>45306</v>
      </c>
      <c r="H2656" s="13">
        <v>45490</v>
      </c>
      <c r="I2656">
        <v>14285</v>
      </c>
      <c r="J2656">
        <v>4500</v>
      </c>
      <c r="K2656">
        <v>18785</v>
      </c>
      <c r="N2656">
        <v>31.818181818181817</v>
      </c>
      <c r="O2656">
        <v>6.6223999999999998</v>
      </c>
      <c r="P2656">
        <v>93.974999999999994</v>
      </c>
      <c r="Q2656">
        <v>6.6</v>
      </c>
      <c r="R2656">
        <v>6</v>
      </c>
      <c r="S2656">
        <v>7</v>
      </c>
      <c r="T2656">
        <v>96.760481999999996</v>
      </c>
      <c r="W2656" t="s">
        <v>497</v>
      </c>
    </row>
    <row r="2657" spans="1:23" x14ac:dyDescent="0.25">
      <c r="A2657" t="s">
        <v>3103</v>
      </c>
      <c r="B2657" t="str">
        <f t="shared" si="42"/>
        <v>CG1100000740</v>
      </c>
      <c r="C2657" t="s">
        <v>229</v>
      </c>
      <c r="D2657" t="s">
        <v>77</v>
      </c>
      <c r="E2657" t="s">
        <v>78</v>
      </c>
      <c r="F2657">
        <v>13000</v>
      </c>
      <c r="G2657" s="13">
        <v>45307</v>
      </c>
      <c r="H2657" s="13">
        <v>45400</v>
      </c>
      <c r="I2657">
        <v>2190</v>
      </c>
      <c r="J2657">
        <v>10810</v>
      </c>
      <c r="K2657">
        <v>13000</v>
      </c>
      <c r="N2657">
        <v>25</v>
      </c>
      <c r="O2657">
        <v>6.5852000000000004</v>
      </c>
      <c r="P2657">
        <v>151.84620000000001</v>
      </c>
      <c r="Q2657">
        <v>6.5</v>
      </c>
      <c r="R2657">
        <v>5.95</v>
      </c>
      <c r="S2657">
        <v>6.5</v>
      </c>
      <c r="T2657">
        <v>98.362671000000006</v>
      </c>
      <c r="W2657" t="s">
        <v>497</v>
      </c>
    </row>
    <row r="2658" spans="1:23" x14ac:dyDescent="0.25">
      <c r="A2658" t="s">
        <v>3104</v>
      </c>
      <c r="B2658" t="str">
        <f t="shared" si="42"/>
        <v>CG1200001168</v>
      </c>
      <c r="C2658" t="s">
        <v>229</v>
      </c>
      <c r="D2658" t="s">
        <v>77</v>
      </c>
      <c r="E2658" t="s">
        <v>82</v>
      </c>
      <c r="F2658">
        <v>12000</v>
      </c>
      <c r="G2658" s="13">
        <v>45307</v>
      </c>
      <c r="H2658" s="13">
        <v>45491</v>
      </c>
      <c r="I2658">
        <v>7055</v>
      </c>
      <c r="J2658">
        <v>4945</v>
      </c>
      <c r="K2658">
        <v>12000</v>
      </c>
      <c r="N2658">
        <v>29.166666666666668</v>
      </c>
      <c r="O2658">
        <v>6.9290000000000003</v>
      </c>
      <c r="P2658">
        <v>101.875</v>
      </c>
      <c r="Q2658">
        <v>6.75</v>
      </c>
      <c r="R2658">
        <v>6</v>
      </c>
      <c r="S2658">
        <v>6.75</v>
      </c>
      <c r="T2658">
        <v>96.615568999999994</v>
      </c>
      <c r="W2658" t="s">
        <v>497</v>
      </c>
    </row>
    <row r="2659" spans="1:23" x14ac:dyDescent="0.25">
      <c r="A2659" t="s">
        <v>3105</v>
      </c>
      <c r="B2659" t="str">
        <f t="shared" si="42"/>
        <v>GA1200001996</v>
      </c>
      <c r="C2659" t="s">
        <v>227</v>
      </c>
      <c r="D2659" t="s">
        <v>77</v>
      </c>
      <c r="E2659" t="s">
        <v>82</v>
      </c>
      <c r="F2659">
        <v>10000</v>
      </c>
      <c r="G2659" s="13">
        <v>45308</v>
      </c>
      <c r="H2659" s="13">
        <v>45492</v>
      </c>
      <c r="I2659">
        <v>1240</v>
      </c>
      <c r="J2659">
        <v>3013</v>
      </c>
      <c r="K2659">
        <v>4253</v>
      </c>
      <c r="N2659">
        <v>33.333333333333329</v>
      </c>
      <c r="O2659">
        <v>6.66</v>
      </c>
      <c r="P2659">
        <v>42.6</v>
      </c>
      <c r="Q2659">
        <v>6.5</v>
      </c>
      <c r="R2659">
        <v>6</v>
      </c>
      <c r="S2659">
        <v>7</v>
      </c>
      <c r="T2659">
        <v>96.742655999999997</v>
      </c>
      <c r="W2659" t="s">
        <v>497</v>
      </c>
    </row>
    <row r="2660" spans="1:23" x14ac:dyDescent="0.25">
      <c r="A2660" t="s">
        <v>3106</v>
      </c>
      <c r="B2660" t="str">
        <f t="shared" si="42"/>
        <v>GQ1300001302</v>
      </c>
      <c r="C2660" t="s">
        <v>528</v>
      </c>
      <c r="D2660" t="s">
        <v>77</v>
      </c>
      <c r="E2660" t="s">
        <v>287</v>
      </c>
      <c r="F2660">
        <v>10000</v>
      </c>
      <c r="G2660" s="13">
        <v>45307</v>
      </c>
      <c r="H2660" s="13">
        <v>45673</v>
      </c>
      <c r="I2660">
        <v>4960</v>
      </c>
      <c r="J2660">
        <v>5040</v>
      </c>
      <c r="K2660">
        <v>10000</v>
      </c>
      <c r="N2660">
        <v>38.461538461538467</v>
      </c>
      <c r="O2660">
        <v>6.8</v>
      </c>
      <c r="P2660">
        <v>161.35</v>
      </c>
      <c r="Q2660">
        <v>6.5</v>
      </c>
      <c r="R2660">
        <v>6.25</v>
      </c>
      <c r="S2660">
        <v>7</v>
      </c>
      <c r="T2660">
        <v>93.566806</v>
      </c>
      <c r="W2660" t="s">
        <v>497</v>
      </c>
    </row>
    <row r="2661" spans="1:23" x14ac:dyDescent="0.25">
      <c r="A2661" t="s">
        <v>3107</v>
      </c>
      <c r="B2661" t="str">
        <f t="shared" si="42"/>
        <v>TD1200001782</v>
      </c>
      <c r="C2661" t="s">
        <v>237</v>
      </c>
      <c r="D2661" t="s">
        <v>77</v>
      </c>
      <c r="E2661" t="s">
        <v>82</v>
      </c>
      <c r="F2661">
        <v>10000</v>
      </c>
      <c r="G2661" s="13">
        <v>45308</v>
      </c>
      <c r="H2661" s="13">
        <v>45492</v>
      </c>
      <c r="I2661">
        <v>0</v>
      </c>
      <c r="J2661">
        <v>5063</v>
      </c>
      <c r="K2661">
        <v>5063</v>
      </c>
      <c r="N2661">
        <v>16.666666666666664</v>
      </c>
      <c r="O2661">
        <v>6.9882999999999997</v>
      </c>
      <c r="P2661">
        <v>50.63</v>
      </c>
      <c r="Q2661">
        <v>6.75</v>
      </c>
      <c r="R2661">
        <v>6.5</v>
      </c>
      <c r="S2661">
        <v>6.75</v>
      </c>
      <c r="T2661">
        <v>96.587575000000001</v>
      </c>
      <c r="W2661" t="s">
        <v>497</v>
      </c>
    </row>
    <row r="2662" spans="1:23" x14ac:dyDescent="0.25">
      <c r="A2662" t="s">
        <v>3108</v>
      </c>
      <c r="B2662" t="str">
        <f t="shared" si="42"/>
        <v>GA1100001807</v>
      </c>
      <c r="C2662" t="s">
        <v>227</v>
      </c>
      <c r="D2662" t="s">
        <v>77</v>
      </c>
      <c r="E2662" t="s">
        <v>78</v>
      </c>
      <c r="F2662">
        <v>15000</v>
      </c>
      <c r="G2662" s="13">
        <v>45315</v>
      </c>
      <c r="H2662" s="13">
        <v>45408</v>
      </c>
      <c r="I2662">
        <v>5354</v>
      </c>
      <c r="J2662">
        <v>9646</v>
      </c>
      <c r="K2662">
        <v>15000</v>
      </c>
      <c r="N2662">
        <v>33.333333333333329</v>
      </c>
      <c r="O2662">
        <v>6.2027999999999999</v>
      </c>
      <c r="P2662">
        <v>144.56</v>
      </c>
      <c r="Q2662">
        <v>6.15</v>
      </c>
      <c r="R2662">
        <v>6</v>
      </c>
      <c r="S2662">
        <v>6.3</v>
      </c>
      <c r="T2662">
        <v>98.456271999999998</v>
      </c>
      <c r="W2662" t="s">
        <v>497</v>
      </c>
    </row>
    <row r="2663" spans="1:23" x14ac:dyDescent="0.25">
      <c r="A2663" t="s">
        <v>3109</v>
      </c>
      <c r="B2663" t="str">
        <f t="shared" si="42"/>
        <v>TD1200001790</v>
      </c>
      <c r="C2663" t="s">
        <v>237</v>
      </c>
      <c r="D2663" t="s">
        <v>77</v>
      </c>
      <c r="E2663" t="s">
        <v>82</v>
      </c>
      <c r="F2663">
        <v>20000</v>
      </c>
      <c r="G2663" s="13">
        <v>45315</v>
      </c>
      <c r="H2663" s="13">
        <v>45499</v>
      </c>
      <c r="I2663">
        <v>1280</v>
      </c>
      <c r="J2663">
        <v>1423</v>
      </c>
      <c r="K2663">
        <v>2703</v>
      </c>
      <c r="N2663">
        <v>41.666666666666671</v>
      </c>
      <c r="O2663">
        <v>6.7526000000000002</v>
      </c>
      <c r="P2663">
        <v>13.515000000000001</v>
      </c>
      <c r="Q2663">
        <v>6.75</v>
      </c>
      <c r="R2663">
        <v>6</v>
      </c>
      <c r="S2663">
        <v>6.75</v>
      </c>
      <c r="T2663">
        <v>96.698879000000005</v>
      </c>
      <c r="W2663" t="s">
        <v>497</v>
      </c>
    </row>
    <row r="2664" spans="1:23" x14ac:dyDescent="0.25">
      <c r="A2664" t="s">
        <v>3110</v>
      </c>
      <c r="B2664" t="str">
        <f t="shared" si="42"/>
        <v>CM1100001096</v>
      </c>
      <c r="C2664" t="s">
        <v>225</v>
      </c>
      <c r="D2664" t="s">
        <v>77</v>
      </c>
      <c r="E2664" t="s">
        <v>78</v>
      </c>
      <c r="F2664">
        <v>20000</v>
      </c>
      <c r="G2664" s="13">
        <v>45320</v>
      </c>
      <c r="H2664" s="13">
        <v>45413</v>
      </c>
      <c r="I2664">
        <v>8066</v>
      </c>
      <c r="J2664">
        <v>3000</v>
      </c>
      <c r="K2664">
        <v>11066</v>
      </c>
      <c r="N2664">
        <v>27.27272727272727</v>
      </c>
      <c r="O2664">
        <v>6.0755999999999997</v>
      </c>
      <c r="P2664">
        <v>60.33</v>
      </c>
      <c r="Q2664">
        <v>6</v>
      </c>
      <c r="R2664">
        <v>5.5</v>
      </c>
      <c r="S2664">
        <v>6.5</v>
      </c>
      <c r="T2664">
        <v>98.487444999999994</v>
      </c>
      <c r="W2664" t="s">
        <v>497</v>
      </c>
    </row>
    <row r="2665" spans="1:23" x14ac:dyDescent="0.25">
      <c r="A2665" t="s">
        <v>3111</v>
      </c>
      <c r="B2665" t="str">
        <f t="shared" si="42"/>
        <v>CF1200000450</v>
      </c>
      <c r="C2665" t="s">
        <v>2406</v>
      </c>
      <c r="D2665" t="s">
        <v>77</v>
      </c>
      <c r="E2665" t="s">
        <v>82</v>
      </c>
      <c r="F2665">
        <v>5000</v>
      </c>
      <c r="G2665" s="13">
        <v>45320</v>
      </c>
      <c r="H2665" s="13">
        <v>45504</v>
      </c>
      <c r="I2665">
        <v>1000</v>
      </c>
      <c r="J2665">
        <v>1000</v>
      </c>
      <c r="K2665">
        <v>2000</v>
      </c>
      <c r="N2665">
        <v>22.222222222222221</v>
      </c>
      <c r="O2665">
        <v>7.6875999999999998</v>
      </c>
      <c r="P2665">
        <v>40</v>
      </c>
      <c r="Q2665">
        <v>8</v>
      </c>
      <c r="R2665">
        <v>6.8</v>
      </c>
      <c r="S2665">
        <v>8</v>
      </c>
      <c r="T2665">
        <v>96.258888999999996</v>
      </c>
      <c r="W2665" t="s">
        <v>497</v>
      </c>
    </row>
    <row r="2666" spans="1:23" x14ac:dyDescent="0.25">
      <c r="A2666" t="s">
        <v>3112</v>
      </c>
      <c r="B2666" t="str">
        <f t="shared" si="42"/>
        <v>CG1100000757</v>
      </c>
      <c r="C2666" t="s">
        <v>229</v>
      </c>
      <c r="D2666" t="s">
        <v>77</v>
      </c>
      <c r="E2666" t="s">
        <v>78</v>
      </c>
      <c r="F2666">
        <v>15000</v>
      </c>
      <c r="G2666" s="13">
        <v>45321</v>
      </c>
      <c r="H2666" s="13">
        <v>45414</v>
      </c>
      <c r="I2666">
        <v>0</v>
      </c>
      <c r="J2666">
        <v>15000</v>
      </c>
      <c r="K2666">
        <v>15000</v>
      </c>
      <c r="N2666">
        <v>25</v>
      </c>
      <c r="O2666">
        <v>6.2786</v>
      </c>
      <c r="P2666">
        <v>167.60669999999999</v>
      </c>
      <c r="Q2666">
        <v>6.2</v>
      </c>
      <c r="R2666">
        <v>6</v>
      </c>
      <c r="S2666">
        <v>6.5</v>
      </c>
      <c r="T2666">
        <v>98.437698999999995</v>
      </c>
      <c r="W2666" t="s">
        <v>497</v>
      </c>
    </row>
    <row r="2667" spans="1:23" x14ac:dyDescent="0.25">
      <c r="A2667" t="s">
        <v>3113</v>
      </c>
      <c r="B2667" t="str">
        <f t="shared" si="42"/>
        <v>CG1200001176</v>
      </c>
      <c r="C2667" t="s">
        <v>229</v>
      </c>
      <c r="D2667" t="s">
        <v>77</v>
      </c>
      <c r="E2667" t="s">
        <v>82</v>
      </c>
      <c r="F2667">
        <v>15000</v>
      </c>
      <c r="G2667" s="13">
        <v>45321</v>
      </c>
      <c r="H2667" s="13">
        <v>45505</v>
      </c>
      <c r="I2667">
        <v>5080</v>
      </c>
      <c r="J2667">
        <v>3419</v>
      </c>
      <c r="K2667">
        <v>8499</v>
      </c>
      <c r="N2667">
        <v>29.166666666666668</v>
      </c>
      <c r="O2667">
        <v>6.7847999999999997</v>
      </c>
      <c r="P2667">
        <v>60.3</v>
      </c>
      <c r="Q2667">
        <v>6.6</v>
      </c>
      <c r="R2667">
        <v>6.5</v>
      </c>
      <c r="S2667">
        <v>6.75</v>
      </c>
      <c r="T2667">
        <v>96.683671000000004</v>
      </c>
      <c r="W2667" t="s">
        <v>497</v>
      </c>
    </row>
    <row r="2668" spans="1:23" x14ac:dyDescent="0.25">
      <c r="A2668" t="s">
        <v>3114</v>
      </c>
      <c r="B2668" t="str">
        <f t="shared" si="42"/>
        <v>GA1200002002</v>
      </c>
      <c r="C2668" t="s">
        <v>227</v>
      </c>
      <c r="D2668" t="s">
        <v>77</v>
      </c>
      <c r="E2668" t="s">
        <v>82</v>
      </c>
      <c r="F2668">
        <v>11000</v>
      </c>
      <c r="G2668" s="13">
        <v>45322</v>
      </c>
      <c r="H2668" s="13">
        <v>45506</v>
      </c>
      <c r="I2668">
        <v>1405</v>
      </c>
      <c r="J2668">
        <v>9595</v>
      </c>
      <c r="K2668">
        <v>11000</v>
      </c>
      <c r="N2668">
        <v>52.380952380952387</v>
      </c>
      <c r="O2668">
        <v>6.6574</v>
      </c>
      <c r="P2668">
        <v>120.9</v>
      </c>
      <c r="Q2668">
        <v>6.5</v>
      </c>
      <c r="R2668">
        <v>6</v>
      </c>
      <c r="S2668">
        <v>6.8</v>
      </c>
      <c r="T2668">
        <v>96.743898000000002</v>
      </c>
      <c r="W2668" t="s">
        <v>497</v>
      </c>
    </row>
    <row r="2669" spans="1:23" x14ac:dyDescent="0.25">
      <c r="A2669" t="s">
        <v>3115</v>
      </c>
      <c r="B2669" t="str">
        <f t="shared" si="42"/>
        <v>GQ1300001310</v>
      </c>
      <c r="C2669" t="s">
        <v>528</v>
      </c>
      <c r="D2669" t="s">
        <v>77</v>
      </c>
      <c r="E2669" t="s">
        <v>287</v>
      </c>
      <c r="F2669">
        <v>15000</v>
      </c>
      <c r="G2669" s="13">
        <v>45321</v>
      </c>
      <c r="H2669" s="13">
        <v>45687</v>
      </c>
      <c r="I2669">
        <v>15000</v>
      </c>
      <c r="J2669">
        <v>0</v>
      </c>
      <c r="K2669">
        <v>15000</v>
      </c>
      <c r="N2669">
        <v>30.76923076923077</v>
      </c>
      <c r="O2669">
        <v>6.8276000000000003</v>
      </c>
      <c r="P2669">
        <v>147.72</v>
      </c>
      <c r="Q2669">
        <v>6.39</v>
      </c>
      <c r="R2669">
        <v>6.38</v>
      </c>
      <c r="S2669">
        <v>6.75</v>
      </c>
      <c r="T2669">
        <v>93.542370000000005</v>
      </c>
      <c r="W2669" t="s">
        <v>497</v>
      </c>
    </row>
    <row r="2670" spans="1:23" x14ac:dyDescent="0.25">
      <c r="A2670" t="s">
        <v>3116</v>
      </c>
      <c r="B2670" t="str">
        <f t="shared" si="42"/>
        <v>TD1200001808</v>
      </c>
      <c r="C2670" t="s">
        <v>237</v>
      </c>
      <c r="D2670" t="s">
        <v>77</v>
      </c>
      <c r="E2670" t="s">
        <v>82</v>
      </c>
      <c r="F2670">
        <v>10000</v>
      </c>
      <c r="G2670" s="13">
        <v>45322</v>
      </c>
      <c r="H2670" s="13">
        <v>45506</v>
      </c>
      <c r="I2670">
        <v>5592</v>
      </c>
      <c r="J2670">
        <v>4110</v>
      </c>
      <c r="K2670">
        <v>9702</v>
      </c>
      <c r="N2670">
        <v>33.333333333333329</v>
      </c>
      <c r="O2670">
        <v>6.9854000000000003</v>
      </c>
      <c r="P2670">
        <v>97.09</v>
      </c>
      <c r="Q2670">
        <v>6.75</v>
      </c>
      <c r="R2670">
        <v>6.5</v>
      </c>
      <c r="S2670">
        <v>7</v>
      </c>
      <c r="T2670">
        <v>96.588932999999997</v>
      </c>
      <c r="W2670" t="s">
        <v>497</v>
      </c>
    </row>
    <row r="2671" spans="1:23" x14ac:dyDescent="0.25">
      <c r="A2671" t="s">
        <v>3117</v>
      </c>
      <c r="B2671" t="str">
        <f t="shared" si="42"/>
        <v>CM1200001566</v>
      </c>
      <c r="C2671" t="s">
        <v>225</v>
      </c>
      <c r="D2671" t="s">
        <v>77</v>
      </c>
      <c r="E2671" t="s">
        <v>82</v>
      </c>
      <c r="F2671">
        <v>15000</v>
      </c>
      <c r="G2671" s="13">
        <v>45327</v>
      </c>
      <c r="H2671" s="13">
        <v>45511</v>
      </c>
      <c r="I2671">
        <v>5040</v>
      </c>
      <c r="J2671">
        <v>0</v>
      </c>
      <c r="K2671">
        <v>5040</v>
      </c>
      <c r="N2671">
        <v>13.636363636363635</v>
      </c>
      <c r="O2671">
        <v>6.5328999999999997</v>
      </c>
      <c r="P2671">
        <v>40.2667</v>
      </c>
      <c r="Q2671">
        <v>6.35</v>
      </c>
      <c r="R2671">
        <v>6.2</v>
      </c>
      <c r="S2671">
        <v>6.5</v>
      </c>
      <c r="T2671">
        <v>96.802863000000002</v>
      </c>
      <c r="W2671" t="s">
        <v>497</v>
      </c>
    </row>
    <row r="2672" spans="1:23" x14ac:dyDescent="0.25">
      <c r="A2672" t="s">
        <v>3118</v>
      </c>
      <c r="B2672" t="str">
        <f t="shared" si="42"/>
        <v>CG1100000765</v>
      </c>
      <c r="C2672" t="s">
        <v>229</v>
      </c>
      <c r="D2672" t="s">
        <v>77</v>
      </c>
      <c r="E2672" t="s">
        <v>78</v>
      </c>
      <c r="F2672">
        <v>15000</v>
      </c>
      <c r="G2672" s="13">
        <v>45328</v>
      </c>
      <c r="H2672" s="13">
        <v>45421</v>
      </c>
      <c r="I2672">
        <v>5500</v>
      </c>
      <c r="J2672">
        <v>9500</v>
      </c>
      <c r="K2672">
        <v>15000</v>
      </c>
      <c r="N2672">
        <v>29.166666666666668</v>
      </c>
      <c r="O2672">
        <v>6.2927</v>
      </c>
      <c r="P2672">
        <v>122.64</v>
      </c>
      <c r="Q2672">
        <v>6.25</v>
      </c>
      <c r="R2672">
        <v>6</v>
      </c>
      <c r="S2672">
        <v>6.5</v>
      </c>
      <c r="T2672">
        <v>98.434244000000007</v>
      </c>
      <c r="W2672" t="s">
        <v>497</v>
      </c>
    </row>
    <row r="2673" spans="1:23" x14ac:dyDescent="0.25">
      <c r="A2673" t="s">
        <v>3119</v>
      </c>
      <c r="B2673" t="str">
        <f t="shared" si="42"/>
        <v>CG1200001184</v>
      </c>
      <c r="C2673" t="s">
        <v>229</v>
      </c>
      <c r="D2673" t="s">
        <v>77</v>
      </c>
      <c r="E2673" t="s">
        <v>82</v>
      </c>
      <c r="F2673">
        <v>20000</v>
      </c>
      <c r="G2673" s="13">
        <v>45328</v>
      </c>
      <c r="H2673" s="13">
        <v>45512</v>
      </c>
      <c r="I2673">
        <v>11400</v>
      </c>
      <c r="J2673">
        <v>8021</v>
      </c>
      <c r="K2673">
        <v>19421</v>
      </c>
      <c r="N2673">
        <v>33.333333333333329</v>
      </c>
      <c r="O2673">
        <v>6.6726999999999999</v>
      </c>
      <c r="P2673">
        <v>97.105000000000004</v>
      </c>
      <c r="Q2673">
        <v>6.75</v>
      </c>
      <c r="R2673">
        <v>6</v>
      </c>
      <c r="S2673">
        <v>6.75</v>
      </c>
      <c r="T2673">
        <v>96.736666</v>
      </c>
      <c r="W2673" t="s">
        <v>497</v>
      </c>
    </row>
    <row r="2674" spans="1:23" x14ac:dyDescent="0.25">
      <c r="A2674" t="s">
        <v>3120</v>
      </c>
      <c r="B2674" t="str">
        <f t="shared" si="42"/>
        <v>GA1200002010</v>
      </c>
      <c r="C2674" t="s">
        <v>227</v>
      </c>
      <c r="D2674" t="s">
        <v>77</v>
      </c>
      <c r="E2674" t="s">
        <v>82</v>
      </c>
      <c r="F2674">
        <v>15000</v>
      </c>
      <c r="G2674" s="13">
        <v>45329</v>
      </c>
      <c r="H2674" s="13">
        <v>45513</v>
      </c>
      <c r="I2674">
        <v>8763</v>
      </c>
      <c r="J2674">
        <v>6237</v>
      </c>
      <c r="K2674">
        <v>15000</v>
      </c>
      <c r="N2674">
        <v>28.571428571428569</v>
      </c>
      <c r="O2674">
        <v>6.609</v>
      </c>
      <c r="P2674">
        <v>105.54</v>
      </c>
      <c r="Q2674">
        <v>6.4</v>
      </c>
      <c r="R2674">
        <v>5.5</v>
      </c>
      <c r="S2674">
        <v>6.5</v>
      </c>
      <c r="T2674">
        <v>96.766810000000007</v>
      </c>
      <c r="W2674" t="s">
        <v>497</v>
      </c>
    </row>
    <row r="2675" spans="1:23" x14ac:dyDescent="0.25">
      <c r="A2675" t="s">
        <v>3121</v>
      </c>
      <c r="B2675" t="str">
        <f t="shared" si="42"/>
        <v>GA1300000690</v>
      </c>
      <c r="C2675" t="s">
        <v>227</v>
      </c>
      <c r="D2675" t="s">
        <v>77</v>
      </c>
      <c r="E2675" t="s">
        <v>287</v>
      </c>
      <c r="F2675">
        <v>20000</v>
      </c>
      <c r="G2675" s="13">
        <v>45329</v>
      </c>
      <c r="H2675" s="13">
        <v>45695</v>
      </c>
      <c r="I2675">
        <v>14142</v>
      </c>
      <c r="J2675">
        <v>5858</v>
      </c>
      <c r="K2675">
        <v>20000</v>
      </c>
      <c r="N2675">
        <v>28.571428571428569</v>
      </c>
      <c r="O2675">
        <v>7.04</v>
      </c>
      <c r="P2675">
        <v>110.65</v>
      </c>
      <c r="Q2675">
        <v>6.6</v>
      </c>
      <c r="R2675">
        <v>5.5</v>
      </c>
      <c r="S2675">
        <v>7</v>
      </c>
      <c r="T2675">
        <v>93.354754999999997</v>
      </c>
      <c r="W2675" t="s">
        <v>497</v>
      </c>
    </row>
    <row r="2676" spans="1:23" x14ac:dyDescent="0.25">
      <c r="A2676" t="s">
        <v>3122</v>
      </c>
      <c r="B2676" t="str">
        <f t="shared" si="42"/>
        <v>CF1200000450</v>
      </c>
      <c r="C2676" t="s">
        <v>2406</v>
      </c>
      <c r="D2676" t="s">
        <v>77</v>
      </c>
      <c r="E2676" t="s">
        <v>82</v>
      </c>
      <c r="F2676">
        <v>5000</v>
      </c>
      <c r="G2676" s="13">
        <v>45334</v>
      </c>
      <c r="H2676" s="13">
        <v>45504</v>
      </c>
      <c r="I2676">
        <v>3400</v>
      </c>
      <c r="J2676">
        <v>0</v>
      </c>
      <c r="K2676">
        <v>3400</v>
      </c>
      <c r="N2676">
        <v>33.333333333333329</v>
      </c>
      <c r="O2676">
        <v>6.8444200000000004</v>
      </c>
      <c r="P2676">
        <v>68</v>
      </c>
      <c r="Q2676">
        <v>6.8</v>
      </c>
      <c r="R2676">
        <v>6.5</v>
      </c>
      <c r="S2676">
        <v>6.8</v>
      </c>
      <c r="T2676">
        <v>96.904902000000007</v>
      </c>
      <c r="W2676" t="s">
        <v>497</v>
      </c>
    </row>
    <row r="2677" spans="1:23" x14ac:dyDescent="0.25">
      <c r="A2677" t="s">
        <v>3123</v>
      </c>
      <c r="B2677" t="str">
        <f t="shared" si="42"/>
        <v>CG1100000773</v>
      </c>
      <c r="C2677" t="s">
        <v>229</v>
      </c>
      <c r="D2677" t="s">
        <v>77</v>
      </c>
      <c r="E2677" t="s">
        <v>78</v>
      </c>
      <c r="F2677">
        <v>15000</v>
      </c>
      <c r="G2677" s="13">
        <v>45335</v>
      </c>
      <c r="H2677" s="13">
        <v>45428</v>
      </c>
      <c r="I2677">
        <v>3110</v>
      </c>
      <c r="J2677">
        <v>708</v>
      </c>
      <c r="K2677">
        <v>3818</v>
      </c>
      <c r="N2677">
        <v>16.666666666666664</v>
      </c>
      <c r="O2677">
        <v>6.3490000000000002</v>
      </c>
      <c r="P2677">
        <v>25.453299999999999</v>
      </c>
      <c r="Q2677">
        <v>6.3</v>
      </c>
      <c r="R2677">
        <v>5.95</v>
      </c>
      <c r="S2677">
        <v>6.3</v>
      </c>
      <c r="T2677">
        <v>98.420452999999995</v>
      </c>
      <c r="W2677" t="s">
        <v>497</v>
      </c>
    </row>
    <row r="2678" spans="1:23" x14ac:dyDescent="0.25">
      <c r="A2678" t="s">
        <v>3124</v>
      </c>
      <c r="B2678" t="str">
        <f t="shared" si="42"/>
        <v>CG1200001192</v>
      </c>
      <c r="C2678" t="s">
        <v>229</v>
      </c>
      <c r="D2678" t="s">
        <v>77</v>
      </c>
      <c r="E2678" t="s">
        <v>82</v>
      </c>
      <c r="F2678">
        <v>20000</v>
      </c>
      <c r="G2678" s="13">
        <v>45335</v>
      </c>
      <c r="H2678" s="13">
        <v>45519</v>
      </c>
      <c r="I2678">
        <v>5120</v>
      </c>
      <c r="J2678">
        <v>5919</v>
      </c>
      <c r="K2678">
        <v>11039</v>
      </c>
      <c r="N2678">
        <v>25</v>
      </c>
      <c r="O2678">
        <v>6.7545000000000002</v>
      </c>
      <c r="P2678">
        <v>55.244999999999997</v>
      </c>
      <c r="Q2678">
        <v>6.6</v>
      </c>
      <c r="R2678">
        <v>6</v>
      </c>
      <c r="S2678">
        <v>7</v>
      </c>
      <c r="T2678">
        <v>96.697997000000001</v>
      </c>
      <c r="W2678" t="s">
        <v>497</v>
      </c>
    </row>
    <row r="2679" spans="1:23" x14ac:dyDescent="0.25">
      <c r="A2679" t="s">
        <v>3125</v>
      </c>
      <c r="B2679" t="str">
        <f t="shared" si="42"/>
        <v>CG1300000458</v>
      </c>
      <c r="C2679" t="s">
        <v>229</v>
      </c>
      <c r="D2679" t="s">
        <v>77</v>
      </c>
      <c r="E2679" t="s">
        <v>287</v>
      </c>
      <c r="F2679">
        <v>10000</v>
      </c>
      <c r="G2679" s="13">
        <v>45335</v>
      </c>
      <c r="H2679" s="13">
        <v>45701</v>
      </c>
      <c r="I2679">
        <v>0</v>
      </c>
      <c r="J2679">
        <v>3341</v>
      </c>
      <c r="K2679">
        <v>3341</v>
      </c>
      <c r="N2679">
        <v>16.666666666666664</v>
      </c>
      <c r="O2679">
        <v>6.8956</v>
      </c>
      <c r="P2679">
        <v>35.89</v>
      </c>
      <c r="Q2679">
        <v>6.5</v>
      </c>
      <c r="R2679">
        <v>6</v>
      </c>
      <c r="S2679">
        <v>10</v>
      </c>
      <c r="T2679">
        <v>93.482252000000003</v>
      </c>
      <c r="W2679" t="s">
        <v>497</v>
      </c>
    </row>
    <row r="2680" spans="1:23" x14ac:dyDescent="0.25">
      <c r="A2680" t="s">
        <v>3126</v>
      </c>
      <c r="B2680" t="str">
        <f t="shared" si="42"/>
        <v>GA1100001815</v>
      </c>
      <c r="C2680" t="s">
        <v>227</v>
      </c>
      <c r="D2680" t="s">
        <v>77</v>
      </c>
      <c r="E2680" t="s">
        <v>78</v>
      </c>
      <c r="F2680">
        <v>9500</v>
      </c>
      <c r="G2680" s="13">
        <v>45336</v>
      </c>
      <c r="H2680" s="13">
        <v>45429</v>
      </c>
      <c r="I2680">
        <v>9495</v>
      </c>
      <c r="J2680">
        <v>5</v>
      </c>
      <c r="K2680">
        <v>9500</v>
      </c>
      <c r="N2680">
        <v>19.047619047619047</v>
      </c>
      <c r="O2680">
        <v>6.2632000000000003</v>
      </c>
      <c r="P2680">
        <v>110.6842</v>
      </c>
      <c r="Q2680">
        <v>6.3</v>
      </c>
      <c r="R2680">
        <v>5.95</v>
      </c>
      <c r="S2680">
        <v>7</v>
      </c>
      <c r="T2680">
        <v>98.441472000000005</v>
      </c>
      <c r="W2680" t="s">
        <v>497</v>
      </c>
    </row>
    <row r="2681" spans="1:23" x14ac:dyDescent="0.25">
      <c r="A2681" t="s">
        <v>3127</v>
      </c>
      <c r="B2681" t="str">
        <f t="shared" si="42"/>
        <v>CM1200001574</v>
      </c>
      <c r="C2681" t="s">
        <v>225</v>
      </c>
      <c r="D2681" t="s">
        <v>77</v>
      </c>
      <c r="E2681" t="s">
        <v>82</v>
      </c>
      <c r="F2681">
        <v>15000</v>
      </c>
      <c r="G2681" s="13">
        <v>45341</v>
      </c>
      <c r="H2681" s="13">
        <v>45525</v>
      </c>
      <c r="I2681">
        <v>8835</v>
      </c>
      <c r="J2681">
        <v>6165</v>
      </c>
      <c r="K2681">
        <v>15000</v>
      </c>
      <c r="N2681">
        <v>31.818181818181817</v>
      </c>
      <c r="O2681">
        <v>6.5601000000000003</v>
      </c>
      <c r="P2681">
        <v>180.3133</v>
      </c>
      <c r="Q2681">
        <v>6.5</v>
      </c>
      <c r="R2681">
        <v>6</v>
      </c>
      <c r="S2681">
        <v>7</v>
      </c>
      <c r="T2681">
        <v>96.789972000000006</v>
      </c>
      <c r="W2681" t="s">
        <v>497</v>
      </c>
    </row>
    <row r="2682" spans="1:23" x14ac:dyDescent="0.25">
      <c r="A2682" t="s">
        <v>3128</v>
      </c>
      <c r="B2682" t="str">
        <f t="shared" si="42"/>
        <v>CG1100000781</v>
      </c>
      <c r="C2682" t="s">
        <v>229</v>
      </c>
      <c r="D2682" t="s">
        <v>77</v>
      </c>
      <c r="E2682" t="s">
        <v>78</v>
      </c>
      <c r="F2682">
        <v>12000</v>
      </c>
      <c r="G2682" s="13">
        <v>45342</v>
      </c>
      <c r="H2682" s="13">
        <v>45435</v>
      </c>
      <c r="I2682">
        <v>8053</v>
      </c>
      <c r="J2682">
        <v>305</v>
      </c>
      <c r="K2682">
        <v>8358</v>
      </c>
      <c r="N2682">
        <v>16.666666666666664</v>
      </c>
      <c r="O2682">
        <v>6.3905000000000003</v>
      </c>
      <c r="P2682">
        <v>69.733329999999995</v>
      </c>
      <c r="Q2682">
        <v>6.3</v>
      </c>
      <c r="R2682">
        <v>6</v>
      </c>
      <c r="S2682">
        <v>6.5</v>
      </c>
      <c r="T2682">
        <v>98.410295000000005</v>
      </c>
      <c r="W2682" t="s">
        <v>497</v>
      </c>
    </row>
    <row r="2683" spans="1:23" x14ac:dyDescent="0.25">
      <c r="A2683" t="s">
        <v>3129</v>
      </c>
      <c r="B2683" t="str">
        <f t="shared" si="42"/>
        <v>CG1200001200</v>
      </c>
      <c r="C2683" t="s">
        <v>229</v>
      </c>
      <c r="D2683" t="s">
        <v>77</v>
      </c>
      <c r="E2683" t="s">
        <v>82</v>
      </c>
      <c r="F2683">
        <v>15000</v>
      </c>
      <c r="G2683" s="13">
        <v>45342</v>
      </c>
      <c r="H2683" s="13">
        <v>45526</v>
      </c>
      <c r="I2683">
        <v>10242</v>
      </c>
      <c r="J2683">
        <v>3055</v>
      </c>
      <c r="K2683">
        <v>13297</v>
      </c>
      <c r="N2683">
        <v>37.5</v>
      </c>
      <c r="O2683">
        <v>6.7858999999999998</v>
      </c>
      <c r="P2683">
        <v>88.646699999999996</v>
      </c>
      <c r="Q2683">
        <v>6.75</v>
      </c>
      <c r="R2683">
        <v>6</v>
      </c>
      <c r="S2683">
        <v>6.75</v>
      </c>
      <c r="T2683">
        <v>96.683126999999999</v>
      </c>
      <c r="W2683" t="s">
        <v>497</v>
      </c>
    </row>
    <row r="2684" spans="1:23" x14ac:dyDescent="0.25">
      <c r="A2684" t="s">
        <v>3130</v>
      </c>
      <c r="B2684" t="str">
        <f t="shared" si="42"/>
        <v>CG1300000466</v>
      </c>
      <c r="C2684" t="s">
        <v>229</v>
      </c>
      <c r="D2684" t="s">
        <v>77</v>
      </c>
      <c r="E2684" t="s">
        <v>287</v>
      </c>
      <c r="F2684">
        <v>15000</v>
      </c>
      <c r="G2684" s="13">
        <v>45342</v>
      </c>
      <c r="H2684" s="13">
        <v>45708</v>
      </c>
      <c r="I2684">
        <v>173</v>
      </c>
      <c r="J2684">
        <v>2920</v>
      </c>
      <c r="K2684">
        <v>3093</v>
      </c>
      <c r="N2684">
        <v>37.5</v>
      </c>
      <c r="O2684">
        <v>7.3308</v>
      </c>
      <c r="P2684">
        <v>20.62</v>
      </c>
      <c r="Q2684">
        <v>7</v>
      </c>
      <c r="R2684">
        <v>6</v>
      </c>
      <c r="S2684">
        <v>7</v>
      </c>
      <c r="T2684">
        <v>93.099272999999997</v>
      </c>
      <c r="W2684" t="s">
        <v>497</v>
      </c>
    </row>
    <row r="2685" spans="1:23" x14ac:dyDescent="0.25">
      <c r="A2685" t="s">
        <v>3131</v>
      </c>
      <c r="B2685" t="str">
        <f t="shared" si="42"/>
        <v>GA1200002028</v>
      </c>
      <c r="C2685" t="s">
        <v>227</v>
      </c>
      <c r="D2685" t="s">
        <v>77</v>
      </c>
      <c r="E2685" t="s">
        <v>82</v>
      </c>
      <c r="F2685">
        <v>9500</v>
      </c>
      <c r="G2685" s="13">
        <v>45343</v>
      </c>
      <c r="H2685" s="13">
        <v>45527</v>
      </c>
      <c r="I2685">
        <v>7000</v>
      </c>
      <c r="J2685">
        <v>2500</v>
      </c>
      <c r="K2685">
        <v>9500</v>
      </c>
      <c r="N2685">
        <v>28.571428571428569</v>
      </c>
      <c r="O2685">
        <v>6.45</v>
      </c>
      <c r="P2685">
        <v>140.84209999999999</v>
      </c>
      <c r="Q2685">
        <v>6.45</v>
      </c>
      <c r="R2685">
        <v>6.25</v>
      </c>
      <c r="S2685">
        <v>6.55</v>
      </c>
      <c r="T2685">
        <v>96.759210999999993</v>
      </c>
      <c r="W2685" t="s">
        <v>497</v>
      </c>
    </row>
    <row r="2686" spans="1:23" x14ac:dyDescent="0.25">
      <c r="A2686" t="s">
        <v>3132</v>
      </c>
      <c r="B2686" t="str">
        <f t="shared" si="42"/>
        <v>GQ1200000107</v>
      </c>
      <c r="C2686" t="s">
        <v>528</v>
      </c>
      <c r="D2686" t="s">
        <v>77</v>
      </c>
      <c r="E2686" t="s">
        <v>82</v>
      </c>
      <c r="F2686">
        <v>10000</v>
      </c>
      <c r="G2686" s="13">
        <v>45342</v>
      </c>
      <c r="H2686" s="13">
        <v>45526</v>
      </c>
      <c r="I2686">
        <v>9000</v>
      </c>
      <c r="J2686">
        <v>0</v>
      </c>
      <c r="K2686">
        <v>9000</v>
      </c>
      <c r="N2686">
        <v>23.076923076923077</v>
      </c>
      <c r="O2686">
        <v>6.4923999999999999</v>
      </c>
      <c r="P2686">
        <v>90.1</v>
      </c>
      <c r="Q2686">
        <v>6.4</v>
      </c>
      <c r="R2686">
        <v>6.15</v>
      </c>
      <c r="S2686">
        <v>7</v>
      </c>
      <c r="T2686">
        <v>96.822022000000004</v>
      </c>
      <c r="W2686" t="s">
        <v>497</v>
      </c>
    </row>
    <row r="2687" spans="1:23" x14ac:dyDescent="0.25">
      <c r="A2687" t="s">
        <v>3133</v>
      </c>
      <c r="B2687" t="str">
        <f t="shared" si="42"/>
        <v>CM1200001582</v>
      </c>
      <c r="C2687" t="s">
        <v>225</v>
      </c>
      <c r="D2687" t="s">
        <v>77</v>
      </c>
      <c r="E2687" t="s">
        <v>82</v>
      </c>
      <c r="F2687">
        <v>20000</v>
      </c>
      <c r="G2687" s="13">
        <v>45348</v>
      </c>
      <c r="H2687" s="13">
        <v>45532</v>
      </c>
      <c r="I2687">
        <v>19000</v>
      </c>
      <c r="J2687">
        <v>1000</v>
      </c>
      <c r="K2687">
        <v>20000</v>
      </c>
      <c r="N2687">
        <v>31.818181818181817</v>
      </c>
      <c r="O2687">
        <v>6.6016000000000004</v>
      </c>
      <c r="P2687">
        <v>165.39500000000001</v>
      </c>
      <c r="Q2687">
        <v>6.5</v>
      </c>
      <c r="R2687">
        <v>5.75</v>
      </c>
      <c r="S2687">
        <v>6.75</v>
      </c>
      <c r="T2687">
        <v>96.770321999999993</v>
      </c>
      <c r="W2687" t="s">
        <v>497</v>
      </c>
    </row>
    <row r="2688" spans="1:23" x14ac:dyDescent="0.25">
      <c r="A2688" t="s">
        <v>3134</v>
      </c>
      <c r="B2688" t="str">
        <f t="shared" si="42"/>
        <v>CG1200001218</v>
      </c>
      <c r="C2688" t="s">
        <v>229</v>
      </c>
      <c r="D2688" t="s">
        <v>77</v>
      </c>
      <c r="E2688" t="s">
        <v>82</v>
      </c>
      <c r="F2688">
        <v>20000</v>
      </c>
      <c r="G2688" s="13">
        <v>45349</v>
      </c>
      <c r="H2688" s="13">
        <v>45533</v>
      </c>
      <c r="I2688">
        <v>8500</v>
      </c>
      <c r="J2688">
        <v>8418</v>
      </c>
      <c r="K2688">
        <v>16918</v>
      </c>
      <c r="N2688">
        <v>20.833333333333336</v>
      </c>
      <c r="O2688">
        <v>6.8324999999999996</v>
      </c>
      <c r="P2688">
        <v>86.69</v>
      </c>
      <c r="Q2688">
        <v>6.75</v>
      </c>
      <c r="R2688">
        <v>6</v>
      </c>
      <c r="S2688">
        <v>7</v>
      </c>
      <c r="T2688">
        <v>96.661124000000001</v>
      </c>
      <c r="W2688" t="s">
        <v>497</v>
      </c>
    </row>
    <row r="2689" spans="1:23" x14ac:dyDescent="0.25">
      <c r="A2689" t="s">
        <v>3135</v>
      </c>
      <c r="B2689" t="str">
        <f t="shared" si="42"/>
        <v>GQ1300001328</v>
      </c>
      <c r="C2689" t="s">
        <v>528</v>
      </c>
      <c r="D2689" t="s">
        <v>77</v>
      </c>
      <c r="E2689" t="s">
        <v>287</v>
      </c>
      <c r="F2689">
        <v>10000</v>
      </c>
      <c r="G2689" s="13">
        <v>45349</v>
      </c>
      <c r="H2689" s="13">
        <v>45715</v>
      </c>
      <c r="I2689">
        <v>10000</v>
      </c>
      <c r="J2689">
        <v>0</v>
      </c>
      <c r="K2689">
        <v>10000</v>
      </c>
      <c r="N2689">
        <v>23.076923076923077</v>
      </c>
      <c r="O2689">
        <v>6.8428000000000004</v>
      </c>
      <c r="P2689">
        <v>112.35</v>
      </c>
      <c r="Q2689">
        <v>6.4</v>
      </c>
      <c r="R2689">
        <v>6.4</v>
      </c>
      <c r="S2689">
        <v>6.7</v>
      </c>
      <c r="T2689">
        <v>93.528889000000007</v>
      </c>
      <c r="W2689" t="s">
        <v>497</v>
      </c>
    </row>
    <row r="2690" spans="1:23" x14ac:dyDescent="0.25">
      <c r="A2690" t="s">
        <v>3136</v>
      </c>
      <c r="B2690" t="str">
        <f t="shared" si="42"/>
        <v>TD1200001816</v>
      </c>
      <c r="C2690" t="s">
        <v>237</v>
      </c>
      <c r="D2690" t="s">
        <v>77</v>
      </c>
      <c r="E2690" t="s">
        <v>82</v>
      </c>
      <c r="F2690">
        <v>5000</v>
      </c>
      <c r="G2690" s="13">
        <v>45350</v>
      </c>
      <c r="H2690" s="13">
        <v>45534</v>
      </c>
      <c r="J2690">
        <v>0</v>
      </c>
      <c r="N2690">
        <v>0</v>
      </c>
      <c r="T2690" t="s">
        <v>1418</v>
      </c>
      <c r="W2690" t="s">
        <v>497</v>
      </c>
    </row>
    <row r="2691" spans="1:23" x14ac:dyDescent="0.25">
      <c r="A2691" t="s">
        <v>3137</v>
      </c>
      <c r="B2691" t="str">
        <f t="shared" si="42"/>
        <v>GA1300000708</v>
      </c>
      <c r="C2691" t="s">
        <v>227</v>
      </c>
      <c r="D2691" t="s">
        <v>77</v>
      </c>
      <c r="E2691" t="s">
        <v>287</v>
      </c>
      <c r="F2691">
        <v>7500</v>
      </c>
      <c r="G2691" s="13">
        <v>45350</v>
      </c>
      <c r="H2691" s="13">
        <v>45716</v>
      </c>
      <c r="J2691">
        <v>0</v>
      </c>
      <c r="N2691">
        <v>0</v>
      </c>
      <c r="T2691" t="s">
        <v>1418</v>
      </c>
      <c r="W2691" t="s">
        <v>497</v>
      </c>
    </row>
    <row r="2692" spans="1:23" x14ac:dyDescent="0.25">
      <c r="A2692" t="s">
        <v>3138</v>
      </c>
      <c r="B2692" t="str">
        <f t="shared" si="42"/>
        <v>CM1200001590</v>
      </c>
      <c r="C2692" t="s">
        <v>225</v>
      </c>
      <c r="D2692" t="s">
        <v>77</v>
      </c>
      <c r="E2692" t="s">
        <v>82</v>
      </c>
      <c r="F2692">
        <v>20000</v>
      </c>
      <c r="G2692" s="13">
        <v>45355</v>
      </c>
      <c r="H2692" s="13">
        <v>45539</v>
      </c>
      <c r="I2692">
        <v>20000</v>
      </c>
      <c r="J2692">
        <v>0</v>
      </c>
      <c r="K2692">
        <v>20000</v>
      </c>
      <c r="N2692">
        <v>22.727272727272727</v>
      </c>
      <c r="O2692">
        <v>6.6447000000000003</v>
      </c>
      <c r="P2692">
        <v>106.755</v>
      </c>
      <c r="Q2692">
        <v>6.5</v>
      </c>
      <c r="R2692">
        <v>6.35</v>
      </c>
      <c r="S2692">
        <v>6.5</v>
      </c>
      <c r="T2692">
        <v>96.74991</v>
      </c>
      <c r="W2692" t="s">
        <v>497</v>
      </c>
    </row>
    <row r="2693" spans="1:23" x14ac:dyDescent="0.25">
      <c r="A2693" t="s">
        <v>3139</v>
      </c>
      <c r="B2693" t="str">
        <f t="shared" si="42"/>
        <v>CF1300000046</v>
      </c>
      <c r="C2693" t="s">
        <v>2406</v>
      </c>
      <c r="D2693" t="s">
        <v>77</v>
      </c>
      <c r="E2693" t="s">
        <v>287</v>
      </c>
      <c r="F2693">
        <v>3000</v>
      </c>
      <c r="G2693" s="13">
        <v>45355</v>
      </c>
      <c r="H2693" s="13">
        <v>45721</v>
      </c>
      <c r="I2693">
        <v>3000</v>
      </c>
      <c r="J2693">
        <v>0</v>
      </c>
      <c r="K2693">
        <v>3000</v>
      </c>
      <c r="N2693">
        <v>11.111111111111111</v>
      </c>
      <c r="O2693">
        <v>8.7041000000000004</v>
      </c>
      <c r="P2693">
        <v>100</v>
      </c>
      <c r="Q2693">
        <v>8</v>
      </c>
      <c r="R2693">
        <v>8</v>
      </c>
      <c r="S2693">
        <v>8</v>
      </c>
      <c r="T2693">
        <v>91.911111000000005</v>
      </c>
      <c r="W2693" t="s">
        <v>497</v>
      </c>
    </row>
    <row r="2694" spans="1:23" x14ac:dyDescent="0.25">
      <c r="A2694" t="s">
        <v>3140</v>
      </c>
      <c r="B2694" t="str">
        <f t="shared" si="42"/>
        <v>CG1100000799</v>
      </c>
      <c r="C2694" t="s">
        <v>229</v>
      </c>
      <c r="D2694" t="s">
        <v>77</v>
      </c>
      <c r="E2694" t="s">
        <v>78</v>
      </c>
      <c r="F2694">
        <v>15000</v>
      </c>
      <c r="G2694" s="13">
        <v>45356</v>
      </c>
      <c r="H2694" s="13">
        <v>45449</v>
      </c>
      <c r="I2694">
        <v>4222</v>
      </c>
      <c r="J2694">
        <v>10778</v>
      </c>
      <c r="K2694">
        <v>15000</v>
      </c>
      <c r="N2694">
        <v>41.666666666666671</v>
      </c>
      <c r="O2694">
        <v>6.3175999999999997</v>
      </c>
      <c r="P2694">
        <v>158.82669999999999</v>
      </c>
      <c r="Q2694">
        <v>6.3</v>
      </c>
      <c r="R2694">
        <v>6</v>
      </c>
      <c r="S2694">
        <v>6.65</v>
      </c>
      <c r="T2694">
        <v>98.428144000000003</v>
      </c>
      <c r="W2694" t="s">
        <v>497</v>
      </c>
    </row>
    <row r="2695" spans="1:23" x14ac:dyDescent="0.25">
      <c r="A2695" t="s">
        <v>3141</v>
      </c>
      <c r="B2695" t="str">
        <f t="shared" si="42"/>
        <v>CG1100000799</v>
      </c>
      <c r="C2695" t="s">
        <v>229</v>
      </c>
      <c r="D2695" t="s">
        <v>77</v>
      </c>
      <c r="E2695" t="s">
        <v>78</v>
      </c>
      <c r="F2695">
        <v>7000</v>
      </c>
      <c r="G2695" s="13">
        <v>45356</v>
      </c>
      <c r="H2695" s="13">
        <v>45449</v>
      </c>
      <c r="I2695">
        <v>491</v>
      </c>
      <c r="J2695">
        <v>6509</v>
      </c>
      <c r="K2695">
        <v>7000</v>
      </c>
      <c r="N2695">
        <v>20.833333333333336</v>
      </c>
      <c r="O2695">
        <v>6.3175999999999997</v>
      </c>
      <c r="P2695">
        <v>114.75709999999999</v>
      </c>
      <c r="Q2695">
        <v>6.3175999999999997</v>
      </c>
      <c r="R2695">
        <v>6.3175999999999997</v>
      </c>
      <c r="S2695">
        <v>6.3175999999999997</v>
      </c>
      <c r="W2695" t="s">
        <v>1547</v>
      </c>
    </row>
    <row r="2696" spans="1:23" x14ac:dyDescent="0.25">
      <c r="A2696" t="s">
        <v>3142</v>
      </c>
      <c r="B2696" t="str">
        <f t="shared" si="42"/>
        <v>CG1200001226</v>
      </c>
      <c r="C2696" t="s">
        <v>229</v>
      </c>
      <c r="D2696" t="s">
        <v>77</v>
      </c>
      <c r="E2696" t="s">
        <v>82</v>
      </c>
      <c r="F2696">
        <v>10000</v>
      </c>
      <c r="G2696" s="13">
        <v>45356</v>
      </c>
      <c r="H2696" s="13">
        <v>45540</v>
      </c>
      <c r="I2696">
        <v>0</v>
      </c>
      <c r="J2696">
        <v>2676</v>
      </c>
      <c r="K2696">
        <v>2676</v>
      </c>
      <c r="N2696">
        <v>8.3333333333333321</v>
      </c>
      <c r="O2696">
        <v>6.6809000000000003</v>
      </c>
      <c r="P2696">
        <v>27.46</v>
      </c>
      <c r="Q2696">
        <v>6.5</v>
      </c>
      <c r="R2696">
        <v>6.3</v>
      </c>
      <c r="S2696">
        <v>6.6</v>
      </c>
      <c r="T2696">
        <v>96.732781000000003</v>
      </c>
      <c r="W2696" t="s">
        <v>497</v>
      </c>
    </row>
    <row r="2697" spans="1:23" x14ac:dyDescent="0.25">
      <c r="A2697" t="s">
        <v>3143</v>
      </c>
      <c r="B2697" t="str">
        <f t="shared" si="42"/>
        <v>CG1300000474</v>
      </c>
      <c r="C2697" t="s">
        <v>229</v>
      </c>
      <c r="D2697" t="s">
        <v>77</v>
      </c>
      <c r="E2697" t="s">
        <v>287</v>
      </c>
      <c r="F2697">
        <v>10000</v>
      </c>
      <c r="G2697" s="13">
        <v>45356</v>
      </c>
      <c r="H2697" s="13">
        <v>45722</v>
      </c>
      <c r="I2697">
        <v>2310</v>
      </c>
      <c r="J2697">
        <v>4425</v>
      </c>
      <c r="K2697">
        <v>6735</v>
      </c>
      <c r="N2697">
        <v>20.833333333333336</v>
      </c>
      <c r="O2697">
        <v>7.4119000000000002</v>
      </c>
      <c r="P2697">
        <v>67.349999999999994</v>
      </c>
      <c r="Q2697">
        <v>7</v>
      </c>
      <c r="R2697">
        <v>6.5</v>
      </c>
      <c r="S2697">
        <v>7</v>
      </c>
      <c r="T2697">
        <v>93.02825</v>
      </c>
      <c r="W2697" t="s">
        <v>497</v>
      </c>
    </row>
    <row r="2698" spans="1:23" x14ac:dyDescent="0.25">
      <c r="A2698" t="s">
        <v>3144</v>
      </c>
      <c r="B2698" t="str">
        <f t="shared" si="42"/>
        <v>GA1100001823</v>
      </c>
      <c r="C2698" t="s">
        <v>227</v>
      </c>
      <c r="D2698" t="s">
        <v>77</v>
      </c>
      <c r="E2698" t="s">
        <v>78</v>
      </c>
      <c r="F2698">
        <v>9000</v>
      </c>
      <c r="G2698" s="13">
        <v>45357</v>
      </c>
      <c r="H2698" s="13">
        <v>45450</v>
      </c>
      <c r="I2698">
        <v>6884</v>
      </c>
      <c r="J2698">
        <v>2116</v>
      </c>
      <c r="K2698">
        <v>9000</v>
      </c>
      <c r="N2698">
        <v>14.285714285714285</v>
      </c>
      <c r="O2698">
        <v>6.3072999999999997</v>
      </c>
      <c r="P2698">
        <v>138.88890000000001</v>
      </c>
      <c r="Q2698">
        <v>6.25</v>
      </c>
      <c r="R2698">
        <v>6</v>
      </c>
      <c r="S2698">
        <v>6.3</v>
      </c>
      <c r="T2698">
        <v>98.430671000000004</v>
      </c>
      <c r="W2698" t="s">
        <v>497</v>
      </c>
    </row>
    <row r="2699" spans="1:23" x14ac:dyDescent="0.25">
      <c r="A2699" t="s">
        <v>3145</v>
      </c>
      <c r="B2699" t="str">
        <f t="shared" si="42"/>
        <v>GA1300000716</v>
      </c>
      <c r="C2699" t="s">
        <v>227</v>
      </c>
      <c r="D2699" t="s">
        <v>77</v>
      </c>
      <c r="E2699" t="s">
        <v>287</v>
      </c>
      <c r="F2699">
        <v>7500</v>
      </c>
      <c r="G2699" s="13">
        <v>45357</v>
      </c>
      <c r="H2699" s="13">
        <v>45723</v>
      </c>
      <c r="I2699">
        <v>1500</v>
      </c>
      <c r="J2699">
        <v>3000</v>
      </c>
      <c r="K2699">
        <v>4500</v>
      </c>
      <c r="N2699">
        <v>19.047619047619047</v>
      </c>
      <c r="O2699">
        <v>6.8555000000000001</v>
      </c>
      <c r="P2699">
        <v>93.333299999999994</v>
      </c>
      <c r="Q2699">
        <v>6.5</v>
      </c>
      <c r="R2699">
        <v>6.15</v>
      </c>
      <c r="S2699">
        <v>6.6</v>
      </c>
      <c r="T2699">
        <v>93.517653999999993</v>
      </c>
      <c r="W2699" t="s">
        <v>497</v>
      </c>
    </row>
    <row r="2700" spans="1:23" x14ac:dyDescent="0.25">
      <c r="A2700" t="s">
        <v>3146</v>
      </c>
      <c r="B2700" t="str">
        <f t="shared" si="42"/>
        <v>TD1200001824</v>
      </c>
      <c r="C2700" t="s">
        <v>237</v>
      </c>
      <c r="D2700" t="s">
        <v>77</v>
      </c>
      <c r="E2700" t="s">
        <v>82</v>
      </c>
      <c r="F2700">
        <v>10000</v>
      </c>
      <c r="G2700" s="13">
        <v>45357</v>
      </c>
      <c r="H2700" s="13">
        <v>45541</v>
      </c>
      <c r="I2700">
        <v>0</v>
      </c>
      <c r="J2700">
        <v>5020</v>
      </c>
      <c r="K2700">
        <v>5020</v>
      </c>
      <c r="N2700">
        <v>25</v>
      </c>
      <c r="O2700">
        <v>7.2526999999999999</v>
      </c>
      <c r="P2700">
        <v>50.2</v>
      </c>
      <c r="Q2700">
        <v>7</v>
      </c>
      <c r="R2700">
        <v>5.6</v>
      </c>
      <c r="S2700">
        <v>7</v>
      </c>
      <c r="T2700">
        <v>96.463025000000002</v>
      </c>
      <c r="W2700" t="s">
        <v>497</v>
      </c>
    </row>
    <row r="2701" spans="1:23" x14ac:dyDescent="0.25">
      <c r="A2701" t="s">
        <v>3147</v>
      </c>
      <c r="B2701" t="str">
        <f t="shared" si="42"/>
        <v>CG1200001234</v>
      </c>
      <c r="C2701" t="s">
        <v>229</v>
      </c>
      <c r="D2701" t="s">
        <v>77</v>
      </c>
      <c r="E2701" t="s">
        <v>82</v>
      </c>
      <c r="F2701">
        <v>20000</v>
      </c>
      <c r="G2701" s="13">
        <v>45363</v>
      </c>
      <c r="H2701" s="13">
        <v>45547</v>
      </c>
      <c r="I2701">
        <v>3350</v>
      </c>
      <c r="J2701">
        <v>16340</v>
      </c>
      <c r="K2701">
        <v>19690</v>
      </c>
      <c r="N2701">
        <v>37.5</v>
      </c>
      <c r="O2701">
        <v>6.7774999999999999</v>
      </c>
      <c r="P2701">
        <v>98.45</v>
      </c>
      <c r="Q2701">
        <v>6.75</v>
      </c>
      <c r="R2701">
        <v>6</v>
      </c>
      <c r="S2701">
        <v>6.75</v>
      </c>
      <c r="T2701">
        <v>96.687121899999994</v>
      </c>
      <c r="W2701" t="s">
        <v>497</v>
      </c>
    </row>
    <row r="2702" spans="1:23" x14ac:dyDescent="0.25">
      <c r="A2702" t="s">
        <v>3148</v>
      </c>
      <c r="B2702" t="str">
        <f t="shared" si="42"/>
        <v>CG1300000474</v>
      </c>
      <c r="C2702" t="s">
        <v>229</v>
      </c>
      <c r="D2702" t="s">
        <v>77</v>
      </c>
      <c r="E2702" t="s">
        <v>287</v>
      </c>
      <c r="F2702">
        <v>15000</v>
      </c>
      <c r="G2702" s="13">
        <v>45363</v>
      </c>
      <c r="H2702" s="13">
        <v>45722</v>
      </c>
      <c r="I2702">
        <v>250</v>
      </c>
      <c r="J2702">
        <v>2495</v>
      </c>
      <c r="K2702">
        <v>2745</v>
      </c>
      <c r="N2702">
        <v>20.833333333333336</v>
      </c>
      <c r="O2702">
        <v>6.75</v>
      </c>
      <c r="P2702">
        <v>18.3</v>
      </c>
      <c r="Q2702">
        <v>6.75</v>
      </c>
      <c r="R2702">
        <v>6</v>
      </c>
      <c r="S2702">
        <v>6.75</v>
      </c>
      <c r="T2702">
        <v>93.760086999999999</v>
      </c>
      <c r="W2702" t="s">
        <v>497</v>
      </c>
    </row>
    <row r="2703" spans="1:23" x14ac:dyDescent="0.25">
      <c r="A2703" t="s">
        <v>3149</v>
      </c>
      <c r="B2703" t="str">
        <f t="shared" si="42"/>
        <v>GA1200002036</v>
      </c>
      <c r="C2703" t="s">
        <v>227</v>
      </c>
      <c r="D2703" t="s">
        <v>77</v>
      </c>
      <c r="E2703" t="s">
        <v>82</v>
      </c>
      <c r="F2703">
        <v>9000</v>
      </c>
      <c r="G2703" s="13">
        <v>45364</v>
      </c>
      <c r="H2703" s="13">
        <v>45548</v>
      </c>
      <c r="I2703">
        <v>850</v>
      </c>
      <c r="J2703">
        <v>7406</v>
      </c>
      <c r="K2703">
        <v>8256</v>
      </c>
      <c r="N2703">
        <v>14.285714285714285</v>
      </c>
      <c r="O2703">
        <v>6.5633999999999997</v>
      </c>
      <c r="P2703">
        <v>125.2333</v>
      </c>
      <c r="Q2703">
        <v>6.5</v>
      </c>
      <c r="R2703">
        <v>6</v>
      </c>
      <c r="S2703">
        <v>6.4</v>
      </c>
      <c r="T2703">
        <v>96.788424000000006</v>
      </c>
      <c r="W2703" t="s">
        <v>497</v>
      </c>
    </row>
    <row r="2704" spans="1:23" x14ac:dyDescent="0.25">
      <c r="A2704" t="s">
        <v>3150</v>
      </c>
      <c r="B2704" t="str">
        <f t="shared" si="42"/>
        <v>TD1200001832</v>
      </c>
      <c r="C2704" t="s">
        <v>237</v>
      </c>
      <c r="D2704" t="s">
        <v>77</v>
      </c>
      <c r="E2704" t="s">
        <v>82</v>
      </c>
      <c r="F2704">
        <v>15000</v>
      </c>
      <c r="G2704" s="13">
        <v>45364</v>
      </c>
      <c r="H2704" s="13">
        <v>45548</v>
      </c>
      <c r="I2704">
        <v>0</v>
      </c>
      <c r="J2704">
        <v>8545</v>
      </c>
      <c r="K2704">
        <v>8545</v>
      </c>
      <c r="N2704">
        <v>33.333333333333329</v>
      </c>
      <c r="O2704">
        <v>7.2072000000000003</v>
      </c>
      <c r="P2704">
        <v>56.966700000000003</v>
      </c>
      <c r="Q2704">
        <v>7</v>
      </c>
      <c r="R2704">
        <v>6.65</v>
      </c>
      <c r="S2704">
        <v>7</v>
      </c>
      <c r="T2704">
        <v>96.484436000000002</v>
      </c>
      <c r="W2704" t="s">
        <v>497</v>
      </c>
    </row>
    <row r="2705" spans="1:23" x14ac:dyDescent="0.25">
      <c r="A2705" t="s">
        <v>3151</v>
      </c>
      <c r="B2705" t="str">
        <f t="shared" si="42"/>
        <v>CM1300000682</v>
      </c>
      <c r="C2705" t="s">
        <v>225</v>
      </c>
      <c r="D2705" t="s">
        <v>77</v>
      </c>
      <c r="E2705" t="s">
        <v>287</v>
      </c>
      <c r="F2705">
        <v>15000</v>
      </c>
      <c r="G2705" s="13">
        <v>45369</v>
      </c>
      <c r="H2705" s="13">
        <v>45735</v>
      </c>
      <c r="J2705">
        <v>2995</v>
      </c>
      <c r="K2705">
        <v>2995</v>
      </c>
      <c r="N2705">
        <v>22.727272727272727</v>
      </c>
      <c r="O2705">
        <v>7.0603999999999996</v>
      </c>
      <c r="P2705">
        <v>20.633299999999998</v>
      </c>
      <c r="Q2705">
        <v>6.75</v>
      </c>
      <c r="R2705">
        <v>6</v>
      </c>
      <c r="S2705">
        <v>7</v>
      </c>
      <c r="T2705">
        <v>93.336794999999995</v>
      </c>
      <c r="W2705" t="s">
        <v>497</v>
      </c>
    </row>
    <row r="2706" spans="1:23" x14ac:dyDescent="0.25">
      <c r="A2706" t="s">
        <v>3152</v>
      </c>
      <c r="B2706" t="str">
        <f t="shared" si="42"/>
        <v>CG1100000807</v>
      </c>
      <c r="C2706" t="s">
        <v>229</v>
      </c>
      <c r="D2706" t="s">
        <v>77</v>
      </c>
      <c r="E2706" t="s">
        <v>78</v>
      </c>
      <c r="F2706">
        <v>25000</v>
      </c>
      <c r="G2706" s="13">
        <v>45370</v>
      </c>
      <c r="H2706" s="13">
        <v>45463</v>
      </c>
      <c r="I2706">
        <v>28</v>
      </c>
      <c r="J2706">
        <v>1192</v>
      </c>
      <c r="K2706">
        <v>1220</v>
      </c>
      <c r="N2706">
        <v>16.666666666666664</v>
      </c>
      <c r="O2706">
        <v>6.3493000000000004</v>
      </c>
      <c r="P2706">
        <v>4.9320000000000004</v>
      </c>
      <c r="Q2706">
        <v>6.3</v>
      </c>
      <c r="R2706">
        <v>5.95</v>
      </c>
      <c r="S2706">
        <v>7</v>
      </c>
      <c r="T2706">
        <v>98.420388000000003</v>
      </c>
      <c r="W2706" t="s">
        <v>497</v>
      </c>
    </row>
    <row r="2707" spans="1:23" x14ac:dyDescent="0.25">
      <c r="A2707" t="s">
        <v>3153</v>
      </c>
      <c r="B2707" t="str">
        <f t="shared" si="42"/>
        <v>CG1200001242</v>
      </c>
      <c r="C2707" t="s">
        <v>229</v>
      </c>
      <c r="D2707" t="s">
        <v>77</v>
      </c>
      <c r="E2707" t="s">
        <v>82</v>
      </c>
      <c r="F2707">
        <v>20000</v>
      </c>
      <c r="G2707" s="13">
        <v>45370</v>
      </c>
      <c r="H2707" s="13">
        <v>45554</v>
      </c>
      <c r="J2707">
        <v>3466</v>
      </c>
      <c r="K2707">
        <v>3466</v>
      </c>
      <c r="N2707">
        <v>20.833333333333336</v>
      </c>
      <c r="O2707">
        <v>6.6837</v>
      </c>
      <c r="P2707">
        <v>17.329999999999998</v>
      </c>
      <c r="Q2707">
        <v>6.75</v>
      </c>
      <c r="R2707">
        <v>6.45</v>
      </c>
      <c r="S2707">
        <v>6.75</v>
      </c>
      <c r="T2707">
        <v>96.731465</v>
      </c>
      <c r="W2707" t="s">
        <v>497</v>
      </c>
    </row>
    <row r="2708" spans="1:23" x14ac:dyDescent="0.25">
      <c r="A2708" t="s">
        <v>3154</v>
      </c>
      <c r="B2708" t="str">
        <f t="shared" si="42"/>
        <v>CG1300000474</v>
      </c>
      <c r="C2708" t="s">
        <v>229</v>
      </c>
      <c r="D2708" t="s">
        <v>77</v>
      </c>
      <c r="E2708" t="s">
        <v>287</v>
      </c>
      <c r="F2708">
        <v>15000</v>
      </c>
      <c r="G2708" s="13">
        <v>45370</v>
      </c>
      <c r="H2708" s="13">
        <v>45719</v>
      </c>
      <c r="I2708">
        <v>2000</v>
      </c>
      <c r="J2708">
        <v>4093</v>
      </c>
      <c r="K2708">
        <v>6093</v>
      </c>
      <c r="N2708">
        <v>20.833333333333336</v>
      </c>
      <c r="O2708">
        <v>7.0583</v>
      </c>
      <c r="P2708">
        <v>40.619999999999997</v>
      </c>
      <c r="Q2708">
        <v>6.75</v>
      </c>
      <c r="R2708">
        <v>6</v>
      </c>
      <c r="S2708">
        <v>6.75</v>
      </c>
      <c r="T2708">
        <v>93.578434999999999</v>
      </c>
      <c r="W2708" t="s">
        <v>497</v>
      </c>
    </row>
    <row r="2709" spans="1:23" x14ac:dyDescent="0.25">
      <c r="A2709" t="s">
        <v>3155</v>
      </c>
      <c r="B2709" t="str">
        <f t="shared" si="42"/>
        <v>GA1200002044</v>
      </c>
      <c r="C2709" t="s">
        <v>227</v>
      </c>
      <c r="D2709" t="s">
        <v>77</v>
      </c>
      <c r="E2709" t="s">
        <v>82</v>
      </c>
      <c r="F2709">
        <v>7500</v>
      </c>
      <c r="G2709" s="13">
        <v>45371</v>
      </c>
      <c r="H2709" s="13">
        <v>45555</v>
      </c>
      <c r="I2709">
        <v>875</v>
      </c>
      <c r="J2709">
        <v>6625</v>
      </c>
      <c r="K2709">
        <v>7500</v>
      </c>
      <c r="N2709">
        <v>28.571428571428569</v>
      </c>
      <c r="O2709">
        <v>6.5698999999999996</v>
      </c>
      <c r="P2709">
        <v>121.9067</v>
      </c>
      <c r="Q2709">
        <v>6.4</v>
      </c>
      <c r="R2709">
        <v>6</v>
      </c>
      <c r="S2709">
        <v>6.4</v>
      </c>
      <c r="T2709">
        <v>96.785307000000003</v>
      </c>
      <c r="W2709" t="s">
        <v>497</v>
      </c>
    </row>
    <row r="2710" spans="1:23" x14ac:dyDescent="0.25">
      <c r="A2710" t="s">
        <v>3156</v>
      </c>
      <c r="B2710" t="str">
        <f t="shared" si="42"/>
        <v>TD1200001840</v>
      </c>
      <c r="C2710" t="s">
        <v>237</v>
      </c>
      <c r="D2710" t="s">
        <v>77</v>
      </c>
      <c r="E2710" t="s">
        <v>82</v>
      </c>
      <c r="F2710">
        <v>10000</v>
      </c>
      <c r="G2710" s="13">
        <v>45371</v>
      </c>
      <c r="H2710" s="13">
        <v>45555</v>
      </c>
      <c r="J2710">
        <v>6980</v>
      </c>
      <c r="K2710">
        <v>6980</v>
      </c>
      <c r="N2710">
        <v>16.666666666666664</v>
      </c>
      <c r="O2710">
        <v>7.2522000000000002</v>
      </c>
      <c r="P2710">
        <v>69.8</v>
      </c>
      <c r="Q2710">
        <v>7</v>
      </c>
      <c r="R2710">
        <v>6</v>
      </c>
      <c r="S2710">
        <v>7</v>
      </c>
      <c r="T2710">
        <v>96.463284000000002</v>
      </c>
      <c r="W2710" t="s">
        <v>497</v>
      </c>
    </row>
    <row r="2711" spans="1:23" x14ac:dyDescent="0.25">
      <c r="A2711" t="s">
        <v>3157</v>
      </c>
      <c r="B2711" t="str">
        <f t="shared" si="42"/>
        <v>CM1300000690</v>
      </c>
      <c r="C2711" t="s">
        <v>225</v>
      </c>
      <c r="D2711" t="s">
        <v>77</v>
      </c>
      <c r="E2711" t="s">
        <v>287</v>
      </c>
      <c r="F2711">
        <v>10000</v>
      </c>
      <c r="G2711" s="13">
        <v>45376</v>
      </c>
      <c r="H2711" s="13">
        <v>45742</v>
      </c>
      <c r="J2711">
        <v>0</v>
      </c>
      <c r="N2711">
        <v>0</v>
      </c>
      <c r="T2711" t="s">
        <v>750</v>
      </c>
      <c r="W2711" t="s">
        <v>497</v>
      </c>
    </row>
    <row r="2712" spans="1:23" x14ac:dyDescent="0.25">
      <c r="A2712" t="s">
        <v>3158</v>
      </c>
      <c r="B2712" t="str">
        <f t="shared" si="42"/>
        <v>CG1100000815</v>
      </c>
      <c r="C2712" t="s">
        <v>229</v>
      </c>
      <c r="D2712" t="s">
        <v>77</v>
      </c>
      <c r="E2712" t="s">
        <v>78</v>
      </c>
      <c r="F2712">
        <v>15000</v>
      </c>
      <c r="G2712" s="13">
        <v>45377</v>
      </c>
      <c r="H2712" s="13">
        <v>45470</v>
      </c>
      <c r="I2712">
        <v>0</v>
      </c>
      <c r="J2712">
        <v>5018</v>
      </c>
      <c r="K2712">
        <v>5018</v>
      </c>
      <c r="N2712">
        <v>12.5</v>
      </c>
      <c r="O2712">
        <v>6.298</v>
      </c>
      <c r="P2712">
        <v>33.5867</v>
      </c>
      <c r="Q2712">
        <v>6.2</v>
      </c>
      <c r="R2712">
        <v>6</v>
      </c>
      <c r="S2712">
        <v>6.3</v>
      </c>
      <c r="T2712">
        <v>98.432958999999997</v>
      </c>
      <c r="W2712" t="s">
        <v>497</v>
      </c>
    </row>
    <row r="2713" spans="1:23" x14ac:dyDescent="0.25">
      <c r="A2713" t="s">
        <v>3159</v>
      </c>
      <c r="B2713" t="str">
        <f t="shared" si="42"/>
        <v>CG1200001259</v>
      </c>
      <c r="C2713" t="s">
        <v>229</v>
      </c>
      <c r="D2713" t="s">
        <v>77</v>
      </c>
      <c r="E2713" t="s">
        <v>82</v>
      </c>
      <c r="F2713">
        <v>15000</v>
      </c>
      <c r="G2713" s="13">
        <v>45377</v>
      </c>
      <c r="H2713" s="13">
        <v>45561</v>
      </c>
      <c r="J2713">
        <v>1712</v>
      </c>
      <c r="K2713">
        <v>1712</v>
      </c>
      <c r="N2713">
        <v>12.5</v>
      </c>
      <c r="O2713">
        <v>6.5705999999999998</v>
      </c>
      <c r="P2713">
        <v>11.4133</v>
      </c>
      <c r="Q2713">
        <v>6.5</v>
      </c>
      <c r="R2713">
        <v>6.25</v>
      </c>
      <c r="S2713">
        <v>6.5</v>
      </c>
      <c r="T2713">
        <v>96.784982999999997</v>
      </c>
      <c r="W2713" t="s">
        <v>497</v>
      </c>
    </row>
    <row r="2714" spans="1:23" x14ac:dyDescent="0.25">
      <c r="A2714" t="s">
        <v>3160</v>
      </c>
      <c r="B2714" t="str">
        <f t="shared" si="42"/>
        <v>GA1200002051</v>
      </c>
      <c r="C2714" t="s">
        <v>227</v>
      </c>
      <c r="D2714" t="s">
        <v>77</v>
      </c>
      <c r="E2714" t="s">
        <v>82</v>
      </c>
      <c r="F2714">
        <v>7500</v>
      </c>
      <c r="G2714" s="13">
        <v>45378</v>
      </c>
      <c r="H2714" s="13">
        <v>45562</v>
      </c>
      <c r="I2714">
        <v>36</v>
      </c>
      <c r="J2714">
        <v>5251</v>
      </c>
      <c r="K2714">
        <v>5287</v>
      </c>
      <c r="N2714">
        <v>28.571428571428569</v>
      </c>
      <c r="O2714">
        <v>6.5773999999999999</v>
      </c>
      <c r="P2714">
        <v>71.239999999999995</v>
      </c>
      <c r="Q2714">
        <v>6.4</v>
      </c>
      <c r="R2714">
        <v>5.7</v>
      </c>
      <c r="S2714">
        <v>6.5</v>
      </c>
      <c r="T2714">
        <v>96.781766000000005</v>
      </c>
      <c r="W2714" t="s">
        <v>497</v>
      </c>
    </row>
    <row r="2715" spans="1:23" x14ac:dyDescent="0.25">
      <c r="A2715" t="s">
        <v>3161</v>
      </c>
      <c r="B2715" t="str">
        <f t="shared" ref="B2715:B2778" si="43">MID(A2715,1,12)</f>
        <v>CM1200001608</v>
      </c>
      <c r="C2715" t="s">
        <v>225</v>
      </c>
      <c r="D2715" t="s">
        <v>77</v>
      </c>
      <c r="E2715" t="s">
        <v>82</v>
      </c>
      <c r="F2715">
        <v>25000</v>
      </c>
      <c r="G2715" s="13">
        <v>45383</v>
      </c>
      <c r="H2715" s="13">
        <v>45567</v>
      </c>
      <c r="I2715">
        <v>12000</v>
      </c>
      <c r="J2715">
        <v>0</v>
      </c>
      <c r="K2715">
        <v>12000</v>
      </c>
      <c r="N2715">
        <v>13.636363636363635</v>
      </c>
      <c r="O2715">
        <v>6.7209000000000003</v>
      </c>
      <c r="P2715">
        <v>48.04</v>
      </c>
      <c r="Q2715">
        <v>6.5</v>
      </c>
      <c r="R2715">
        <v>6.5</v>
      </c>
      <c r="S2715">
        <v>7</v>
      </c>
      <c r="T2715">
        <v>96.713888999999995</v>
      </c>
      <c r="W2715" t="s">
        <v>497</v>
      </c>
    </row>
    <row r="2716" spans="1:23" x14ac:dyDescent="0.25">
      <c r="A2716" t="s">
        <v>3162</v>
      </c>
      <c r="B2716" t="str">
        <f t="shared" si="43"/>
        <v>CG1200001267</v>
      </c>
      <c r="C2716" t="s">
        <v>229</v>
      </c>
      <c r="D2716" t="s">
        <v>77</v>
      </c>
      <c r="E2716" t="s">
        <v>82</v>
      </c>
      <c r="F2716">
        <v>31175</v>
      </c>
      <c r="G2716" s="13">
        <v>45384</v>
      </c>
      <c r="H2716" s="13">
        <v>45568</v>
      </c>
      <c r="I2716">
        <v>11175</v>
      </c>
      <c r="J2716">
        <v>20000</v>
      </c>
      <c r="K2716">
        <v>31175</v>
      </c>
      <c r="N2716">
        <v>25</v>
      </c>
      <c r="O2716">
        <v>6.6139999999999999</v>
      </c>
      <c r="P2716">
        <v>100</v>
      </c>
      <c r="Q2716">
        <v>6.4</v>
      </c>
      <c r="R2716">
        <v>6.4</v>
      </c>
      <c r="S2716">
        <v>6.4</v>
      </c>
      <c r="T2716">
        <v>96.764443999999997</v>
      </c>
      <c r="W2716" t="s">
        <v>875</v>
      </c>
    </row>
    <row r="2717" spans="1:23" x14ac:dyDescent="0.25">
      <c r="A2717" t="s">
        <v>3163</v>
      </c>
      <c r="B2717" t="str">
        <f t="shared" si="43"/>
        <v>GA1200002069</v>
      </c>
      <c r="C2717" t="s">
        <v>227</v>
      </c>
      <c r="D2717" t="s">
        <v>77</v>
      </c>
      <c r="E2717" t="s">
        <v>82</v>
      </c>
      <c r="F2717">
        <v>7500</v>
      </c>
      <c r="G2717" s="13">
        <v>45385</v>
      </c>
      <c r="H2717" s="13">
        <v>45569</v>
      </c>
      <c r="I2717">
        <v>2200</v>
      </c>
      <c r="J2717">
        <v>3891</v>
      </c>
      <c r="K2717">
        <v>6091</v>
      </c>
      <c r="N2717">
        <v>28.571428571428569</v>
      </c>
      <c r="O2717">
        <v>6.5090000000000003</v>
      </c>
      <c r="P2717">
        <v>82.546700000000001</v>
      </c>
      <c r="Q2717">
        <v>6.4</v>
      </c>
      <c r="R2717">
        <v>6.15</v>
      </c>
      <c r="S2717">
        <v>6.5</v>
      </c>
      <c r="T2717">
        <v>96.814187000000004</v>
      </c>
      <c r="W2717" t="s">
        <v>497</v>
      </c>
    </row>
    <row r="2718" spans="1:23" x14ac:dyDescent="0.25">
      <c r="A2718" t="s">
        <v>3164</v>
      </c>
      <c r="B2718" t="str">
        <f t="shared" si="43"/>
        <v>GQ1300001336</v>
      </c>
      <c r="C2718" t="s">
        <v>528</v>
      </c>
      <c r="D2718" t="s">
        <v>77</v>
      </c>
      <c r="E2718" t="s">
        <v>287</v>
      </c>
      <c r="F2718">
        <v>15000</v>
      </c>
      <c r="G2718" s="13">
        <v>45384</v>
      </c>
      <c r="H2718" s="13">
        <v>45750</v>
      </c>
      <c r="I2718">
        <v>12300</v>
      </c>
      <c r="J2718">
        <v>2700</v>
      </c>
      <c r="K2718">
        <v>15000</v>
      </c>
      <c r="N2718">
        <v>38.461538461538467</v>
      </c>
      <c r="O2718">
        <v>6.6666999999999996</v>
      </c>
      <c r="P2718">
        <v>147.80000000000001</v>
      </c>
      <c r="Q2718">
        <v>6.3</v>
      </c>
      <c r="R2718">
        <v>5.5</v>
      </c>
      <c r="S2718">
        <v>6.5</v>
      </c>
      <c r="T2718">
        <v>93.684937000000005</v>
      </c>
      <c r="W2718" t="s">
        <v>497</v>
      </c>
    </row>
    <row r="2719" spans="1:23" x14ac:dyDescent="0.25">
      <c r="A2719" t="s">
        <v>3165</v>
      </c>
      <c r="B2719" t="str">
        <f t="shared" si="43"/>
        <v>CG1200001101</v>
      </c>
      <c r="C2719" t="s">
        <v>229</v>
      </c>
      <c r="D2719" t="s">
        <v>77</v>
      </c>
      <c r="E2719" t="s">
        <v>82</v>
      </c>
      <c r="F2719">
        <v>500</v>
      </c>
      <c r="G2719" s="13">
        <v>45391</v>
      </c>
      <c r="H2719" s="13">
        <v>45414</v>
      </c>
      <c r="J2719">
        <v>500</v>
      </c>
      <c r="K2719">
        <v>500</v>
      </c>
      <c r="N2719">
        <v>0</v>
      </c>
      <c r="P2719">
        <v>100</v>
      </c>
      <c r="W2719" t="s">
        <v>681</v>
      </c>
    </row>
    <row r="2720" spans="1:23" x14ac:dyDescent="0.25">
      <c r="A2720" t="s">
        <v>3166</v>
      </c>
      <c r="B2720" t="str">
        <f t="shared" si="43"/>
        <v>CG1200001119</v>
      </c>
      <c r="C2720" t="s">
        <v>229</v>
      </c>
      <c r="D2720" t="s">
        <v>77</v>
      </c>
      <c r="E2720" t="s">
        <v>82</v>
      </c>
      <c r="F2720">
        <v>600</v>
      </c>
      <c r="G2720" s="13">
        <v>45391</v>
      </c>
      <c r="H2720" s="13">
        <v>45421</v>
      </c>
      <c r="J2720">
        <v>600</v>
      </c>
      <c r="K2720">
        <v>600</v>
      </c>
      <c r="N2720">
        <v>0</v>
      </c>
      <c r="P2720">
        <v>100</v>
      </c>
      <c r="W2720" t="s">
        <v>681</v>
      </c>
    </row>
    <row r="2721" spans="1:23" x14ac:dyDescent="0.25">
      <c r="A2721" t="s">
        <v>3167</v>
      </c>
      <c r="B2721" t="str">
        <f t="shared" si="43"/>
        <v>CG1200001135</v>
      </c>
      <c r="C2721" t="s">
        <v>229</v>
      </c>
      <c r="D2721" t="s">
        <v>77</v>
      </c>
      <c r="E2721" t="s">
        <v>82</v>
      </c>
      <c r="F2721">
        <v>750</v>
      </c>
      <c r="G2721" s="13">
        <v>45391</v>
      </c>
      <c r="H2721" s="13">
        <v>45456</v>
      </c>
      <c r="J2721">
        <v>750</v>
      </c>
      <c r="K2721">
        <v>750</v>
      </c>
      <c r="N2721">
        <v>0</v>
      </c>
      <c r="P2721">
        <v>100</v>
      </c>
      <c r="W2721" t="s">
        <v>681</v>
      </c>
    </row>
    <row r="2722" spans="1:23" x14ac:dyDescent="0.25">
      <c r="A2722" t="s">
        <v>3168</v>
      </c>
      <c r="B2722" t="str">
        <f t="shared" si="43"/>
        <v>CG1100000823</v>
      </c>
      <c r="C2722" t="s">
        <v>229</v>
      </c>
      <c r="D2722" t="s">
        <v>77</v>
      </c>
      <c r="E2722" t="s">
        <v>78</v>
      </c>
      <c r="F2722">
        <v>15000</v>
      </c>
      <c r="G2722" s="13">
        <v>45391</v>
      </c>
      <c r="H2722" s="13">
        <v>45484</v>
      </c>
      <c r="I2722">
        <v>9000</v>
      </c>
      <c r="J2722">
        <v>4064</v>
      </c>
      <c r="K2722">
        <v>13064</v>
      </c>
      <c r="N2722">
        <v>33.333333333333329</v>
      </c>
      <c r="O2722">
        <v>6.2225000000000001</v>
      </c>
      <c r="P2722">
        <v>87.16</v>
      </c>
      <c r="Q2722">
        <v>6.5</v>
      </c>
      <c r="R2722">
        <v>6</v>
      </c>
      <c r="S2722">
        <v>6.6</v>
      </c>
      <c r="T2722">
        <v>98.427000000000007</v>
      </c>
      <c r="W2722" t="s">
        <v>497</v>
      </c>
    </row>
    <row r="2723" spans="1:23" x14ac:dyDescent="0.25">
      <c r="A2723" t="s">
        <v>3169</v>
      </c>
      <c r="B2723" t="str">
        <f t="shared" si="43"/>
        <v>CG1300000482</v>
      </c>
      <c r="C2723" t="s">
        <v>229</v>
      </c>
      <c r="D2723" t="s">
        <v>77</v>
      </c>
      <c r="E2723" t="s">
        <v>287</v>
      </c>
      <c r="F2723">
        <v>15000</v>
      </c>
      <c r="G2723" s="13">
        <v>45391</v>
      </c>
      <c r="H2723" s="13">
        <v>45757</v>
      </c>
      <c r="I2723">
        <v>29</v>
      </c>
      <c r="J2723">
        <v>10521</v>
      </c>
      <c r="K2723">
        <v>10550</v>
      </c>
      <c r="N2723">
        <v>20.833333333333336</v>
      </c>
      <c r="O2723">
        <v>6.6524999999999999</v>
      </c>
      <c r="P2723">
        <v>70.366699999999994</v>
      </c>
      <c r="Q2723">
        <v>6.75</v>
      </c>
      <c r="R2723">
        <v>6</v>
      </c>
      <c r="S2723">
        <v>7</v>
      </c>
      <c r="T2723">
        <v>93.273595</v>
      </c>
      <c r="W2723" t="s">
        <v>497</v>
      </c>
    </row>
    <row r="2724" spans="1:23" x14ac:dyDescent="0.25">
      <c r="A2724" t="s">
        <v>3170</v>
      </c>
      <c r="B2724" t="str">
        <f t="shared" si="43"/>
        <v>CM1200001616</v>
      </c>
      <c r="C2724" t="s">
        <v>225</v>
      </c>
      <c r="D2724" t="s">
        <v>77</v>
      </c>
      <c r="E2724" t="s">
        <v>82</v>
      </c>
      <c r="F2724">
        <v>40000</v>
      </c>
      <c r="G2724" s="13">
        <v>45397</v>
      </c>
      <c r="H2724" s="13">
        <v>45581</v>
      </c>
      <c r="I2724">
        <v>0</v>
      </c>
      <c r="J2724">
        <v>29250</v>
      </c>
      <c r="K2724">
        <v>29250</v>
      </c>
      <c r="N2724">
        <v>22.727272727272727</v>
      </c>
      <c r="O2724">
        <v>6.3547000000000002</v>
      </c>
      <c r="P2724">
        <v>78.125</v>
      </c>
      <c r="Q2724">
        <v>6.5</v>
      </c>
      <c r="R2724">
        <v>6.25</v>
      </c>
      <c r="S2724">
        <v>6.55</v>
      </c>
      <c r="T2724">
        <v>96.787345999999999</v>
      </c>
      <c r="W2724" t="s">
        <v>497</v>
      </c>
    </row>
    <row r="2725" spans="1:23" x14ac:dyDescent="0.25">
      <c r="A2725" t="s">
        <v>3171</v>
      </c>
      <c r="B2725" t="str">
        <f t="shared" si="43"/>
        <v>GA1200002077</v>
      </c>
      <c r="C2725" t="s">
        <v>227</v>
      </c>
      <c r="D2725" t="s">
        <v>77</v>
      </c>
      <c r="E2725" t="s">
        <v>82</v>
      </c>
      <c r="G2725" s="13">
        <v>45399</v>
      </c>
      <c r="H2725" s="13"/>
      <c r="J2725">
        <v>0</v>
      </c>
      <c r="N2725">
        <v>0</v>
      </c>
      <c r="T2725" t="s">
        <v>750</v>
      </c>
      <c r="W2725" t="s">
        <v>497</v>
      </c>
    </row>
    <row r="2726" spans="1:23" x14ac:dyDescent="0.25">
      <c r="A2726" t="s">
        <v>3172</v>
      </c>
      <c r="B2726" t="str">
        <f t="shared" si="43"/>
        <v>GQ1200000115</v>
      </c>
      <c r="C2726" t="s">
        <v>528</v>
      </c>
      <c r="D2726" t="s">
        <v>77</v>
      </c>
      <c r="E2726" t="s">
        <v>82</v>
      </c>
      <c r="G2726" s="13">
        <v>45398</v>
      </c>
      <c r="H2726" s="13"/>
      <c r="J2726">
        <v>0</v>
      </c>
      <c r="N2726">
        <v>0</v>
      </c>
      <c r="T2726" t="s">
        <v>750</v>
      </c>
      <c r="W2726" t="s">
        <v>497</v>
      </c>
    </row>
    <row r="2727" spans="1:23" x14ac:dyDescent="0.25">
      <c r="A2727" t="s">
        <v>3173</v>
      </c>
      <c r="B2727" t="str">
        <f t="shared" si="43"/>
        <v>CM1300000708</v>
      </c>
      <c r="C2727" t="s">
        <v>225</v>
      </c>
      <c r="D2727" t="s">
        <v>77</v>
      </c>
      <c r="E2727" t="s">
        <v>287</v>
      </c>
      <c r="F2727">
        <v>25000</v>
      </c>
      <c r="G2727" s="13">
        <v>45397</v>
      </c>
      <c r="H2727" s="13">
        <v>45763</v>
      </c>
      <c r="I2727">
        <v>20220</v>
      </c>
      <c r="J2727">
        <v>0</v>
      </c>
      <c r="K2727">
        <v>20220</v>
      </c>
      <c r="N2727">
        <v>9.0909090909090917</v>
      </c>
      <c r="O2727">
        <v>6.5</v>
      </c>
      <c r="P2727">
        <v>80.88</v>
      </c>
      <c r="Q2727">
        <v>6.5</v>
      </c>
      <c r="R2727">
        <v>6.5</v>
      </c>
      <c r="S2727">
        <v>6.5</v>
      </c>
      <c r="T2727">
        <v>93.427778000000004</v>
      </c>
      <c r="W2727" t="s">
        <v>497</v>
      </c>
    </row>
    <row r="2728" spans="1:23" x14ac:dyDescent="0.25">
      <c r="A2728" t="s">
        <v>3045</v>
      </c>
      <c r="B2728" t="str">
        <f t="shared" si="43"/>
        <v>CG1200001101</v>
      </c>
      <c r="C2728" t="s">
        <v>229</v>
      </c>
      <c r="D2728" t="s">
        <v>77</v>
      </c>
      <c r="E2728" t="s">
        <v>82</v>
      </c>
      <c r="G2728" s="13">
        <v>45398</v>
      </c>
      <c r="H2728" s="13">
        <v>45414</v>
      </c>
      <c r="J2728">
        <v>0</v>
      </c>
      <c r="N2728">
        <v>0</v>
      </c>
      <c r="T2728" t="s">
        <v>750</v>
      </c>
      <c r="W2728" t="s">
        <v>681</v>
      </c>
    </row>
    <row r="2729" spans="1:23" x14ac:dyDescent="0.25">
      <c r="A2729" t="s">
        <v>3174</v>
      </c>
      <c r="B2729" t="str">
        <f t="shared" si="43"/>
        <v>CG1200001119</v>
      </c>
      <c r="C2729" t="s">
        <v>229</v>
      </c>
      <c r="D2729" t="s">
        <v>77</v>
      </c>
      <c r="E2729" t="s">
        <v>82</v>
      </c>
      <c r="G2729" s="13">
        <v>45398</v>
      </c>
      <c r="H2729" s="13">
        <v>45421</v>
      </c>
      <c r="J2729">
        <v>0</v>
      </c>
      <c r="N2729">
        <v>0</v>
      </c>
      <c r="T2729" t="s">
        <v>750</v>
      </c>
      <c r="W2729" t="s">
        <v>681</v>
      </c>
    </row>
    <row r="2730" spans="1:23" x14ac:dyDescent="0.25">
      <c r="A2730" t="s">
        <v>3175</v>
      </c>
      <c r="B2730" t="str">
        <f t="shared" si="43"/>
        <v>CG1200001135</v>
      </c>
      <c r="C2730" t="s">
        <v>229</v>
      </c>
      <c r="D2730" t="s">
        <v>77</v>
      </c>
      <c r="E2730" t="s">
        <v>82</v>
      </c>
      <c r="G2730" s="13">
        <v>45398</v>
      </c>
      <c r="H2730" s="13">
        <v>45456</v>
      </c>
      <c r="J2730">
        <v>0</v>
      </c>
      <c r="N2730">
        <v>0</v>
      </c>
      <c r="T2730" t="s">
        <v>750</v>
      </c>
      <c r="W2730" t="s">
        <v>681</v>
      </c>
    </row>
    <row r="2731" spans="1:23" x14ac:dyDescent="0.25">
      <c r="A2731" t="s">
        <v>3176</v>
      </c>
      <c r="B2731" t="str">
        <f t="shared" si="43"/>
        <v>CG1200001218</v>
      </c>
      <c r="C2731" t="s">
        <v>229</v>
      </c>
      <c r="D2731" t="s">
        <v>77</v>
      </c>
      <c r="E2731" t="s">
        <v>82</v>
      </c>
      <c r="G2731" s="13">
        <v>45398</v>
      </c>
      <c r="H2731" s="13">
        <v>45533</v>
      </c>
      <c r="J2731">
        <v>0</v>
      </c>
      <c r="N2731">
        <v>0</v>
      </c>
      <c r="T2731" t="s">
        <v>750</v>
      </c>
      <c r="W2731" t="s">
        <v>681</v>
      </c>
    </row>
    <row r="2732" spans="1:23" x14ac:dyDescent="0.25">
      <c r="A2732" t="s">
        <v>3177</v>
      </c>
      <c r="B2732" t="str">
        <f t="shared" si="43"/>
        <v>CG1100000831</v>
      </c>
      <c r="C2732" t="s">
        <v>229</v>
      </c>
      <c r="D2732" t="s">
        <v>77</v>
      </c>
      <c r="E2732" t="s">
        <v>78</v>
      </c>
      <c r="F2732">
        <v>10000</v>
      </c>
      <c r="G2732" s="13">
        <v>45398</v>
      </c>
      <c r="H2732" s="13">
        <v>45491</v>
      </c>
      <c r="I2732">
        <v>6000</v>
      </c>
      <c r="J2732">
        <v>17</v>
      </c>
      <c r="K2732">
        <v>6017</v>
      </c>
      <c r="N2732">
        <v>20.833333333333336</v>
      </c>
      <c r="O2732">
        <v>6.1496000000000004</v>
      </c>
      <c r="P2732">
        <v>60.25</v>
      </c>
      <c r="Q2732">
        <v>6.3</v>
      </c>
      <c r="R2732">
        <v>5.95</v>
      </c>
      <c r="S2732">
        <v>6.5</v>
      </c>
      <c r="T2732">
        <v>98.445527999999996</v>
      </c>
      <c r="W2732" t="s">
        <v>497</v>
      </c>
    </row>
    <row r="2733" spans="1:23" x14ac:dyDescent="0.25">
      <c r="A2733" t="s">
        <v>3178</v>
      </c>
      <c r="B2733" t="str">
        <f t="shared" si="43"/>
        <v>CG1200001275</v>
      </c>
      <c r="C2733" t="s">
        <v>229</v>
      </c>
      <c r="D2733" t="s">
        <v>77</v>
      </c>
      <c r="E2733" t="s">
        <v>82</v>
      </c>
      <c r="F2733">
        <v>15000</v>
      </c>
      <c r="G2733" s="13">
        <v>45398</v>
      </c>
      <c r="H2733" s="13">
        <v>45582</v>
      </c>
      <c r="I2733">
        <v>2665</v>
      </c>
      <c r="J2733">
        <v>4418</v>
      </c>
      <c r="K2733">
        <v>7083</v>
      </c>
      <c r="N2733">
        <v>29.166666666666668</v>
      </c>
      <c r="O2733">
        <v>6.5852000000000004</v>
      </c>
      <c r="P2733">
        <v>47.22</v>
      </c>
      <c r="Q2733">
        <v>7</v>
      </c>
      <c r="R2733">
        <v>6</v>
      </c>
      <c r="S2733">
        <v>7</v>
      </c>
      <c r="T2733">
        <v>96.670795999999996</v>
      </c>
      <c r="W2733" t="s">
        <v>497</v>
      </c>
    </row>
    <row r="2734" spans="1:23" x14ac:dyDescent="0.25">
      <c r="A2734" t="s">
        <v>3179</v>
      </c>
      <c r="B2734" t="str">
        <f t="shared" si="43"/>
        <v>CG1300000490</v>
      </c>
      <c r="C2734" t="s">
        <v>229</v>
      </c>
      <c r="D2734" t="s">
        <v>77</v>
      </c>
      <c r="E2734" t="s">
        <v>287</v>
      </c>
      <c r="F2734">
        <v>20000</v>
      </c>
      <c r="G2734" s="13">
        <v>45398</v>
      </c>
      <c r="H2734" s="13">
        <v>45764</v>
      </c>
      <c r="I2734">
        <v>6700</v>
      </c>
      <c r="J2734">
        <v>158</v>
      </c>
      <c r="K2734">
        <v>6858</v>
      </c>
      <c r="N2734">
        <v>16.666666666666664</v>
      </c>
      <c r="O2734">
        <v>6.9934000000000003</v>
      </c>
      <c r="P2734">
        <v>34.29</v>
      </c>
      <c r="Q2734">
        <v>7</v>
      </c>
      <c r="R2734">
        <v>6.7</v>
      </c>
      <c r="S2734">
        <v>7</v>
      </c>
      <c r="T2734">
        <v>92.928856999999994</v>
      </c>
      <c r="W2734" t="s">
        <v>497</v>
      </c>
    </row>
    <row r="2735" spans="1:23" x14ac:dyDescent="0.25">
      <c r="A2735" t="s">
        <v>3180</v>
      </c>
      <c r="B2735" t="str">
        <f t="shared" si="43"/>
        <v>GQ1200000123</v>
      </c>
      <c r="C2735" t="s">
        <v>528</v>
      </c>
      <c r="D2735" t="s">
        <v>77</v>
      </c>
      <c r="E2735" t="s">
        <v>82</v>
      </c>
      <c r="G2735" s="13">
        <v>45398</v>
      </c>
      <c r="H2735" s="13"/>
      <c r="J2735">
        <v>0</v>
      </c>
      <c r="N2735">
        <v>0</v>
      </c>
      <c r="T2735" t="s">
        <v>750</v>
      </c>
      <c r="W2735" t="s">
        <v>497</v>
      </c>
    </row>
    <row r="2736" spans="1:23" x14ac:dyDescent="0.25">
      <c r="A2736" t="s">
        <v>3181</v>
      </c>
      <c r="B2736" t="str">
        <f t="shared" si="43"/>
        <v>GA1200002085</v>
      </c>
      <c r="C2736" t="s">
        <v>227</v>
      </c>
      <c r="D2736" t="s">
        <v>77</v>
      </c>
      <c r="E2736" t="s">
        <v>82</v>
      </c>
      <c r="F2736">
        <v>12000</v>
      </c>
      <c r="G2736" s="13">
        <v>45399</v>
      </c>
      <c r="H2736" s="13">
        <v>45583</v>
      </c>
      <c r="I2736">
        <v>1500</v>
      </c>
      <c r="J2736">
        <v>7840</v>
      </c>
      <c r="K2736">
        <v>9340</v>
      </c>
      <c r="N2736">
        <v>28.571428571428569</v>
      </c>
      <c r="O2736">
        <v>6.34</v>
      </c>
      <c r="P2736">
        <v>77.833299999999994</v>
      </c>
      <c r="Q2736">
        <v>6.5</v>
      </c>
      <c r="R2736">
        <v>6</v>
      </c>
      <c r="S2736">
        <v>6.5</v>
      </c>
      <c r="T2736">
        <v>96.794766999999993</v>
      </c>
      <c r="W2736" t="s">
        <v>497</v>
      </c>
    </row>
    <row r="2737" spans="1:23" x14ac:dyDescent="0.25">
      <c r="A2737" t="s">
        <v>3182</v>
      </c>
      <c r="B2737" t="str">
        <f t="shared" si="43"/>
        <v>CM1200001624</v>
      </c>
      <c r="C2737" t="s">
        <v>225</v>
      </c>
      <c r="D2737" t="s">
        <v>77</v>
      </c>
      <c r="E2737" t="s">
        <v>82</v>
      </c>
      <c r="F2737">
        <v>15000</v>
      </c>
      <c r="G2737" s="13">
        <v>45404</v>
      </c>
      <c r="H2737" s="13">
        <v>45588</v>
      </c>
      <c r="I2737">
        <v>6525</v>
      </c>
      <c r="J2737">
        <v>1000</v>
      </c>
      <c r="K2737">
        <v>7525</v>
      </c>
      <c r="N2737">
        <v>13.636363636363635</v>
      </c>
      <c r="O2737">
        <v>6.6497999999999999</v>
      </c>
      <c r="P2737">
        <v>50.166699999999999</v>
      </c>
      <c r="Q2737">
        <v>6.5</v>
      </c>
      <c r="R2737">
        <v>6</v>
      </c>
      <c r="S2737">
        <v>6.5</v>
      </c>
      <c r="T2737">
        <v>96.747480999999993</v>
      </c>
      <c r="W2737" t="s">
        <v>497</v>
      </c>
    </row>
    <row r="2738" spans="1:23" x14ac:dyDescent="0.25">
      <c r="A2738" t="s">
        <v>3183</v>
      </c>
      <c r="B2738" t="str">
        <f t="shared" si="43"/>
        <v>CG1200001119</v>
      </c>
      <c r="C2738" t="s">
        <v>229</v>
      </c>
      <c r="D2738" t="s">
        <v>77</v>
      </c>
      <c r="E2738" t="s">
        <v>82</v>
      </c>
      <c r="F2738">
        <v>3000</v>
      </c>
      <c r="G2738" s="13">
        <v>45405</v>
      </c>
      <c r="H2738" s="13">
        <v>45421</v>
      </c>
      <c r="I2738">
        <v>3000</v>
      </c>
      <c r="J2738">
        <v>0</v>
      </c>
      <c r="K2738">
        <v>3000</v>
      </c>
      <c r="N2738">
        <v>4.1666666666666661</v>
      </c>
      <c r="O2738">
        <v>6.5164999999999997</v>
      </c>
      <c r="P2738">
        <v>100</v>
      </c>
      <c r="Q2738">
        <v>6.5</v>
      </c>
      <c r="R2738">
        <v>6.5</v>
      </c>
      <c r="S2738">
        <v>6.5</v>
      </c>
      <c r="T2738">
        <v>99.747221999999994</v>
      </c>
      <c r="W2738" t="s">
        <v>681</v>
      </c>
    </row>
    <row r="2739" spans="1:23" x14ac:dyDescent="0.25">
      <c r="A2739" t="s">
        <v>3184</v>
      </c>
      <c r="B2739" t="str">
        <f t="shared" si="43"/>
        <v>CG1200001218</v>
      </c>
      <c r="C2739" t="s">
        <v>229</v>
      </c>
      <c r="D2739" t="s">
        <v>77</v>
      </c>
      <c r="E2739" t="s">
        <v>82</v>
      </c>
      <c r="G2739" s="13">
        <v>45405</v>
      </c>
      <c r="H2739" s="13"/>
      <c r="J2739">
        <v>0</v>
      </c>
      <c r="N2739">
        <v>0</v>
      </c>
      <c r="T2739" t="s">
        <v>750</v>
      </c>
      <c r="W2739" t="s">
        <v>681</v>
      </c>
    </row>
    <row r="2740" spans="1:23" x14ac:dyDescent="0.25">
      <c r="A2740" t="s">
        <v>3185</v>
      </c>
      <c r="B2740" t="str">
        <f t="shared" si="43"/>
        <v>CG1100000849</v>
      </c>
      <c r="C2740" t="s">
        <v>229</v>
      </c>
      <c r="D2740" t="s">
        <v>77</v>
      </c>
      <c r="E2740" t="s">
        <v>78</v>
      </c>
      <c r="F2740">
        <v>15000</v>
      </c>
      <c r="G2740" s="13">
        <v>45405</v>
      </c>
      <c r="H2740" s="13">
        <v>45498</v>
      </c>
      <c r="I2740">
        <v>4450</v>
      </c>
      <c r="J2740">
        <v>10550</v>
      </c>
      <c r="K2740">
        <v>15000</v>
      </c>
      <c r="N2740">
        <v>29.166666666666668</v>
      </c>
      <c r="O2740">
        <v>6.4574999999999996</v>
      </c>
      <c r="P2740">
        <v>186.89330000000001</v>
      </c>
      <c r="Q2740">
        <v>6.5</v>
      </c>
      <c r="R2740">
        <v>6</v>
      </c>
      <c r="S2740">
        <v>6.7</v>
      </c>
      <c r="T2740">
        <v>98.393901</v>
      </c>
      <c r="W2740" t="s">
        <v>497</v>
      </c>
    </row>
    <row r="2741" spans="1:23" x14ac:dyDescent="0.25">
      <c r="A2741" t="s">
        <v>3186</v>
      </c>
      <c r="B2741" t="str">
        <f t="shared" si="43"/>
        <v>CG1100000849</v>
      </c>
      <c r="C2741" t="s">
        <v>229</v>
      </c>
      <c r="D2741" t="s">
        <v>77</v>
      </c>
      <c r="E2741" t="s">
        <v>78</v>
      </c>
      <c r="G2741" s="13">
        <v>45405</v>
      </c>
      <c r="H2741" s="13"/>
      <c r="J2741">
        <v>0</v>
      </c>
      <c r="N2741">
        <v>0</v>
      </c>
      <c r="T2741" t="s">
        <v>750</v>
      </c>
      <c r="W2741" t="s">
        <v>681</v>
      </c>
    </row>
    <row r="2742" spans="1:23" x14ac:dyDescent="0.25">
      <c r="A2742" t="s">
        <v>3187</v>
      </c>
      <c r="B2742" t="str">
        <f t="shared" si="43"/>
        <v>CG1200001289</v>
      </c>
      <c r="C2742" t="s">
        <v>229</v>
      </c>
      <c r="D2742" t="s">
        <v>77</v>
      </c>
      <c r="E2742" t="s">
        <v>82</v>
      </c>
      <c r="F2742">
        <v>18000</v>
      </c>
      <c r="G2742" s="13">
        <v>45405</v>
      </c>
      <c r="H2742" s="13">
        <v>45589</v>
      </c>
      <c r="I2742">
        <v>5500</v>
      </c>
      <c r="J2742">
        <v>5638</v>
      </c>
      <c r="K2742">
        <v>11138</v>
      </c>
      <c r="N2742">
        <v>20.833333333333336</v>
      </c>
      <c r="O2742">
        <v>6.7183000000000002</v>
      </c>
      <c r="P2742">
        <v>61.877800000000001</v>
      </c>
      <c r="Q2742">
        <v>6.5</v>
      </c>
      <c r="R2742">
        <v>6.25</v>
      </c>
      <c r="S2742">
        <v>6.5</v>
      </c>
      <c r="T2742">
        <v>96.715102999999999</v>
      </c>
      <c r="W2742" t="s">
        <v>497</v>
      </c>
    </row>
    <row r="2743" spans="1:23" x14ac:dyDescent="0.25">
      <c r="A2743" t="s">
        <v>3188</v>
      </c>
      <c r="B2743" t="str">
        <f t="shared" si="43"/>
        <v>GA1200002093</v>
      </c>
      <c r="C2743" t="s">
        <v>227</v>
      </c>
      <c r="D2743" t="s">
        <v>77</v>
      </c>
      <c r="E2743" t="s">
        <v>82</v>
      </c>
      <c r="F2743">
        <v>12000</v>
      </c>
      <c r="G2743" s="13">
        <v>45406</v>
      </c>
      <c r="H2743" s="13">
        <v>45590</v>
      </c>
      <c r="I2743">
        <v>501</v>
      </c>
      <c r="J2743">
        <v>4759</v>
      </c>
      <c r="K2743">
        <v>5260</v>
      </c>
      <c r="N2743">
        <v>23.809523809523807</v>
      </c>
      <c r="O2743">
        <v>6.6909999999999998</v>
      </c>
      <c r="P2743">
        <v>43.833300000000001</v>
      </c>
      <c r="Q2743">
        <v>6.5</v>
      </c>
      <c r="R2743">
        <v>6.1</v>
      </c>
      <c r="S2743">
        <v>6.5</v>
      </c>
      <c r="T2743">
        <v>96.727699999999999</v>
      </c>
      <c r="W2743" t="s">
        <v>497</v>
      </c>
    </row>
    <row r="2744" spans="1:23" x14ac:dyDescent="0.25">
      <c r="A2744" t="s">
        <v>3189</v>
      </c>
      <c r="B2744" t="str">
        <f t="shared" si="43"/>
        <v>CM1200001632</v>
      </c>
      <c r="C2744" t="s">
        <v>225</v>
      </c>
      <c r="D2744" t="s">
        <v>77</v>
      </c>
      <c r="E2744" t="s">
        <v>82</v>
      </c>
      <c r="F2744">
        <v>10000</v>
      </c>
      <c r="G2744" s="13">
        <v>45411</v>
      </c>
      <c r="H2744" s="13">
        <v>45595</v>
      </c>
      <c r="I2744">
        <v>3500</v>
      </c>
      <c r="J2744">
        <v>0</v>
      </c>
      <c r="K2744">
        <v>3500</v>
      </c>
      <c r="N2744">
        <v>9.0909090909090917</v>
      </c>
      <c r="O2744">
        <v>6.7209000000000003</v>
      </c>
      <c r="P2744">
        <v>35</v>
      </c>
      <c r="Q2744">
        <v>6.5</v>
      </c>
      <c r="R2744">
        <v>6.5</v>
      </c>
      <c r="S2744">
        <v>6.5</v>
      </c>
      <c r="T2744">
        <v>96.713888999999995</v>
      </c>
      <c r="W2744" t="s">
        <v>497</v>
      </c>
    </row>
    <row r="2745" spans="1:23" x14ac:dyDescent="0.25">
      <c r="A2745" t="s">
        <v>3190</v>
      </c>
      <c r="B2745" t="str">
        <f t="shared" si="43"/>
        <v>CF1300000053</v>
      </c>
      <c r="C2745" t="s">
        <v>2406</v>
      </c>
      <c r="D2745" t="s">
        <v>77</v>
      </c>
      <c r="E2745" t="s">
        <v>287</v>
      </c>
      <c r="F2745">
        <v>7500</v>
      </c>
      <c r="G2745" s="13">
        <v>45411</v>
      </c>
      <c r="H2745" s="13">
        <v>45777</v>
      </c>
      <c r="I2745">
        <v>6000</v>
      </c>
      <c r="J2745">
        <v>1500</v>
      </c>
      <c r="K2745">
        <v>7500</v>
      </c>
      <c r="N2745">
        <v>33.333333333333329</v>
      </c>
      <c r="O2745">
        <v>7.5331999999999999</v>
      </c>
      <c r="P2745">
        <v>100</v>
      </c>
      <c r="Q2745">
        <v>7</v>
      </c>
      <c r="R2745">
        <v>7</v>
      </c>
      <c r="S2745">
        <v>7</v>
      </c>
      <c r="T2745">
        <v>92.922222000000005</v>
      </c>
      <c r="W2745" t="s">
        <v>875</v>
      </c>
    </row>
    <row r="2746" spans="1:23" x14ac:dyDescent="0.25">
      <c r="A2746" t="s">
        <v>3191</v>
      </c>
      <c r="B2746" t="str">
        <f t="shared" si="43"/>
        <v>CG1100000856</v>
      </c>
      <c r="C2746" t="s">
        <v>229</v>
      </c>
      <c r="D2746" t="s">
        <v>77</v>
      </c>
      <c r="E2746" t="s">
        <v>78</v>
      </c>
      <c r="F2746">
        <v>25000</v>
      </c>
      <c r="G2746" s="13">
        <v>45412</v>
      </c>
      <c r="H2746" s="13">
        <v>45505</v>
      </c>
      <c r="I2746">
        <v>1060</v>
      </c>
      <c r="J2746">
        <v>16729</v>
      </c>
      <c r="K2746">
        <v>17789</v>
      </c>
      <c r="N2746">
        <v>20.833333333333336</v>
      </c>
      <c r="O2746">
        <v>6.7</v>
      </c>
      <c r="P2746">
        <v>71.156000000000006</v>
      </c>
      <c r="Q2746">
        <v>6.7</v>
      </c>
      <c r="R2746">
        <v>5.5</v>
      </c>
      <c r="S2746">
        <v>6.7</v>
      </c>
      <c r="T2746">
        <v>98.342374000000007</v>
      </c>
      <c r="W2746" t="s">
        <v>497</v>
      </c>
    </row>
    <row r="2747" spans="1:23" x14ac:dyDescent="0.25">
      <c r="A2747" t="s">
        <v>3192</v>
      </c>
      <c r="B2747" t="str">
        <f t="shared" si="43"/>
        <v>CG1200001291</v>
      </c>
      <c r="C2747" t="s">
        <v>229</v>
      </c>
      <c r="D2747" t="s">
        <v>77</v>
      </c>
      <c r="E2747" t="s">
        <v>82</v>
      </c>
      <c r="F2747">
        <v>25000</v>
      </c>
      <c r="G2747" s="13">
        <v>45412</v>
      </c>
      <c r="H2747" s="13">
        <v>45596</v>
      </c>
      <c r="J2747">
        <v>758</v>
      </c>
      <c r="K2747">
        <v>758</v>
      </c>
      <c r="N2747">
        <v>8.3333333333333321</v>
      </c>
      <c r="O2747">
        <v>6.1877000000000004</v>
      </c>
      <c r="P2747">
        <v>3.6320000000000001</v>
      </c>
      <c r="Q2747">
        <v>6</v>
      </c>
      <c r="R2747">
        <v>6</v>
      </c>
      <c r="S2747">
        <v>6.5</v>
      </c>
      <c r="T2747">
        <v>96.966667000000001</v>
      </c>
      <c r="W2747" t="s">
        <v>497</v>
      </c>
    </row>
    <row r="2748" spans="1:23" x14ac:dyDescent="0.25">
      <c r="A2748" t="s">
        <v>3193</v>
      </c>
      <c r="B2748" t="str">
        <f t="shared" si="43"/>
        <v>CG1300000508</v>
      </c>
      <c r="C2748" t="s">
        <v>229</v>
      </c>
      <c r="D2748" t="s">
        <v>77</v>
      </c>
      <c r="E2748" t="s">
        <v>287</v>
      </c>
      <c r="F2748">
        <v>25000</v>
      </c>
      <c r="G2748" s="13">
        <v>45412</v>
      </c>
      <c r="H2748" s="13">
        <v>45778</v>
      </c>
      <c r="I2748">
        <v>1000</v>
      </c>
      <c r="J2748">
        <v>1214</v>
      </c>
      <c r="K2748">
        <v>2214</v>
      </c>
      <c r="N2748">
        <v>16.666666666666664</v>
      </c>
      <c r="O2748">
        <v>7.2266000000000004</v>
      </c>
      <c r="P2748">
        <v>8.8559999999999999</v>
      </c>
      <c r="Q2748">
        <v>7</v>
      </c>
      <c r="R2748">
        <v>6</v>
      </c>
      <c r="S2748">
        <v>7</v>
      </c>
      <c r="T2748">
        <v>93.190641999999997</v>
      </c>
      <c r="W2748" t="s">
        <v>497</v>
      </c>
    </row>
    <row r="2749" spans="1:23" x14ac:dyDescent="0.25">
      <c r="A2749" t="s">
        <v>3194</v>
      </c>
      <c r="B2749" t="str">
        <f t="shared" si="43"/>
        <v>GA1300000724</v>
      </c>
      <c r="C2749" t="s">
        <v>227</v>
      </c>
      <c r="D2749" t="s">
        <v>77</v>
      </c>
      <c r="E2749" t="s">
        <v>287</v>
      </c>
      <c r="F2749">
        <v>9000</v>
      </c>
      <c r="G2749" s="13">
        <v>45413</v>
      </c>
      <c r="H2749" s="13">
        <v>45779</v>
      </c>
      <c r="I2749">
        <v>1000</v>
      </c>
      <c r="J2749">
        <v>172</v>
      </c>
      <c r="K2749">
        <v>1172</v>
      </c>
      <c r="N2749">
        <v>23.809523809523807</v>
      </c>
      <c r="O2749">
        <v>6.9311999999999996</v>
      </c>
      <c r="P2749">
        <v>35.244399999999999</v>
      </c>
      <c r="Q2749">
        <v>6.5</v>
      </c>
      <c r="R2749">
        <v>6</v>
      </c>
      <c r="S2749">
        <v>6.75</v>
      </c>
      <c r="T2749">
        <v>93.450768999999994</v>
      </c>
      <c r="W2749" t="s">
        <v>497</v>
      </c>
    </row>
    <row r="2750" spans="1:23" x14ac:dyDescent="0.25">
      <c r="A2750" t="s">
        <v>3195</v>
      </c>
      <c r="B2750" t="str">
        <f t="shared" si="43"/>
        <v>CG1100000864</v>
      </c>
      <c r="C2750" t="s">
        <v>229</v>
      </c>
      <c r="D2750" t="s">
        <v>77</v>
      </c>
      <c r="E2750" t="s">
        <v>78</v>
      </c>
      <c r="F2750">
        <v>25000</v>
      </c>
      <c r="G2750" s="13">
        <v>45419</v>
      </c>
      <c r="H2750" s="13">
        <v>45512</v>
      </c>
      <c r="I2750">
        <v>0</v>
      </c>
      <c r="J2750">
        <v>16041</v>
      </c>
      <c r="K2750">
        <v>16041</v>
      </c>
      <c r="N2750">
        <v>16.666666666666664</v>
      </c>
      <c r="O2750">
        <v>6.3151000000000002</v>
      </c>
      <c r="P2750">
        <v>64.164000000000001</v>
      </c>
      <c r="Q2750">
        <v>6.5</v>
      </c>
      <c r="R2750">
        <v>6</v>
      </c>
      <c r="S2750">
        <v>6.5</v>
      </c>
      <c r="T2750">
        <v>98.428754999999995</v>
      </c>
      <c r="W2750" t="s">
        <v>497</v>
      </c>
    </row>
    <row r="2751" spans="1:23" x14ac:dyDescent="0.25">
      <c r="A2751" t="s">
        <v>3196</v>
      </c>
      <c r="B2751" t="str">
        <f t="shared" si="43"/>
        <v>CG1200001309</v>
      </c>
      <c r="C2751" t="s">
        <v>229</v>
      </c>
      <c r="D2751" t="s">
        <v>77</v>
      </c>
      <c r="E2751" t="s">
        <v>82</v>
      </c>
      <c r="F2751">
        <v>20000</v>
      </c>
      <c r="G2751" s="13">
        <v>45419</v>
      </c>
      <c r="H2751" s="13"/>
      <c r="J2751">
        <v>0</v>
      </c>
      <c r="N2751">
        <v>0</v>
      </c>
      <c r="T2751" t="s">
        <v>1418</v>
      </c>
      <c r="W2751" t="s">
        <v>497</v>
      </c>
    </row>
    <row r="2752" spans="1:23" x14ac:dyDescent="0.25">
      <c r="A2752" t="s">
        <v>3197</v>
      </c>
      <c r="B2752" t="str">
        <f t="shared" si="43"/>
        <v>CG1300000516</v>
      </c>
      <c r="C2752" t="s">
        <v>229</v>
      </c>
      <c r="D2752" t="s">
        <v>77</v>
      </c>
      <c r="E2752" t="s">
        <v>287</v>
      </c>
      <c r="F2752">
        <v>20000</v>
      </c>
      <c r="G2752" s="13">
        <v>45419</v>
      </c>
      <c r="H2752" s="13">
        <v>45785</v>
      </c>
      <c r="I2752">
        <v>0</v>
      </c>
      <c r="J2752">
        <v>813</v>
      </c>
      <c r="K2752">
        <v>813</v>
      </c>
      <c r="N2752">
        <v>12.5</v>
      </c>
      <c r="O2752">
        <v>6.8800999999999997</v>
      </c>
      <c r="P2752">
        <v>5.94</v>
      </c>
      <c r="Q2752">
        <v>6.7</v>
      </c>
      <c r="R2752">
        <v>5.7</v>
      </c>
      <c r="S2752">
        <v>7</v>
      </c>
      <c r="T2752">
        <v>93.495930999999999</v>
      </c>
      <c r="W2752" t="s">
        <v>497</v>
      </c>
    </row>
    <row r="2753" spans="1:23" x14ac:dyDescent="0.25">
      <c r="A2753" t="s">
        <v>3198</v>
      </c>
      <c r="B2753" t="str">
        <f t="shared" si="43"/>
        <v>GA1200002101</v>
      </c>
      <c r="C2753" t="s">
        <v>227</v>
      </c>
      <c r="D2753" t="s">
        <v>77</v>
      </c>
      <c r="E2753" t="s">
        <v>82</v>
      </c>
      <c r="F2753">
        <v>10000</v>
      </c>
      <c r="G2753" s="13">
        <v>45420</v>
      </c>
      <c r="H2753" s="13">
        <v>45604</v>
      </c>
      <c r="I2753">
        <v>2210</v>
      </c>
      <c r="J2753">
        <v>5086</v>
      </c>
      <c r="K2753">
        <v>7296</v>
      </c>
      <c r="N2753">
        <v>33.333333333333329</v>
      </c>
      <c r="O2753">
        <v>6.6441999999999997</v>
      </c>
      <c r="P2753">
        <v>72.959999999999994</v>
      </c>
      <c r="Q2753">
        <v>6.5</v>
      </c>
      <c r="R2753">
        <v>6</v>
      </c>
      <c r="S2753">
        <v>6.5</v>
      </c>
      <c r="T2753">
        <v>96.750135999999998</v>
      </c>
      <c r="W2753" t="s">
        <v>497</v>
      </c>
    </row>
    <row r="2754" spans="1:23" x14ac:dyDescent="0.25">
      <c r="A2754" t="s">
        <v>3199</v>
      </c>
      <c r="B2754" t="str">
        <f t="shared" si="43"/>
        <v>GQ1300001344</v>
      </c>
      <c r="C2754" t="s">
        <v>528</v>
      </c>
      <c r="D2754" t="s">
        <v>77</v>
      </c>
      <c r="E2754" t="s">
        <v>287</v>
      </c>
      <c r="F2754">
        <v>20000</v>
      </c>
      <c r="G2754" s="13">
        <v>45419</v>
      </c>
      <c r="H2754" s="13">
        <v>45785</v>
      </c>
      <c r="I2754">
        <v>17000</v>
      </c>
      <c r="J2754">
        <v>70</v>
      </c>
      <c r="K2754">
        <v>17070</v>
      </c>
      <c r="N2754">
        <v>23.076923076923077</v>
      </c>
      <c r="O2754">
        <v>6.9923999999999999</v>
      </c>
      <c r="P2754">
        <v>85.35</v>
      </c>
      <c r="Q2754">
        <v>6.8</v>
      </c>
      <c r="R2754">
        <v>5.3</v>
      </c>
      <c r="S2754">
        <v>6.8</v>
      </c>
      <c r="T2754">
        <v>93.396739999999994</v>
      </c>
      <c r="W2754" t="s">
        <v>497</v>
      </c>
    </row>
    <row r="2755" spans="1:23" x14ac:dyDescent="0.25">
      <c r="A2755" t="s">
        <v>3200</v>
      </c>
      <c r="B2755" t="str">
        <f t="shared" si="43"/>
        <v>TD1200001857</v>
      </c>
      <c r="C2755" t="s">
        <v>237</v>
      </c>
      <c r="D2755" t="s">
        <v>77</v>
      </c>
      <c r="E2755" t="s">
        <v>82</v>
      </c>
      <c r="F2755">
        <v>10000</v>
      </c>
      <c r="G2755" s="13">
        <v>45420</v>
      </c>
      <c r="H2755" s="13">
        <v>45604</v>
      </c>
      <c r="I2755">
        <v>0</v>
      </c>
      <c r="J2755">
        <v>2075</v>
      </c>
      <c r="K2755">
        <v>2075</v>
      </c>
      <c r="N2755">
        <v>8.3333333333333321</v>
      </c>
      <c r="O2755">
        <v>7.2374000000000001</v>
      </c>
      <c r="P2755">
        <v>20.75</v>
      </c>
      <c r="Q2755">
        <v>7</v>
      </c>
      <c r="R2755">
        <v>6.5</v>
      </c>
      <c r="S2755">
        <v>7</v>
      </c>
      <c r="T2755">
        <v>96.470247999999998</v>
      </c>
      <c r="W2755" t="s">
        <v>497</v>
      </c>
    </row>
    <row r="2756" spans="1:23" x14ac:dyDescent="0.25">
      <c r="A2756" t="s">
        <v>3201</v>
      </c>
      <c r="B2756" t="str">
        <f t="shared" si="43"/>
        <v>CM1200001640</v>
      </c>
      <c r="C2756" t="s">
        <v>225</v>
      </c>
      <c r="D2756" t="s">
        <v>77</v>
      </c>
      <c r="E2756" t="s">
        <v>82</v>
      </c>
      <c r="F2756">
        <v>30000</v>
      </c>
      <c r="G2756" s="13">
        <v>45425</v>
      </c>
      <c r="H2756" s="13">
        <v>45609</v>
      </c>
      <c r="I2756">
        <v>17376</v>
      </c>
      <c r="J2756">
        <v>0</v>
      </c>
      <c r="K2756">
        <v>17376</v>
      </c>
      <c r="N2756">
        <v>22.727272727272727</v>
      </c>
      <c r="O2756">
        <v>6.7672999999999996</v>
      </c>
      <c r="P2756">
        <v>57.92</v>
      </c>
      <c r="Q2756">
        <v>6.55</v>
      </c>
      <c r="R2756">
        <v>6</v>
      </c>
      <c r="S2756">
        <v>6.55</v>
      </c>
      <c r="T2756">
        <v>96.691914999999995</v>
      </c>
      <c r="W2756" t="s">
        <v>497</v>
      </c>
    </row>
    <row r="2757" spans="1:23" x14ac:dyDescent="0.25">
      <c r="A2757" t="s">
        <v>3202</v>
      </c>
      <c r="B2757" t="str">
        <f t="shared" si="43"/>
        <v>CM1300000716</v>
      </c>
      <c r="C2757" t="s">
        <v>225</v>
      </c>
      <c r="D2757" t="s">
        <v>77</v>
      </c>
      <c r="E2757" t="s">
        <v>287</v>
      </c>
      <c r="F2757">
        <v>30000</v>
      </c>
      <c r="G2757" s="13">
        <v>45425</v>
      </c>
      <c r="H2757" s="13">
        <v>45791</v>
      </c>
      <c r="I2757">
        <v>9562</v>
      </c>
      <c r="J2757">
        <v>0</v>
      </c>
      <c r="K2757">
        <v>9562</v>
      </c>
      <c r="N2757">
        <v>18.181818181818183</v>
      </c>
      <c r="O2757">
        <v>7.3583999999999996</v>
      </c>
      <c r="P2757">
        <v>32.54</v>
      </c>
      <c r="Q2757">
        <v>6.85</v>
      </c>
      <c r="R2757">
        <v>6.5</v>
      </c>
      <c r="S2757">
        <v>7</v>
      </c>
      <c r="T2757">
        <v>93.075073000000003</v>
      </c>
      <c r="W2757" t="s">
        <v>497</v>
      </c>
    </row>
    <row r="2758" spans="1:23" x14ac:dyDescent="0.25">
      <c r="A2758" t="s">
        <v>3203</v>
      </c>
      <c r="B2758" t="str">
        <f t="shared" si="43"/>
        <v>GA1100001831</v>
      </c>
      <c r="C2758" t="s">
        <v>227</v>
      </c>
      <c r="D2758" t="s">
        <v>77</v>
      </c>
      <c r="E2758" t="s">
        <v>78</v>
      </c>
      <c r="F2758">
        <v>9000</v>
      </c>
      <c r="G2758" s="13">
        <v>45427</v>
      </c>
      <c r="H2758" s="13">
        <v>45520</v>
      </c>
      <c r="I2758">
        <v>4510</v>
      </c>
      <c r="J2758">
        <v>4490</v>
      </c>
      <c r="K2758">
        <v>9000</v>
      </c>
      <c r="N2758">
        <v>38.095238095238095</v>
      </c>
      <c r="O2758">
        <v>6.3720999999999997</v>
      </c>
      <c r="P2758">
        <v>112.7222</v>
      </c>
      <c r="Q2758">
        <v>6.4</v>
      </c>
      <c r="R2758">
        <v>5</v>
      </c>
      <c r="S2758">
        <v>6.4</v>
      </c>
      <c r="T2758">
        <v>98.414809000000005</v>
      </c>
      <c r="W2758" t="s">
        <v>497</v>
      </c>
    </row>
    <row r="2759" spans="1:23" x14ac:dyDescent="0.25">
      <c r="A2759" t="s">
        <v>3204</v>
      </c>
      <c r="B2759" t="str">
        <f t="shared" si="43"/>
        <v>TD1200001865</v>
      </c>
      <c r="C2759" t="s">
        <v>237</v>
      </c>
      <c r="D2759" t="s">
        <v>77</v>
      </c>
      <c r="E2759" t="s">
        <v>82</v>
      </c>
      <c r="F2759">
        <v>10000</v>
      </c>
      <c r="G2759" s="13">
        <v>45427</v>
      </c>
      <c r="H2759" s="13">
        <v>45611</v>
      </c>
      <c r="I2759">
        <v>0</v>
      </c>
      <c r="J2759">
        <v>10000</v>
      </c>
      <c r="K2759">
        <v>10000</v>
      </c>
      <c r="N2759">
        <v>25</v>
      </c>
      <c r="O2759">
        <v>7.0953999999999997</v>
      </c>
      <c r="P2759">
        <v>100.37</v>
      </c>
      <c r="Q2759">
        <v>7</v>
      </c>
      <c r="R2759">
        <v>6.5</v>
      </c>
      <c r="S2759">
        <v>7</v>
      </c>
      <c r="T2759">
        <v>96.537115999999997</v>
      </c>
      <c r="W2759" t="s">
        <v>497</v>
      </c>
    </row>
    <row r="2760" spans="1:23" x14ac:dyDescent="0.25">
      <c r="A2760" t="s">
        <v>3205</v>
      </c>
      <c r="B2760" t="str">
        <f t="shared" si="43"/>
        <v>CM1200001657</v>
      </c>
      <c r="C2760" t="s">
        <v>225</v>
      </c>
      <c r="D2760" t="s">
        <v>77</v>
      </c>
      <c r="E2760" t="s">
        <v>82</v>
      </c>
      <c r="F2760">
        <v>40000</v>
      </c>
      <c r="G2760" s="13">
        <v>45432</v>
      </c>
      <c r="H2760" s="13">
        <v>45616</v>
      </c>
      <c r="I2760">
        <v>18746</v>
      </c>
      <c r="J2760">
        <v>0</v>
      </c>
      <c r="K2760">
        <v>18746</v>
      </c>
      <c r="N2760">
        <v>18.181818181818183</v>
      </c>
      <c r="O2760">
        <v>6.7228000000000003</v>
      </c>
      <c r="P2760">
        <v>46.865000000000002</v>
      </c>
      <c r="Q2760">
        <v>6.55</v>
      </c>
      <c r="R2760">
        <v>6.3</v>
      </c>
      <c r="S2760">
        <v>6.55</v>
      </c>
      <c r="T2760">
        <v>96.712950000000006</v>
      </c>
      <c r="W2760" t="s">
        <v>497</v>
      </c>
    </row>
    <row r="2761" spans="1:23" x14ac:dyDescent="0.25">
      <c r="A2761" t="s">
        <v>3206</v>
      </c>
      <c r="B2761" t="str">
        <f t="shared" si="43"/>
        <v>CG1200001309</v>
      </c>
      <c r="C2761" t="s">
        <v>229</v>
      </c>
      <c r="D2761" t="s">
        <v>77</v>
      </c>
      <c r="E2761" t="s">
        <v>82</v>
      </c>
      <c r="F2761">
        <v>15000</v>
      </c>
      <c r="G2761" s="13">
        <v>45433</v>
      </c>
      <c r="H2761" s="13">
        <v>45603</v>
      </c>
      <c r="I2761">
        <v>2500</v>
      </c>
      <c r="J2761">
        <v>2000</v>
      </c>
      <c r="K2761">
        <v>4500</v>
      </c>
      <c r="N2761">
        <v>8.3333333333333321</v>
      </c>
      <c r="O2761">
        <v>6.8274999999999997</v>
      </c>
      <c r="P2761">
        <v>30</v>
      </c>
      <c r="Q2761">
        <v>6.75</v>
      </c>
      <c r="R2761">
        <v>6.45</v>
      </c>
      <c r="S2761">
        <v>6.75</v>
      </c>
      <c r="T2761">
        <v>96.912222</v>
      </c>
      <c r="W2761" t="s">
        <v>497</v>
      </c>
    </row>
    <row r="2762" spans="1:23" x14ac:dyDescent="0.25">
      <c r="A2762" t="s">
        <v>3207</v>
      </c>
      <c r="B2762" t="str">
        <f t="shared" si="43"/>
        <v>CG1300000516</v>
      </c>
      <c r="C2762" t="s">
        <v>229</v>
      </c>
      <c r="D2762" t="s">
        <v>77</v>
      </c>
      <c r="E2762" t="s">
        <v>287</v>
      </c>
      <c r="F2762">
        <v>15000</v>
      </c>
      <c r="G2762" s="13">
        <v>45433</v>
      </c>
      <c r="H2762" s="13">
        <v>45785</v>
      </c>
      <c r="I2762">
        <v>5000</v>
      </c>
      <c r="J2762">
        <v>175</v>
      </c>
      <c r="K2762">
        <v>5175</v>
      </c>
      <c r="N2762">
        <v>8.3333333333333321</v>
      </c>
      <c r="O2762">
        <v>7.5014000000000003</v>
      </c>
      <c r="P2762">
        <v>34.5</v>
      </c>
      <c r="Q2762">
        <v>7</v>
      </c>
      <c r="R2762">
        <v>6.75</v>
      </c>
      <c r="S2762">
        <v>7</v>
      </c>
      <c r="T2762">
        <v>93.202663999999999</v>
      </c>
      <c r="W2762" t="s">
        <v>497</v>
      </c>
    </row>
    <row r="2763" spans="1:23" x14ac:dyDescent="0.25">
      <c r="A2763" t="s">
        <v>3208</v>
      </c>
      <c r="B2763" t="str">
        <f t="shared" si="43"/>
        <v>GQ1300001351</v>
      </c>
      <c r="C2763" t="s">
        <v>528</v>
      </c>
      <c r="D2763" t="s">
        <v>77</v>
      </c>
      <c r="E2763" t="s">
        <v>287</v>
      </c>
      <c r="F2763">
        <v>20000</v>
      </c>
      <c r="G2763" s="13">
        <v>45433</v>
      </c>
      <c r="H2763" s="13">
        <v>45799</v>
      </c>
      <c r="I2763">
        <v>7259</v>
      </c>
      <c r="J2763">
        <v>160</v>
      </c>
      <c r="K2763">
        <v>7419</v>
      </c>
      <c r="N2763">
        <v>23.076923076923077</v>
      </c>
      <c r="O2763">
        <v>7.2042000000000002</v>
      </c>
      <c r="P2763">
        <v>37.094999999999999</v>
      </c>
      <c r="Q2763">
        <v>6.8</v>
      </c>
      <c r="R2763">
        <v>6.3</v>
      </c>
      <c r="S2763">
        <v>6.8</v>
      </c>
      <c r="T2763">
        <v>93.210305000000005</v>
      </c>
      <c r="W2763" t="s">
        <v>497</v>
      </c>
    </row>
    <row r="2764" spans="1:23" x14ac:dyDescent="0.25">
      <c r="A2764" t="s">
        <v>3209</v>
      </c>
      <c r="B2764" t="str">
        <f t="shared" si="43"/>
        <v>GA1200002119</v>
      </c>
      <c r="C2764" t="s">
        <v>227</v>
      </c>
      <c r="D2764" t="s">
        <v>77</v>
      </c>
      <c r="E2764" t="s">
        <v>82</v>
      </c>
      <c r="F2764">
        <v>11000</v>
      </c>
      <c r="G2764" s="13">
        <v>45434</v>
      </c>
      <c r="H2764" s="13">
        <v>45618</v>
      </c>
      <c r="I2764">
        <v>1600</v>
      </c>
      <c r="J2764">
        <v>3325</v>
      </c>
      <c r="K2764">
        <v>4925</v>
      </c>
      <c r="N2764">
        <v>28.571428571428569</v>
      </c>
      <c r="O2764">
        <v>6.6809000000000003</v>
      </c>
      <c r="P2764">
        <v>49.318199999999997</v>
      </c>
      <c r="Q2764">
        <v>6.5</v>
      </c>
      <c r="R2764">
        <v>6</v>
      </c>
      <c r="S2764">
        <v>6.5</v>
      </c>
      <c r="T2764">
        <v>96.732776999999999</v>
      </c>
      <c r="W2764" t="s">
        <v>497</v>
      </c>
    </row>
    <row r="2765" spans="1:23" x14ac:dyDescent="0.25">
      <c r="A2765" t="s">
        <v>3210</v>
      </c>
      <c r="B2765" t="str">
        <f t="shared" si="43"/>
        <v>TD1200001873</v>
      </c>
      <c r="C2765" t="s">
        <v>237</v>
      </c>
      <c r="D2765" t="s">
        <v>77</v>
      </c>
      <c r="E2765" t="s">
        <v>82</v>
      </c>
      <c r="F2765">
        <v>10000</v>
      </c>
      <c r="G2765" s="13">
        <v>45434</v>
      </c>
      <c r="H2765" s="13"/>
      <c r="J2765">
        <v>0</v>
      </c>
      <c r="N2765">
        <v>0</v>
      </c>
      <c r="T2765" t="s">
        <v>3086</v>
      </c>
      <c r="W2765" t="s">
        <v>497</v>
      </c>
    </row>
    <row r="2766" spans="1:23" x14ac:dyDescent="0.25">
      <c r="A2766" t="s">
        <v>3211</v>
      </c>
      <c r="B2766" t="str">
        <f t="shared" si="43"/>
        <v>CM1200001665</v>
      </c>
      <c r="C2766" t="s">
        <v>225</v>
      </c>
      <c r="D2766" t="s">
        <v>77</v>
      </c>
      <c r="E2766" t="s">
        <v>82</v>
      </c>
      <c r="F2766">
        <v>15000</v>
      </c>
      <c r="G2766" s="13">
        <v>45439</v>
      </c>
      <c r="H2766" s="13">
        <v>45623</v>
      </c>
      <c r="I2766">
        <v>13790</v>
      </c>
      <c r="J2766">
        <v>0</v>
      </c>
      <c r="K2766">
        <v>13790</v>
      </c>
      <c r="N2766">
        <v>13.636363636363635</v>
      </c>
      <c r="O2766">
        <v>6.7205000000000004</v>
      </c>
      <c r="P2766">
        <v>91.933329999999998</v>
      </c>
      <c r="Q2766">
        <v>6.5</v>
      </c>
      <c r="R2766">
        <v>6</v>
      </c>
      <c r="S2766">
        <v>6.5</v>
      </c>
      <c r="T2766">
        <v>96.714072000000002</v>
      </c>
      <c r="W2766" t="s">
        <v>497</v>
      </c>
    </row>
    <row r="2767" spans="1:23" x14ac:dyDescent="0.25">
      <c r="A2767" t="s">
        <v>3212</v>
      </c>
      <c r="B2767" t="str">
        <f t="shared" si="43"/>
        <v>CG1200001317</v>
      </c>
      <c r="C2767" t="s">
        <v>229</v>
      </c>
      <c r="D2767" t="s">
        <v>77</v>
      </c>
      <c r="E2767" t="s">
        <v>82</v>
      </c>
      <c r="F2767">
        <v>15000</v>
      </c>
      <c r="G2767" s="13">
        <v>45440</v>
      </c>
      <c r="H2767" s="13">
        <v>45624</v>
      </c>
      <c r="I2767">
        <v>450</v>
      </c>
      <c r="J2767">
        <v>3854</v>
      </c>
      <c r="K2767">
        <v>4304</v>
      </c>
      <c r="N2767">
        <v>25</v>
      </c>
      <c r="O2767">
        <v>6.7412999999999998</v>
      </c>
      <c r="P2767">
        <v>28.693300000000001</v>
      </c>
      <c r="Q2767">
        <v>6.75</v>
      </c>
      <c r="R2767">
        <v>6</v>
      </c>
      <c r="S2767">
        <v>6.75</v>
      </c>
      <c r="T2767">
        <v>96.704198000000005</v>
      </c>
      <c r="W2767" t="s">
        <v>497</v>
      </c>
    </row>
    <row r="2768" spans="1:23" x14ac:dyDescent="0.25">
      <c r="A2768" t="s">
        <v>3213</v>
      </c>
      <c r="B2768" t="str">
        <f t="shared" si="43"/>
        <v>GA1100001849</v>
      </c>
      <c r="C2768" t="s">
        <v>227</v>
      </c>
      <c r="D2768" t="s">
        <v>77</v>
      </c>
      <c r="E2768" t="s">
        <v>78</v>
      </c>
      <c r="F2768">
        <v>11000</v>
      </c>
      <c r="G2768" s="13">
        <v>45441</v>
      </c>
      <c r="H2768" s="13">
        <v>45534</v>
      </c>
      <c r="I2768">
        <v>10792</v>
      </c>
      <c r="J2768">
        <v>208</v>
      </c>
      <c r="K2768">
        <v>11000</v>
      </c>
      <c r="N2768">
        <v>23.809523809523807</v>
      </c>
      <c r="O2768">
        <v>6.3936999999999999</v>
      </c>
      <c r="P2768">
        <v>134.5727</v>
      </c>
      <c r="Q2768">
        <v>6.3</v>
      </c>
      <c r="R2768">
        <v>6</v>
      </c>
      <c r="S2768">
        <v>6.3</v>
      </c>
      <c r="T2768">
        <v>98.409508000000002</v>
      </c>
      <c r="W2768" t="s">
        <v>497</v>
      </c>
    </row>
    <row r="2769" spans="1:23" x14ac:dyDescent="0.25">
      <c r="A2769" t="s">
        <v>3214</v>
      </c>
      <c r="B2769" t="str">
        <f t="shared" si="43"/>
        <v>TD1200001881</v>
      </c>
      <c r="C2769" t="s">
        <v>237</v>
      </c>
      <c r="D2769" t="s">
        <v>77</v>
      </c>
      <c r="E2769" t="s">
        <v>82</v>
      </c>
      <c r="F2769">
        <v>15000</v>
      </c>
      <c r="G2769" s="13">
        <v>45441</v>
      </c>
      <c r="H2769" s="13">
        <v>45625</v>
      </c>
      <c r="I2769">
        <v>3000</v>
      </c>
      <c r="J2769">
        <v>1609</v>
      </c>
      <c r="K2769">
        <v>4609</v>
      </c>
      <c r="N2769">
        <v>33.333333333333329</v>
      </c>
      <c r="O2769">
        <v>6.7165999999999997</v>
      </c>
      <c r="P2769">
        <v>30.726700000000001</v>
      </c>
      <c r="Q2769">
        <v>6.75</v>
      </c>
      <c r="R2769">
        <v>6</v>
      </c>
      <c r="S2769">
        <v>6.75</v>
      </c>
      <c r="T2769">
        <v>96.715885</v>
      </c>
      <c r="W2769" t="s">
        <v>497</v>
      </c>
    </row>
    <row r="2770" spans="1:23" x14ac:dyDescent="0.25">
      <c r="A2770" t="s">
        <v>3215</v>
      </c>
      <c r="B2770" t="str">
        <f t="shared" si="43"/>
        <v>CM1200001673</v>
      </c>
      <c r="C2770" t="s">
        <v>225</v>
      </c>
      <c r="D2770" t="s">
        <v>77</v>
      </c>
      <c r="E2770" t="s">
        <v>82</v>
      </c>
      <c r="G2770" s="13">
        <v>45446</v>
      </c>
      <c r="H2770" s="13"/>
      <c r="J2770">
        <v>0</v>
      </c>
      <c r="N2770">
        <v>0</v>
      </c>
      <c r="T2770" t="s">
        <v>3086</v>
      </c>
      <c r="W2770" t="s">
        <v>497</v>
      </c>
    </row>
    <row r="2771" spans="1:23" x14ac:dyDescent="0.25">
      <c r="A2771" t="s">
        <v>3216</v>
      </c>
      <c r="B2771" t="str">
        <f t="shared" si="43"/>
        <v>CG1100000872</v>
      </c>
      <c r="C2771" t="s">
        <v>229</v>
      </c>
      <c r="D2771" t="s">
        <v>77</v>
      </c>
      <c r="E2771" t="s">
        <v>78</v>
      </c>
      <c r="F2771">
        <v>25000</v>
      </c>
      <c r="G2771" s="13">
        <v>45447</v>
      </c>
      <c r="H2771" s="13">
        <v>45540</v>
      </c>
      <c r="I2771">
        <v>7500</v>
      </c>
      <c r="J2771">
        <v>10358</v>
      </c>
      <c r="K2771">
        <v>17858</v>
      </c>
      <c r="N2771">
        <v>25</v>
      </c>
      <c r="O2771">
        <v>6.4169</v>
      </c>
      <c r="P2771">
        <v>71.432000000000002</v>
      </c>
      <c r="Q2771">
        <v>6.5</v>
      </c>
      <c r="R2771">
        <v>6</v>
      </c>
      <c r="S2771">
        <v>6.5</v>
      </c>
      <c r="T2771">
        <v>98.403848999999994</v>
      </c>
      <c r="W2771" t="s">
        <v>497</v>
      </c>
    </row>
    <row r="2772" spans="1:23" x14ac:dyDescent="0.25">
      <c r="A2772" t="s">
        <v>3217</v>
      </c>
      <c r="B2772" t="str">
        <f t="shared" si="43"/>
        <v>CG1200001325</v>
      </c>
      <c r="C2772" t="s">
        <v>229</v>
      </c>
      <c r="D2772" t="s">
        <v>77</v>
      </c>
      <c r="E2772" t="s">
        <v>82</v>
      </c>
      <c r="F2772">
        <v>25000</v>
      </c>
      <c r="G2772" s="13">
        <v>45447</v>
      </c>
      <c r="H2772" s="13">
        <v>45631</v>
      </c>
      <c r="I2772">
        <v>1000</v>
      </c>
      <c r="J2772">
        <v>2411</v>
      </c>
      <c r="K2772">
        <v>3411</v>
      </c>
      <c r="N2772">
        <v>20.833333333333336</v>
      </c>
      <c r="O2772">
        <v>6.7667000000000002</v>
      </c>
      <c r="P2772">
        <v>13.644</v>
      </c>
      <c r="Q2772">
        <v>6.75</v>
      </c>
      <c r="R2772">
        <v>6</v>
      </c>
      <c r="S2772">
        <v>6.75</v>
      </c>
      <c r="T2772">
        <v>96.692234999999997</v>
      </c>
      <c r="W2772" t="s">
        <v>497</v>
      </c>
    </row>
    <row r="2773" spans="1:23" x14ac:dyDescent="0.25">
      <c r="A2773" t="s">
        <v>3218</v>
      </c>
      <c r="B2773" t="str">
        <f t="shared" si="43"/>
        <v>CG1300000516</v>
      </c>
      <c r="C2773" t="s">
        <v>229</v>
      </c>
      <c r="D2773" t="s">
        <v>77</v>
      </c>
      <c r="E2773" t="s">
        <v>287</v>
      </c>
      <c r="F2773">
        <v>15000</v>
      </c>
      <c r="G2773" s="13">
        <v>45447</v>
      </c>
      <c r="H2773" s="13">
        <v>45785</v>
      </c>
      <c r="I2773">
        <v>1000</v>
      </c>
      <c r="J2773">
        <v>1535</v>
      </c>
      <c r="K2773">
        <v>2535</v>
      </c>
      <c r="N2773">
        <v>20.833333333333336</v>
      </c>
      <c r="O2773">
        <v>7.0427</v>
      </c>
      <c r="P2773">
        <v>16.899999999999999</v>
      </c>
      <c r="Q2773">
        <v>7</v>
      </c>
      <c r="R2773">
        <v>5.2</v>
      </c>
      <c r="S2773">
        <v>7</v>
      </c>
      <c r="T2773">
        <v>93.832267999999999</v>
      </c>
      <c r="W2773" t="s">
        <v>497</v>
      </c>
    </row>
    <row r="2774" spans="1:23" x14ac:dyDescent="0.25">
      <c r="A2774" t="s">
        <v>3219</v>
      </c>
      <c r="B2774" t="str">
        <f t="shared" si="43"/>
        <v>GA1100001856</v>
      </c>
      <c r="C2774" t="s">
        <v>227</v>
      </c>
      <c r="D2774" t="s">
        <v>77</v>
      </c>
      <c r="E2774" t="s">
        <v>78</v>
      </c>
      <c r="F2774">
        <v>9000</v>
      </c>
      <c r="G2774" s="13">
        <v>45448</v>
      </c>
      <c r="H2774" s="13">
        <v>45541</v>
      </c>
      <c r="I2774">
        <v>2500</v>
      </c>
      <c r="J2774">
        <v>3000</v>
      </c>
      <c r="K2774">
        <v>5500</v>
      </c>
      <c r="N2774">
        <v>23.809523809523807</v>
      </c>
      <c r="O2774">
        <v>6.3456000000000001</v>
      </c>
      <c r="P2774">
        <v>61.1111</v>
      </c>
      <c r="Q2774">
        <v>6.3</v>
      </c>
      <c r="R2774">
        <v>5.8</v>
      </c>
      <c r="S2774">
        <v>6.3</v>
      </c>
      <c r="T2774">
        <v>98.421288000000004</v>
      </c>
      <c r="W2774" t="s">
        <v>497</v>
      </c>
    </row>
    <row r="2775" spans="1:23" x14ac:dyDescent="0.25">
      <c r="A2775" t="s">
        <v>3220</v>
      </c>
      <c r="B2775" t="str">
        <f t="shared" si="43"/>
        <v>GA1200002127</v>
      </c>
      <c r="C2775" t="s">
        <v>227</v>
      </c>
      <c r="D2775" t="s">
        <v>77</v>
      </c>
      <c r="E2775" t="s">
        <v>82</v>
      </c>
      <c r="F2775">
        <v>9000</v>
      </c>
      <c r="G2775" s="13">
        <v>45448</v>
      </c>
      <c r="H2775" s="13">
        <v>45632</v>
      </c>
      <c r="J2775">
        <v>0</v>
      </c>
      <c r="N2775">
        <v>0</v>
      </c>
      <c r="T2775" t="s">
        <v>3086</v>
      </c>
      <c r="W2775" t="s">
        <v>497</v>
      </c>
    </row>
    <row r="2776" spans="1:23" x14ac:dyDescent="0.25">
      <c r="A2776" t="s">
        <v>3221</v>
      </c>
      <c r="B2776" t="str">
        <f t="shared" si="43"/>
        <v>CM1200001681</v>
      </c>
      <c r="C2776" t="s">
        <v>225</v>
      </c>
      <c r="D2776" t="s">
        <v>77</v>
      </c>
      <c r="E2776" t="s">
        <v>82</v>
      </c>
      <c r="F2776">
        <v>25000</v>
      </c>
      <c r="G2776" s="13">
        <v>45453</v>
      </c>
      <c r="H2776" s="13">
        <v>45637</v>
      </c>
      <c r="I2776">
        <v>18018</v>
      </c>
      <c r="J2776">
        <v>0</v>
      </c>
      <c r="K2776">
        <v>18018</v>
      </c>
      <c r="N2776">
        <v>27.27272727272727</v>
      </c>
      <c r="O2776">
        <v>6.7260999999999997</v>
      </c>
      <c r="P2776">
        <v>92.072000000000003</v>
      </c>
      <c r="Q2776">
        <v>6.55</v>
      </c>
      <c r="R2776">
        <v>6.2</v>
      </c>
      <c r="S2776">
        <v>7</v>
      </c>
      <c r="T2776">
        <v>96.711388999999997</v>
      </c>
      <c r="W2776" t="s">
        <v>497</v>
      </c>
    </row>
    <row r="2777" spans="1:23" x14ac:dyDescent="0.25">
      <c r="A2777" t="s">
        <v>3222</v>
      </c>
      <c r="B2777" t="str">
        <f t="shared" si="43"/>
        <v>CG1100000880</v>
      </c>
      <c r="C2777" t="s">
        <v>229</v>
      </c>
      <c r="D2777" t="s">
        <v>77</v>
      </c>
      <c r="E2777" t="s">
        <v>78</v>
      </c>
      <c r="F2777">
        <v>15000</v>
      </c>
      <c r="G2777" s="13">
        <v>45454</v>
      </c>
      <c r="H2777" s="13">
        <v>45547</v>
      </c>
      <c r="I2777">
        <v>1500</v>
      </c>
      <c r="J2777">
        <v>10000</v>
      </c>
      <c r="K2777">
        <v>11500</v>
      </c>
      <c r="N2777">
        <v>12.5</v>
      </c>
      <c r="O2777">
        <v>6.3094999999999999</v>
      </c>
      <c r="P2777">
        <v>76.7333</v>
      </c>
      <c r="Q2777">
        <v>6.28</v>
      </c>
      <c r="R2777">
        <v>6.2</v>
      </c>
      <c r="S2777">
        <v>7</v>
      </c>
      <c r="T2777">
        <v>98.430139999999994</v>
      </c>
      <c r="W2777" t="s">
        <v>497</v>
      </c>
    </row>
    <row r="2778" spans="1:23" x14ac:dyDescent="0.25">
      <c r="A2778" t="s">
        <v>3223</v>
      </c>
      <c r="B2778" t="str">
        <f t="shared" si="43"/>
        <v>CG1200001317</v>
      </c>
      <c r="C2778" t="s">
        <v>229</v>
      </c>
      <c r="D2778" t="s">
        <v>77</v>
      </c>
      <c r="E2778" t="s">
        <v>82</v>
      </c>
      <c r="F2778">
        <v>10000</v>
      </c>
      <c r="G2778" s="13">
        <v>45454</v>
      </c>
      <c r="H2778" s="13">
        <v>45624</v>
      </c>
      <c r="I2778">
        <v>3343</v>
      </c>
      <c r="J2778">
        <v>2247</v>
      </c>
      <c r="K2778">
        <v>5590</v>
      </c>
      <c r="N2778">
        <v>20.833333333333336</v>
      </c>
      <c r="O2778">
        <v>6.6798000000000002</v>
      </c>
      <c r="P2778">
        <v>56.1</v>
      </c>
      <c r="Q2778">
        <v>6.5</v>
      </c>
      <c r="R2778">
        <v>6</v>
      </c>
      <c r="S2778">
        <v>6.75</v>
      </c>
      <c r="T2778">
        <v>96.976977000000005</v>
      </c>
      <c r="W2778" t="s">
        <v>497</v>
      </c>
    </row>
    <row r="2779" spans="1:23" x14ac:dyDescent="0.25">
      <c r="A2779" t="s">
        <v>3224</v>
      </c>
      <c r="B2779" t="str">
        <f t="shared" ref="B2779:B2842" si="44">MID(A2779,1,12)</f>
        <v>CG1100000898</v>
      </c>
      <c r="C2779" t="s">
        <v>229</v>
      </c>
      <c r="D2779" t="s">
        <v>77</v>
      </c>
      <c r="E2779" t="s">
        <v>78</v>
      </c>
      <c r="F2779">
        <v>2118</v>
      </c>
      <c r="G2779" s="13">
        <v>45454</v>
      </c>
      <c r="H2779" s="13">
        <v>45547</v>
      </c>
      <c r="I2779">
        <v>2118</v>
      </c>
      <c r="J2779">
        <v>0</v>
      </c>
      <c r="K2779">
        <v>2118</v>
      </c>
      <c r="N2779">
        <v>0</v>
      </c>
      <c r="P2779">
        <v>100</v>
      </c>
      <c r="T2779">
        <v>100</v>
      </c>
      <c r="W2779" t="s">
        <v>542</v>
      </c>
    </row>
    <row r="2780" spans="1:23" x14ac:dyDescent="0.25">
      <c r="A2780" t="s">
        <v>3225</v>
      </c>
      <c r="B2780" t="str">
        <f t="shared" si="44"/>
        <v>CG1200001341</v>
      </c>
      <c r="C2780" t="s">
        <v>229</v>
      </c>
      <c r="D2780" t="s">
        <v>77</v>
      </c>
      <c r="E2780" t="s">
        <v>82</v>
      </c>
      <c r="F2780">
        <v>13673</v>
      </c>
      <c r="G2780" s="13">
        <v>45454</v>
      </c>
      <c r="H2780" s="13">
        <v>45638</v>
      </c>
      <c r="I2780">
        <v>13673</v>
      </c>
      <c r="K2780">
        <v>13673</v>
      </c>
      <c r="N2780">
        <v>0</v>
      </c>
      <c r="P2780">
        <v>100</v>
      </c>
      <c r="T2780">
        <v>100</v>
      </c>
      <c r="W2780" t="s">
        <v>542</v>
      </c>
    </row>
    <row r="2781" spans="1:23" x14ac:dyDescent="0.25">
      <c r="A2781" t="s">
        <v>3226</v>
      </c>
      <c r="B2781" t="str">
        <f t="shared" si="44"/>
        <v>CG1300000524</v>
      </c>
      <c r="C2781" t="s">
        <v>229</v>
      </c>
      <c r="D2781" t="s">
        <v>77</v>
      </c>
      <c r="E2781" t="s">
        <v>287</v>
      </c>
      <c r="F2781">
        <v>16130</v>
      </c>
      <c r="G2781" s="13">
        <v>45454</v>
      </c>
      <c r="H2781" s="13">
        <v>45820</v>
      </c>
      <c r="I2781">
        <v>16130</v>
      </c>
      <c r="J2781">
        <v>0</v>
      </c>
      <c r="K2781">
        <v>16130</v>
      </c>
      <c r="N2781">
        <v>0</v>
      </c>
      <c r="P2781">
        <v>100</v>
      </c>
      <c r="T2781">
        <v>100</v>
      </c>
      <c r="W2781" t="s">
        <v>542</v>
      </c>
    </row>
    <row r="2782" spans="1:23" x14ac:dyDescent="0.25">
      <c r="A2782" t="s">
        <v>3209</v>
      </c>
      <c r="B2782" t="str">
        <f t="shared" si="44"/>
        <v>GA1200002119</v>
      </c>
      <c r="C2782" t="s">
        <v>227</v>
      </c>
      <c r="D2782" t="s">
        <v>77</v>
      </c>
      <c r="E2782" t="s">
        <v>82</v>
      </c>
      <c r="F2782">
        <v>9000</v>
      </c>
      <c r="G2782" s="13">
        <v>45455</v>
      </c>
      <c r="H2782" s="13">
        <v>45639</v>
      </c>
      <c r="I2782">
        <v>8970</v>
      </c>
      <c r="J2782">
        <v>30</v>
      </c>
      <c r="K2782">
        <v>9000</v>
      </c>
      <c r="N2782">
        <v>38.095238095238095</v>
      </c>
      <c r="O2782">
        <v>6.476</v>
      </c>
      <c r="P2782">
        <v>202.4444</v>
      </c>
      <c r="Q2782">
        <v>6.3</v>
      </c>
      <c r="R2782">
        <v>5</v>
      </c>
      <c r="S2782">
        <v>6.5</v>
      </c>
      <c r="T2782">
        <v>96.829830000000001</v>
      </c>
      <c r="W2782" t="s">
        <v>497</v>
      </c>
    </row>
    <row r="2783" spans="1:23" x14ac:dyDescent="0.25">
      <c r="A2783" t="s">
        <v>3227</v>
      </c>
      <c r="B2783" t="str">
        <f t="shared" si="44"/>
        <v>TD1200001899</v>
      </c>
      <c r="C2783" t="s">
        <v>237</v>
      </c>
      <c r="D2783" t="s">
        <v>77</v>
      </c>
      <c r="E2783" t="s">
        <v>82</v>
      </c>
      <c r="F2783">
        <v>15000</v>
      </c>
      <c r="G2783" s="13">
        <v>45455</v>
      </c>
      <c r="H2783" s="13">
        <v>45639</v>
      </c>
      <c r="I2783">
        <v>0</v>
      </c>
      <c r="J2783">
        <v>3000</v>
      </c>
      <c r="K2783">
        <v>3000</v>
      </c>
      <c r="N2783">
        <v>16.666666666666664</v>
      </c>
      <c r="O2783">
        <v>6.9885000000000002</v>
      </c>
      <c r="P2783">
        <v>20.033300000000001</v>
      </c>
      <c r="Q2783">
        <v>6.75</v>
      </c>
      <c r="R2783">
        <v>6.75</v>
      </c>
      <c r="S2783">
        <v>7</v>
      </c>
      <c r="T2783">
        <v>96.587500000000006</v>
      </c>
      <c r="W2783" t="s">
        <v>497</v>
      </c>
    </row>
    <row r="2784" spans="1:23" x14ac:dyDescent="0.25">
      <c r="A2784" t="s">
        <v>3228</v>
      </c>
      <c r="B2784" t="str">
        <f t="shared" si="44"/>
        <v>CM1200001699</v>
      </c>
      <c r="C2784" t="s">
        <v>225</v>
      </c>
      <c r="D2784" t="s">
        <v>77</v>
      </c>
      <c r="E2784" t="s">
        <v>82</v>
      </c>
      <c r="F2784">
        <v>15000</v>
      </c>
      <c r="G2784" s="13">
        <v>45460</v>
      </c>
      <c r="H2784" s="13">
        <v>45644</v>
      </c>
      <c r="I2784">
        <v>11000</v>
      </c>
      <c r="J2784">
        <v>4000</v>
      </c>
      <c r="K2784">
        <v>15000</v>
      </c>
      <c r="N2784">
        <v>22.727272727272727</v>
      </c>
      <c r="O2784">
        <v>6.6882000000000001</v>
      </c>
      <c r="P2784">
        <v>116.34</v>
      </c>
      <c r="Q2784">
        <v>6.55</v>
      </c>
      <c r="R2784">
        <v>5.99</v>
      </c>
      <c r="S2784">
        <v>6.55</v>
      </c>
      <c r="T2784">
        <v>96.729309999999998</v>
      </c>
      <c r="W2784" t="s">
        <v>497</v>
      </c>
    </row>
    <row r="2785" spans="1:23" x14ac:dyDescent="0.25">
      <c r="A2785" t="s">
        <v>3229</v>
      </c>
      <c r="B2785" t="str">
        <f t="shared" si="44"/>
        <v>GQ1300001369</v>
      </c>
      <c r="C2785" t="s">
        <v>528</v>
      </c>
      <c r="D2785" t="s">
        <v>77</v>
      </c>
      <c r="E2785" t="s">
        <v>287</v>
      </c>
      <c r="F2785">
        <v>20000</v>
      </c>
      <c r="G2785" s="13">
        <v>45461</v>
      </c>
      <c r="H2785" s="13">
        <v>45827</v>
      </c>
      <c r="I2785">
        <v>12635</v>
      </c>
      <c r="J2785">
        <v>1300</v>
      </c>
      <c r="K2785">
        <v>13935</v>
      </c>
      <c r="N2785">
        <v>46.153846153846153</v>
      </c>
      <c r="O2785">
        <v>7.1055999999999999</v>
      </c>
      <c r="P2785">
        <v>69.674999999999997</v>
      </c>
      <c r="Q2785">
        <v>6.8</v>
      </c>
      <c r="R2785">
        <v>6</v>
      </c>
      <c r="S2785">
        <v>6.8</v>
      </c>
      <c r="T2785">
        <v>93.297004999999999</v>
      </c>
      <c r="W2785" t="s">
        <v>497</v>
      </c>
    </row>
    <row r="2786" spans="1:23" x14ac:dyDescent="0.25">
      <c r="A2786" t="s">
        <v>3230</v>
      </c>
      <c r="B2786" t="str">
        <f t="shared" si="44"/>
        <v>GA1200002143</v>
      </c>
      <c r="C2786" t="s">
        <v>227</v>
      </c>
      <c r="D2786" t="s">
        <v>77</v>
      </c>
      <c r="E2786" t="s">
        <v>82</v>
      </c>
      <c r="F2786">
        <v>9000</v>
      </c>
      <c r="G2786" s="13">
        <v>45462</v>
      </c>
      <c r="H2786" s="13">
        <v>45646</v>
      </c>
      <c r="I2786">
        <v>512</v>
      </c>
      <c r="J2786">
        <v>8488</v>
      </c>
      <c r="K2786">
        <v>9000</v>
      </c>
      <c r="N2786">
        <v>38.095238095238095</v>
      </c>
      <c r="O2786">
        <v>6.3982000000000001</v>
      </c>
      <c r="P2786">
        <v>143.75559999999999</v>
      </c>
      <c r="Q2786">
        <v>6.25</v>
      </c>
      <c r="R2786">
        <v>5.5</v>
      </c>
      <c r="S2786">
        <v>7</v>
      </c>
      <c r="T2786">
        <v>96.866692999999998</v>
      </c>
      <c r="W2786" t="s">
        <v>497</v>
      </c>
    </row>
    <row r="2787" spans="1:23" x14ac:dyDescent="0.25">
      <c r="A2787" t="s">
        <v>3231</v>
      </c>
      <c r="B2787" t="str">
        <f t="shared" si="44"/>
        <v>TD1200001907</v>
      </c>
      <c r="C2787" t="s">
        <v>237</v>
      </c>
      <c r="D2787" t="s">
        <v>77</v>
      </c>
      <c r="E2787" t="s">
        <v>82</v>
      </c>
      <c r="F2787">
        <v>15000</v>
      </c>
      <c r="G2787" s="13">
        <v>45462</v>
      </c>
      <c r="H2787" s="13">
        <v>45646</v>
      </c>
      <c r="I2787">
        <v>12520</v>
      </c>
      <c r="J2787">
        <v>3</v>
      </c>
      <c r="K2787">
        <v>12523</v>
      </c>
      <c r="N2787">
        <v>33.333333333333329</v>
      </c>
      <c r="O2787">
        <v>6.7336999999999998</v>
      </c>
      <c r="P2787">
        <v>83.553299999999993</v>
      </c>
      <c r="Q2787">
        <v>6.75</v>
      </c>
      <c r="R2787">
        <v>6.5</v>
      </c>
      <c r="S2787">
        <v>7</v>
      </c>
      <c r="T2787">
        <v>96.707802999999998</v>
      </c>
      <c r="W2787" t="s">
        <v>497</v>
      </c>
    </row>
    <row r="2788" spans="1:23" x14ac:dyDescent="0.25">
      <c r="A2788" t="s">
        <v>3232</v>
      </c>
      <c r="B2788" t="str">
        <f t="shared" si="44"/>
        <v>CM1200001707</v>
      </c>
      <c r="C2788" t="s">
        <v>225</v>
      </c>
      <c r="D2788" t="s">
        <v>77</v>
      </c>
      <c r="E2788" t="s">
        <v>82</v>
      </c>
      <c r="F2788">
        <v>125000</v>
      </c>
      <c r="G2788" s="13">
        <v>45467</v>
      </c>
      <c r="H2788" s="13">
        <v>45651</v>
      </c>
      <c r="I2788">
        <v>124950</v>
      </c>
      <c r="J2788">
        <v>50</v>
      </c>
      <c r="K2788">
        <v>125000</v>
      </c>
      <c r="N2788">
        <v>45.454545454545453</v>
      </c>
      <c r="O2788">
        <v>6.8159000000000001</v>
      </c>
      <c r="P2788">
        <v>102.5288</v>
      </c>
      <c r="Q2788">
        <v>6.6</v>
      </c>
      <c r="R2788">
        <v>5.65</v>
      </c>
      <c r="S2788">
        <v>6.6</v>
      </c>
      <c r="T2788">
        <v>96.668948999999998</v>
      </c>
      <c r="W2788" t="s">
        <v>497</v>
      </c>
    </row>
    <row r="2789" spans="1:23" x14ac:dyDescent="0.25">
      <c r="A2789" t="s">
        <v>3233</v>
      </c>
      <c r="B2789" t="str">
        <f t="shared" si="44"/>
        <v>CM1200001707</v>
      </c>
      <c r="C2789" t="s">
        <v>225</v>
      </c>
      <c r="D2789" t="s">
        <v>77</v>
      </c>
      <c r="E2789" t="s">
        <v>82</v>
      </c>
      <c r="F2789">
        <v>15000</v>
      </c>
      <c r="G2789" s="13">
        <v>45467</v>
      </c>
      <c r="H2789" s="13">
        <v>45651</v>
      </c>
      <c r="I2789">
        <v>10150</v>
      </c>
      <c r="J2789">
        <v>0</v>
      </c>
      <c r="K2789">
        <v>10150</v>
      </c>
      <c r="N2789">
        <v>9.0909090909090917</v>
      </c>
      <c r="O2789">
        <v>6.82</v>
      </c>
      <c r="P2789">
        <v>67.666700000000006</v>
      </c>
      <c r="Q2789">
        <v>6.82</v>
      </c>
      <c r="R2789">
        <v>6.82</v>
      </c>
      <c r="S2789">
        <v>6.82</v>
      </c>
      <c r="T2789">
        <v>96.668948999999998</v>
      </c>
      <c r="W2789" t="s">
        <v>1547</v>
      </c>
    </row>
    <row r="2790" spans="1:23" x14ac:dyDescent="0.25">
      <c r="A2790" t="s">
        <v>3234</v>
      </c>
      <c r="B2790" t="str">
        <f t="shared" si="44"/>
        <v>CG1200001333</v>
      </c>
      <c r="C2790" t="s">
        <v>229</v>
      </c>
      <c r="D2790" t="s">
        <v>77</v>
      </c>
      <c r="E2790" t="s">
        <v>82</v>
      </c>
      <c r="F2790">
        <v>25000</v>
      </c>
      <c r="G2790" s="13">
        <v>45468</v>
      </c>
      <c r="H2790" s="13">
        <v>45652</v>
      </c>
      <c r="I2790">
        <v>300</v>
      </c>
      <c r="J2790">
        <v>3340</v>
      </c>
      <c r="K2790">
        <v>3640</v>
      </c>
      <c r="N2790">
        <v>33.333333333333329</v>
      </c>
      <c r="O2790">
        <v>6.6829000000000001</v>
      </c>
      <c r="P2790">
        <v>14.704000000000001</v>
      </c>
      <c r="Q2790">
        <v>6.5</v>
      </c>
      <c r="R2790">
        <v>6</v>
      </c>
      <c r="S2790">
        <v>7.5</v>
      </c>
      <c r="T2790">
        <v>96.731840000000005</v>
      </c>
      <c r="W2790" t="s">
        <v>497</v>
      </c>
    </row>
    <row r="2791" spans="1:23" x14ac:dyDescent="0.25">
      <c r="A2791" t="s">
        <v>3235</v>
      </c>
      <c r="B2791" t="str">
        <f t="shared" si="44"/>
        <v>CG1300000532</v>
      </c>
      <c r="C2791" t="s">
        <v>229</v>
      </c>
      <c r="D2791" t="s">
        <v>77</v>
      </c>
      <c r="E2791" t="s">
        <v>287</v>
      </c>
      <c r="F2791">
        <v>20000</v>
      </c>
      <c r="G2791" s="13">
        <v>45468</v>
      </c>
      <c r="H2791" s="13">
        <v>45834</v>
      </c>
      <c r="I2791">
        <v>7967</v>
      </c>
      <c r="J2791">
        <v>2350</v>
      </c>
      <c r="K2791">
        <v>10317</v>
      </c>
      <c r="N2791">
        <v>37.5</v>
      </c>
      <c r="O2791">
        <v>7.4530000000000003</v>
      </c>
      <c r="P2791">
        <v>51.585000000000001</v>
      </c>
      <c r="Q2791">
        <v>7</v>
      </c>
      <c r="R2791">
        <v>5.9</v>
      </c>
      <c r="S2791">
        <v>7</v>
      </c>
      <c r="T2791">
        <v>92.992237000000003</v>
      </c>
      <c r="W2791" t="s">
        <v>497</v>
      </c>
    </row>
    <row r="2792" spans="1:23" x14ac:dyDescent="0.25">
      <c r="A2792" t="s">
        <v>3236</v>
      </c>
      <c r="B2792" t="str">
        <f t="shared" si="44"/>
        <v>GA1200002150</v>
      </c>
      <c r="C2792" t="s">
        <v>227</v>
      </c>
      <c r="D2792" t="s">
        <v>77</v>
      </c>
      <c r="E2792" t="s">
        <v>82</v>
      </c>
      <c r="F2792">
        <v>9000</v>
      </c>
      <c r="G2792" s="13">
        <v>45469</v>
      </c>
      <c r="H2792" s="13">
        <v>45653</v>
      </c>
      <c r="I2792">
        <v>100</v>
      </c>
      <c r="J2792">
        <v>3857</v>
      </c>
      <c r="K2792">
        <v>3957</v>
      </c>
      <c r="N2792">
        <v>19.047619047619047</v>
      </c>
      <c r="O2792">
        <v>6.6092000000000004</v>
      </c>
      <c r="P2792">
        <v>43.966700000000003</v>
      </c>
      <c r="Q2792">
        <v>6.5</v>
      </c>
      <c r="R2792">
        <v>5.4</v>
      </c>
      <c r="S2792">
        <v>6.5</v>
      </c>
      <c r="T2792">
        <v>96.766718999999995</v>
      </c>
      <c r="W2792" t="s">
        <v>497</v>
      </c>
    </row>
    <row r="2793" spans="1:23" x14ac:dyDescent="0.25">
      <c r="A2793" t="s">
        <v>3237</v>
      </c>
      <c r="B2793" t="str">
        <f t="shared" si="44"/>
        <v>TD1200001915</v>
      </c>
      <c r="C2793" t="s">
        <v>237</v>
      </c>
      <c r="D2793" t="s">
        <v>77</v>
      </c>
      <c r="E2793" t="s">
        <v>82</v>
      </c>
      <c r="F2793">
        <v>10000</v>
      </c>
      <c r="G2793" s="13">
        <v>45469</v>
      </c>
      <c r="H2793" s="13">
        <v>45653</v>
      </c>
      <c r="J2793">
        <v>0</v>
      </c>
      <c r="N2793">
        <v>0</v>
      </c>
      <c r="T2793" t="s">
        <v>1418</v>
      </c>
      <c r="W2793" t="s">
        <v>497</v>
      </c>
    </row>
    <row r="2794" spans="1:23" x14ac:dyDescent="0.25">
      <c r="A2794" t="s">
        <v>3238</v>
      </c>
      <c r="B2794" t="str">
        <f t="shared" si="44"/>
        <v>CG1200001358</v>
      </c>
      <c r="C2794" t="s">
        <v>229</v>
      </c>
      <c r="D2794" t="s">
        <v>77</v>
      </c>
      <c r="E2794" t="s">
        <v>82</v>
      </c>
      <c r="F2794">
        <v>15000</v>
      </c>
      <c r="G2794" s="13">
        <v>45475</v>
      </c>
      <c r="H2794" s="13">
        <v>45659</v>
      </c>
      <c r="I2794">
        <v>0</v>
      </c>
      <c r="J2794">
        <v>1194</v>
      </c>
      <c r="K2794">
        <v>1194</v>
      </c>
      <c r="N2794">
        <v>8.3333333333333321</v>
      </c>
      <c r="O2794">
        <v>6.5084</v>
      </c>
      <c r="P2794">
        <v>8.0932999999999993</v>
      </c>
      <c r="Q2794">
        <v>6.5</v>
      </c>
      <c r="R2794">
        <v>6</v>
      </c>
      <c r="S2794">
        <v>6.75</v>
      </c>
      <c r="T2794">
        <v>96.814449999999994</v>
      </c>
      <c r="W2794" t="s">
        <v>497</v>
      </c>
    </row>
    <row r="2795" spans="1:23" x14ac:dyDescent="0.25">
      <c r="A2795" t="s">
        <v>3239</v>
      </c>
      <c r="B2795" t="str">
        <f t="shared" si="44"/>
        <v>CG1300000532</v>
      </c>
      <c r="C2795" t="s">
        <v>229</v>
      </c>
      <c r="D2795" t="s">
        <v>77</v>
      </c>
      <c r="E2795" t="s">
        <v>287</v>
      </c>
      <c r="F2795">
        <v>15000</v>
      </c>
      <c r="G2795" s="13">
        <v>45475</v>
      </c>
      <c r="H2795" s="13">
        <v>45834</v>
      </c>
      <c r="I2795">
        <v>5000</v>
      </c>
      <c r="J2795">
        <v>5007</v>
      </c>
      <c r="K2795">
        <v>10007</v>
      </c>
      <c r="N2795">
        <v>12.5</v>
      </c>
      <c r="O2795">
        <v>7.5221999999999998</v>
      </c>
      <c r="P2795">
        <v>66.713300000000004</v>
      </c>
      <c r="Q2795">
        <v>7</v>
      </c>
      <c r="R2795">
        <v>7</v>
      </c>
      <c r="S2795">
        <v>7</v>
      </c>
      <c r="T2795">
        <v>93.058333000000005</v>
      </c>
      <c r="W2795" t="s">
        <v>497</v>
      </c>
    </row>
    <row r="2796" spans="1:23" x14ac:dyDescent="0.25">
      <c r="A2796" t="s">
        <v>3240</v>
      </c>
      <c r="B2796" t="str">
        <f t="shared" si="44"/>
        <v>GA1200002168</v>
      </c>
      <c r="C2796" t="s">
        <v>227</v>
      </c>
      <c r="D2796" t="s">
        <v>77</v>
      </c>
      <c r="E2796" t="s">
        <v>82</v>
      </c>
      <c r="F2796">
        <v>9000</v>
      </c>
      <c r="G2796" s="13">
        <v>45476</v>
      </c>
      <c r="H2796" s="13">
        <v>45660</v>
      </c>
      <c r="I2796">
        <v>508</v>
      </c>
      <c r="J2796">
        <v>7270</v>
      </c>
      <c r="K2796">
        <v>7778</v>
      </c>
      <c r="N2796">
        <v>28.571428571428569</v>
      </c>
      <c r="O2796">
        <v>6.5095000000000001</v>
      </c>
      <c r="P2796">
        <v>140.72219999999999</v>
      </c>
      <c r="Q2796">
        <v>6.45</v>
      </c>
      <c r="R2796">
        <v>5.95</v>
      </c>
      <c r="S2796">
        <v>6.55</v>
      </c>
      <c r="T2796">
        <v>96.813946999999999</v>
      </c>
      <c r="W2796" t="s">
        <v>497</v>
      </c>
    </row>
    <row r="2797" spans="1:23" x14ac:dyDescent="0.25">
      <c r="A2797" t="s">
        <v>3241</v>
      </c>
      <c r="B2797" t="str">
        <f t="shared" si="44"/>
        <v>GQ1300001377</v>
      </c>
      <c r="C2797" t="s">
        <v>528</v>
      </c>
      <c r="D2797" t="s">
        <v>77</v>
      </c>
      <c r="E2797" t="s">
        <v>287</v>
      </c>
      <c r="F2797">
        <v>20000</v>
      </c>
      <c r="G2797" s="13">
        <v>45475</v>
      </c>
      <c r="H2797" s="13">
        <v>45841</v>
      </c>
      <c r="I2797">
        <v>8000</v>
      </c>
      <c r="J2797">
        <v>2541</v>
      </c>
      <c r="K2797">
        <v>10541</v>
      </c>
      <c r="N2797">
        <v>38.461538461538467</v>
      </c>
      <c r="O2797">
        <v>7.1321000000000003</v>
      </c>
      <c r="P2797">
        <v>52.704999999999998</v>
      </c>
      <c r="Q2797">
        <v>6.8</v>
      </c>
      <c r="R2797">
        <v>6</v>
      </c>
      <c r="S2797">
        <v>6.8</v>
      </c>
      <c r="T2797">
        <v>93.273739000000006</v>
      </c>
      <c r="W2797" t="s">
        <v>497</v>
      </c>
    </row>
    <row r="2798" spans="1:23" x14ac:dyDescent="0.25">
      <c r="A2798" t="s">
        <v>3242</v>
      </c>
      <c r="B2798" t="str">
        <f t="shared" si="44"/>
        <v>CG1100000906</v>
      </c>
      <c r="C2798" t="s">
        <v>229</v>
      </c>
      <c r="D2798" t="s">
        <v>77</v>
      </c>
      <c r="E2798" t="s">
        <v>78</v>
      </c>
      <c r="F2798">
        <v>15000</v>
      </c>
      <c r="G2798" s="13">
        <v>45482</v>
      </c>
      <c r="H2798" s="13">
        <v>45575</v>
      </c>
      <c r="I2798">
        <v>20</v>
      </c>
      <c r="J2798">
        <v>14980</v>
      </c>
      <c r="K2798">
        <v>15000</v>
      </c>
      <c r="N2798">
        <v>37.5</v>
      </c>
      <c r="O2798">
        <v>6.2976000000000001</v>
      </c>
      <c r="P2798">
        <v>138.4</v>
      </c>
      <c r="Q2798">
        <v>6.3</v>
      </c>
      <c r="R2798">
        <v>5.8</v>
      </c>
      <c r="S2798">
        <v>6.75</v>
      </c>
      <c r="T2798">
        <v>98.433063000000004</v>
      </c>
      <c r="W2798" t="s">
        <v>497</v>
      </c>
    </row>
    <row r="2799" spans="1:23" x14ac:dyDescent="0.25">
      <c r="A2799" t="s">
        <v>3243</v>
      </c>
      <c r="B2799" t="str">
        <f t="shared" si="44"/>
        <v>CG1300000540</v>
      </c>
      <c r="C2799" t="s">
        <v>229</v>
      </c>
      <c r="D2799" t="s">
        <v>77</v>
      </c>
      <c r="E2799" t="s">
        <v>287</v>
      </c>
      <c r="F2799">
        <v>10000</v>
      </c>
      <c r="G2799" s="13">
        <v>45482</v>
      </c>
      <c r="H2799" s="13">
        <v>45848</v>
      </c>
      <c r="I2799">
        <v>2000</v>
      </c>
      <c r="J2799">
        <v>2342</v>
      </c>
      <c r="K2799">
        <v>4342</v>
      </c>
      <c r="N2799">
        <v>25</v>
      </c>
      <c r="O2799">
        <v>7.2293000000000003</v>
      </c>
      <c r="P2799">
        <v>43.52</v>
      </c>
      <c r="Q2799">
        <v>7</v>
      </c>
      <c r="R2799">
        <v>6.5</v>
      </c>
      <c r="S2799">
        <v>7.5</v>
      </c>
      <c r="T2799">
        <v>93.188272999999995</v>
      </c>
      <c r="W2799" t="s">
        <v>497</v>
      </c>
    </row>
    <row r="2800" spans="1:23" x14ac:dyDescent="0.25">
      <c r="A2800" t="s">
        <v>3244</v>
      </c>
      <c r="B2800" t="str">
        <f t="shared" si="44"/>
        <v>CM1200001715</v>
      </c>
      <c r="C2800" t="s">
        <v>225</v>
      </c>
      <c r="D2800" t="s">
        <v>77</v>
      </c>
      <c r="E2800" t="s">
        <v>82</v>
      </c>
      <c r="F2800">
        <v>25000</v>
      </c>
      <c r="G2800" s="13">
        <v>45481</v>
      </c>
      <c r="H2800" s="13">
        <v>45665</v>
      </c>
      <c r="I2800">
        <v>14023</v>
      </c>
      <c r="J2800">
        <v>1150</v>
      </c>
      <c r="K2800">
        <v>15173</v>
      </c>
      <c r="N2800">
        <v>27.27272727272727</v>
      </c>
      <c r="O2800">
        <v>6.7156000000000002</v>
      </c>
      <c r="P2800">
        <v>60.692</v>
      </c>
      <c r="Q2800">
        <v>6.6</v>
      </c>
      <c r="R2800">
        <v>6</v>
      </c>
      <c r="S2800">
        <v>6.6</v>
      </c>
      <c r="T2800">
        <v>96.716369999999998</v>
      </c>
      <c r="W2800" t="s">
        <v>497</v>
      </c>
    </row>
    <row r="2801" spans="1:23" x14ac:dyDescent="0.25">
      <c r="A2801" t="s">
        <v>3245</v>
      </c>
      <c r="B2801" t="str">
        <f t="shared" si="44"/>
        <v>GQ1300001385</v>
      </c>
      <c r="C2801" t="s">
        <v>528</v>
      </c>
      <c r="D2801" t="s">
        <v>77</v>
      </c>
      <c r="E2801" t="s">
        <v>287</v>
      </c>
      <c r="F2801">
        <v>10000</v>
      </c>
      <c r="G2801" s="13">
        <v>45482</v>
      </c>
      <c r="H2801" s="13">
        <v>45848</v>
      </c>
      <c r="I2801">
        <v>4994</v>
      </c>
      <c r="J2801">
        <v>5006</v>
      </c>
      <c r="K2801">
        <v>10000</v>
      </c>
      <c r="N2801">
        <v>30.76923076923077</v>
      </c>
      <c r="O2801">
        <v>7.2827000000000002</v>
      </c>
      <c r="P2801">
        <v>100.3</v>
      </c>
      <c r="Q2801">
        <v>6.8</v>
      </c>
      <c r="R2801">
        <v>5.9</v>
      </c>
      <c r="S2801">
        <v>7</v>
      </c>
      <c r="T2801">
        <v>93.141430999999997</v>
      </c>
      <c r="W2801" t="s">
        <v>497</v>
      </c>
    </row>
    <row r="2802" spans="1:23" x14ac:dyDescent="0.25">
      <c r="A2802" t="s">
        <v>3246</v>
      </c>
      <c r="B2802" t="str">
        <f t="shared" si="44"/>
        <v>CG1200001366</v>
      </c>
      <c r="C2802" t="s">
        <v>229</v>
      </c>
      <c r="D2802" t="s">
        <v>77</v>
      </c>
      <c r="E2802" t="s">
        <v>82</v>
      </c>
      <c r="F2802">
        <v>10000</v>
      </c>
      <c r="G2802" s="13">
        <v>45489</v>
      </c>
      <c r="H2802" s="13">
        <v>45673</v>
      </c>
      <c r="I2802">
        <v>5918</v>
      </c>
      <c r="J2802">
        <v>4082</v>
      </c>
      <c r="K2802">
        <v>10000</v>
      </c>
      <c r="N2802">
        <v>41.666666666666671</v>
      </c>
      <c r="O2802">
        <v>6.8936999999999999</v>
      </c>
      <c r="P2802">
        <v>156.6</v>
      </c>
      <c r="Q2802">
        <v>6.75</v>
      </c>
      <c r="R2802">
        <v>6.1</v>
      </c>
      <c r="S2802">
        <v>7</v>
      </c>
      <c r="T2802">
        <v>96.632226000000003</v>
      </c>
      <c r="W2802" t="s">
        <v>497</v>
      </c>
    </row>
    <row r="2803" spans="1:23" x14ac:dyDescent="0.25">
      <c r="A2803" t="s">
        <v>3247</v>
      </c>
      <c r="B2803" t="str">
        <f t="shared" si="44"/>
        <v>CG1200001366</v>
      </c>
      <c r="C2803" t="s">
        <v>229</v>
      </c>
      <c r="D2803" t="s">
        <v>77</v>
      </c>
      <c r="E2803" t="s">
        <v>82</v>
      </c>
      <c r="F2803">
        <v>5000</v>
      </c>
      <c r="G2803" s="13">
        <v>45490</v>
      </c>
      <c r="H2803" s="13">
        <v>45673</v>
      </c>
      <c r="I2803">
        <v>1218</v>
      </c>
      <c r="J2803">
        <v>3782</v>
      </c>
      <c r="K2803">
        <v>5000</v>
      </c>
      <c r="N2803">
        <v>33.333333333333329</v>
      </c>
      <c r="O2803">
        <v>6.8936999999999999</v>
      </c>
      <c r="P2803">
        <v>114.48</v>
      </c>
      <c r="Q2803">
        <v>6.8936999999999999</v>
      </c>
      <c r="R2803">
        <v>6.8936999999999999</v>
      </c>
      <c r="S2803">
        <v>6.8936999999999999</v>
      </c>
      <c r="T2803">
        <v>96.632226000000003</v>
      </c>
      <c r="W2803" t="s">
        <v>1547</v>
      </c>
    </row>
    <row r="2804" spans="1:23" x14ac:dyDescent="0.25">
      <c r="A2804" t="s">
        <v>3248</v>
      </c>
      <c r="B2804" t="str">
        <f t="shared" si="44"/>
        <v>CM1300000724</v>
      </c>
      <c r="C2804" t="s">
        <v>225</v>
      </c>
      <c r="D2804" t="s">
        <v>77</v>
      </c>
      <c r="E2804" t="s">
        <v>287</v>
      </c>
      <c r="F2804">
        <v>15000</v>
      </c>
      <c r="G2804" s="13">
        <v>45488</v>
      </c>
      <c r="H2804" s="13">
        <v>45854</v>
      </c>
      <c r="I2804">
        <v>3395</v>
      </c>
      <c r="J2804">
        <v>1350</v>
      </c>
      <c r="K2804">
        <v>4745</v>
      </c>
      <c r="N2804">
        <v>27.27272727272727</v>
      </c>
      <c r="O2804">
        <v>7.1001000000000003</v>
      </c>
      <c r="P2804">
        <v>31.7</v>
      </c>
      <c r="Q2804">
        <v>6.75</v>
      </c>
      <c r="R2804">
        <v>6</v>
      </c>
      <c r="S2804">
        <v>8</v>
      </c>
      <c r="T2804">
        <v>93.301841999999994</v>
      </c>
      <c r="W2804" t="s">
        <v>497</v>
      </c>
    </row>
    <row r="2805" spans="1:23" x14ac:dyDescent="0.25">
      <c r="A2805" t="s">
        <v>3249</v>
      </c>
      <c r="B2805" t="str">
        <f t="shared" si="44"/>
        <v>GA1200002051</v>
      </c>
      <c r="C2805" t="s">
        <v>227</v>
      </c>
      <c r="D2805" t="s">
        <v>77</v>
      </c>
      <c r="E2805" t="s">
        <v>82</v>
      </c>
      <c r="F2805">
        <v>15000</v>
      </c>
      <c r="G2805" s="13">
        <v>45490</v>
      </c>
      <c r="H2805" s="13">
        <v>45562</v>
      </c>
      <c r="I2805">
        <v>10000</v>
      </c>
      <c r="J2805">
        <v>5000</v>
      </c>
      <c r="K2805">
        <v>15000</v>
      </c>
      <c r="N2805">
        <v>14.285714285714285</v>
      </c>
      <c r="O2805">
        <v>6.4805999999999999</v>
      </c>
      <c r="P2805">
        <v>100</v>
      </c>
      <c r="Q2805">
        <v>6.4</v>
      </c>
      <c r="R2805">
        <v>6.4</v>
      </c>
      <c r="S2805">
        <v>6.4</v>
      </c>
      <c r="T2805">
        <v>98.755555999999999</v>
      </c>
      <c r="W2805" t="s">
        <v>875</v>
      </c>
    </row>
    <row r="2806" spans="1:23" x14ac:dyDescent="0.25">
      <c r="A2806" t="s">
        <v>3250</v>
      </c>
      <c r="B2806" t="str">
        <f t="shared" si="44"/>
        <v>GA1300000732</v>
      </c>
      <c r="C2806" t="s">
        <v>227</v>
      </c>
      <c r="D2806" t="s">
        <v>77</v>
      </c>
      <c r="E2806" t="s">
        <v>287</v>
      </c>
      <c r="F2806">
        <v>15000</v>
      </c>
      <c r="G2806" s="13">
        <v>45490</v>
      </c>
      <c r="H2806" s="13">
        <v>45856</v>
      </c>
      <c r="I2806">
        <v>10100</v>
      </c>
      <c r="J2806">
        <v>4900</v>
      </c>
      <c r="K2806">
        <v>15000</v>
      </c>
      <c r="N2806">
        <v>19.047619047619047</v>
      </c>
      <c r="O2806">
        <v>6.9572000000000003</v>
      </c>
      <c r="P2806">
        <v>100</v>
      </c>
      <c r="Q2806">
        <v>6.5</v>
      </c>
      <c r="R2806">
        <v>6.5</v>
      </c>
      <c r="S2806">
        <v>6.5</v>
      </c>
      <c r="T2806">
        <v>93.427778000000004</v>
      </c>
      <c r="W2806" t="s">
        <v>875</v>
      </c>
    </row>
    <row r="2807" spans="1:23" x14ac:dyDescent="0.25">
      <c r="A2807" t="s">
        <v>3251</v>
      </c>
      <c r="B2807" t="str">
        <f t="shared" si="44"/>
        <v>TD1200001923</v>
      </c>
      <c r="C2807" t="s">
        <v>237</v>
      </c>
      <c r="D2807" t="s">
        <v>77</v>
      </c>
      <c r="E2807" t="s">
        <v>82</v>
      </c>
      <c r="F2807">
        <v>10000</v>
      </c>
      <c r="G2807" s="13">
        <v>45490</v>
      </c>
      <c r="H2807" s="13">
        <v>45674</v>
      </c>
      <c r="I2807">
        <v>0</v>
      </c>
      <c r="J2807">
        <v>3850</v>
      </c>
      <c r="K2807">
        <v>3850</v>
      </c>
      <c r="N2807">
        <v>33.333333333333329</v>
      </c>
      <c r="O2807">
        <v>6.7069999999999999</v>
      </c>
      <c r="P2807">
        <v>39.049999999999997</v>
      </c>
      <c r="Q2807">
        <v>6.5</v>
      </c>
      <c r="R2807">
        <v>6</v>
      </c>
      <c r="S2807">
        <v>7</v>
      </c>
      <c r="T2807">
        <v>96.720455000000001</v>
      </c>
      <c r="W2807" t="s">
        <v>497</v>
      </c>
    </row>
    <row r="2808" spans="1:23" x14ac:dyDescent="0.25">
      <c r="A2808" t="s">
        <v>3252</v>
      </c>
      <c r="B2808" t="str">
        <f t="shared" si="44"/>
        <v>CM1200001723</v>
      </c>
      <c r="C2808" t="s">
        <v>225</v>
      </c>
      <c r="D2808" t="s">
        <v>77</v>
      </c>
      <c r="E2808" t="s">
        <v>82</v>
      </c>
      <c r="F2808">
        <v>10000</v>
      </c>
      <c r="G2808" s="13">
        <v>45495</v>
      </c>
      <c r="H2808" s="13">
        <v>45679</v>
      </c>
      <c r="I2808">
        <v>1295</v>
      </c>
      <c r="J2808">
        <v>5000</v>
      </c>
      <c r="K2808">
        <v>6295</v>
      </c>
      <c r="N2808">
        <v>22.727272727272727</v>
      </c>
      <c r="O2808">
        <v>6.8103999999999996</v>
      </c>
      <c r="P2808">
        <v>63.05</v>
      </c>
      <c r="Q2808">
        <v>6.6</v>
      </c>
      <c r="R2808">
        <v>6.5</v>
      </c>
      <c r="S2808">
        <v>7</v>
      </c>
      <c r="T2808">
        <v>96.671565000000001</v>
      </c>
      <c r="W2808" t="s">
        <v>497</v>
      </c>
    </row>
    <row r="2809" spans="1:23" x14ac:dyDescent="0.25">
      <c r="A2809" t="s">
        <v>3253</v>
      </c>
      <c r="B2809" t="str">
        <f t="shared" si="44"/>
        <v>CG1300000557</v>
      </c>
      <c r="C2809" t="s">
        <v>229</v>
      </c>
      <c r="D2809" t="s">
        <v>77</v>
      </c>
      <c r="E2809" t="s">
        <v>287</v>
      </c>
      <c r="F2809">
        <v>10000</v>
      </c>
      <c r="G2809" s="13">
        <v>45496</v>
      </c>
      <c r="H2809" s="13">
        <v>45862</v>
      </c>
      <c r="I2809">
        <v>75</v>
      </c>
      <c r="J2809">
        <v>1163</v>
      </c>
      <c r="K2809">
        <v>1238</v>
      </c>
      <c r="N2809">
        <v>29.166666666666668</v>
      </c>
      <c r="O2809">
        <v>7.0948000000000002</v>
      </c>
      <c r="P2809">
        <v>12.38</v>
      </c>
      <c r="Q2809">
        <v>7</v>
      </c>
      <c r="R2809">
        <v>5.4</v>
      </c>
      <c r="S2809">
        <v>7</v>
      </c>
      <c r="T2809">
        <v>93.306574999999995</v>
      </c>
      <c r="W2809" t="s">
        <v>497</v>
      </c>
    </row>
    <row r="2810" spans="1:23" x14ac:dyDescent="0.25">
      <c r="A2810" t="s">
        <v>3254</v>
      </c>
      <c r="B2810" t="str">
        <f t="shared" si="44"/>
        <v>CG1100000914</v>
      </c>
      <c r="C2810" t="s">
        <v>229</v>
      </c>
      <c r="D2810" t="s">
        <v>77</v>
      </c>
      <c r="E2810" t="s">
        <v>78</v>
      </c>
      <c r="F2810">
        <v>20000</v>
      </c>
      <c r="G2810" s="13">
        <v>45496</v>
      </c>
      <c r="H2810" s="13">
        <v>45589</v>
      </c>
      <c r="I2810">
        <v>8000</v>
      </c>
      <c r="J2810">
        <v>7734</v>
      </c>
      <c r="K2810">
        <v>15734</v>
      </c>
      <c r="N2810">
        <v>20.833333333333336</v>
      </c>
      <c r="O2810">
        <v>6.7149999999999999</v>
      </c>
      <c r="P2810">
        <v>78.67</v>
      </c>
      <c r="Q2810">
        <v>6.8</v>
      </c>
      <c r="R2810">
        <v>6</v>
      </c>
      <c r="S2810">
        <v>6.8</v>
      </c>
      <c r="T2810">
        <v>98.330920000000006</v>
      </c>
      <c r="W2810" t="s">
        <v>497</v>
      </c>
    </row>
    <row r="2811" spans="1:23" x14ac:dyDescent="0.25">
      <c r="A2811" t="s">
        <v>3255</v>
      </c>
      <c r="B2811" t="str">
        <f t="shared" si="44"/>
        <v>GA1200002176</v>
      </c>
      <c r="C2811" t="s">
        <v>227</v>
      </c>
      <c r="D2811" t="s">
        <v>77</v>
      </c>
      <c r="E2811" t="s">
        <v>82</v>
      </c>
      <c r="F2811">
        <v>10000</v>
      </c>
      <c r="G2811" s="13">
        <v>45497</v>
      </c>
      <c r="H2811" s="13">
        <v>45681</v>
      </c>
      <c r="I2811">
        <v>1500</v>
      </c>
      <c r="J2811">
        <v>5729</v>
      </c>
      <c r="K2811">
        <v>7229</v>
      </c>
      <c r="N2811">
        <v>28.571428571428569</v>
      </c>
      <c r="O2811">
        <v>6.6711999999999998</v>
      </c>
      <c r="P2811">
        <v>72.39</v>
      </c>
      <c r="Q2811">
        <v>6.5</v>
      </c>
      <c r="R2811">
        <v>6</v>
      </c>
      <c r="S2811">
        <v>7</v>
      </c>
      <c r="T2811">
        <v>96.737386999999998</v>
      </c>
      <c r="W2811" t="s">
        <v>497</v>
      </c>
    </row>
    <row r="2812" spans="1:23" x14ac:dyDescent="0.25">
      <c r="A2812" t="s">
        <v>3256</v>
      </c>
      <c r="B2812" t="str">
        <f t="shared" si="44"/>
        <v>CG1100000922</v>
      </c>
      <c r="C2812" t="s">
        <v>229</v>
      </c>
      <c r="D2812" t="s">
        <v>77</v>
      </c>
      <c r="E2812" t="s">
        <v>78</v>
      </c>
      <c r="F2812">
        <v>20000</v>
      </c>
      <c r="G2812" s="13">
        <v>45503</v>
      </c>
      <c r="H2812" s="13">
        <v>45596</v>
      </c>
      <c r="I2812">
        <v>1000</v>
      </c>
      <c r="J2812">
        <v>5510</v>
      </c>
      <c r="K2812">
        <v>6510</v>
      </c>
      <c r="N2812">
        <v>16.666666666666664</v>
      </c>
      <c r="O2812">
        <v>6.3221999999999996</v>
      </c>
      <c r="P2812">
        <v>32.674999999999997</v>
      </c>
      <c r="Q2812">
        <v>6.3</v>
      </c>
      <c r="R2812">
        <v>6</v>
      </c>
      <c r="S2812">
        <v>6.5</v>
      </c>
      <c r="T2812">
        <v>98.427030999999999</v>
      </c>
      <c r="W2812" t="s">
        <v>497</v>
      </c>
    </row>
    <row r="2813" spans="1:23" x14ac:dyDescent="0.25">
      <c r="A2813" t="s">
        <v>3257</v>
      </c>
      <c r="B2813" t="str">
        <f t="shared" si="44"/>
        <v>CG1200001374</v>
      </c>
      <c r="C2813" t="s">
        <v>229</v>
      </c>
      <c r="D2813" t="s">
        <v>77</v>
      </c>
      <c r="E2813" t="s">
        <v>82</v>
      </c>
      <c r="F2813">
        <v>15000</v>
      </c>
      <c r="G2813" s="13">
        <v>45503</v>
      </c>
      <c r="H2813" s="13">
        <v>45687</v>
      </c>
      <c r="I2813">
        <v>31</v>
      </c>
      <c r="J2813">
        <v>5227</v>
      </c>
      <c r="K2813">
        <v>5258</v>
      </c>
      <c r="N2813">
        <v>12.5</v>
      </c>
      <c r="O2813">
        <v>6.9709000000000003</v>
      </c>
      <c r="P2813">
        <v>35.386699999999998</v>
      </c>
      <c r="Q2813">
        <v>6.75</v>
      </c>
      <c r="R2813">
        <v>6.5</v>
      </c>
      <c r="S2813">
        <v>7</v>
      </c>
      <c r="T2813">
        <v>96.595806999999994</v>
      </c>
      <c r="W2813" t="s">
        <v>497</v>
      </c>
    </row>
    <row r="2814" spans="1:23" x14ac:dyDescent="0.25">
      <c r="A2814" t="s">
        <v>3258</v>
      </c>
      <c r="B2814" t="str">
        <f t="shared" si="44"/>
        <v>GA1200002184</v>
      </c>
      <c r="C2814" t="s">
        <v>227</v>
      </c>
      <c r="D2814" t="s">
        <v>77</v>
      </c>
      <c r="E2814" t="s">
        <v>82</v>
      </c>
      <c r="F2814">
        <v>11000</v>
      </c>
      <c r="G2814" s="13">
        <v>45504</v>
      </c>
      <c r="H2814" s="13">
        <v>45688</v>
      </c>
      <c r="I2814">
        <v>1200</v>
      </c>
      <c r="J2814">
        <v>3148</v>
      </c>
      <c r="K2814">
        <v>4348</v>
      </c>
      <c r="N2814">
        <v>33.333333333333329</v>
      </c>
      <c r="O2814">
        <v>6.6569000000000003</v>
      </c>
      <c r="P2814">
        <v>39.9818</v>
      </c>
      <c r="Q2814">
        <v>6.5</v>
      </c>
      <c r="R2814">
        <v>6.25</v>
      </c>
      <c r="S2814">
        <v>6.55</v>
      </c>
      <c r="T2814">
        <v>96.744119999999995</v>
      </c>
      <c r="W2814" t="s">
        <v>497</v>
      </c>
    </row>
    <row r="2815" spans="1:23" x14ac:dyDescent="0.25">
      <c r="A2815" t="s">
        <v>3259</v>
      </c>
      <c r="B2815" t="str">
        <f t="shared" si="44"/>
        <v>CG1100000930</v>
      </c>
      <c r="C2815" t="s">
        <v>229</v>
      </c>
      <c r="D2815" t="s">
        <v>77</v>
      </c>
      <c r="E2815" t="s">
        <v>78</v>
      </c>
      <c r="F2815">
        <v>20000</v>
      </c>
      <c r="G2815" s="13">
        <v>45510</v>
      </c>
      <c r="H2815" s="13">
        <v>45603</v>
      </c>
      <c r="I2815">
        <v>500</v>
      </c>
      <c r="J2815">
        <v>19500</v>
      </c>
      <c r="K2815">
        <v>20000</v>
      </c>
      <c r="N2815">
        <v>25</v>
      </c>
      <c r="O2815">
        <v>6.3525</v>
      </c>
      <c r="P2815">
        <v>111.58499999999999</v>
      </c>
      <c r="Q2815">
        <v>6.5</v>
      </c>
      <c r="R2815">
        <v>6.2</v>
      </c>
      <c r="S2815">
        <v>6.5</v>
      </c>
      <c r="T2815">
        <v>98.419651000000002</v>
      </c>
      <c r="W2815" t="s">
        <v>497</v>
      </c>
    </row>
    <row r="2816" spans="1:23" x14ac:dyDescent="0.25">
      <c r="A2816" t="s">
        <v>3260</v>
      </c>
      <c r="B2816" t="str">
        <f t="shared" si="44"/>
        <v>CG1200001382</v>
      </c>
      <c r="C2816" t="s">
        <v>229</v>
      </c>
      <c r="D2816" t="s">
        <v>77</v>
      </c>
      <c r="E2816" t="s">
        <v>82</v>
      </c>
      <c r="F2816">
        <v>15000</v>
      </c>
      <c r="G2816" s="13">
        <v>45510</v>
      </c>
      <c r="H2816" s="13">
        <v>45694</v>
      </c>
      <c r="I2816">
        <v>1000</v>
      </c>
      <c r="J2816">
        <v>5807</v>
      </c>
      <c r="K2816">
        <v>6807</v>
      </c>
      <c r="N2816">
        <v>20.833333333333336</v>
      </c>
      <c r="O2816">
        <v>6.9397000000000002</v>
      </c>
      <c r="P2816">
        <v>45.38</v>
      </c>
      <c r="Q2816">
        <v>6.75</v>
      </c>
      <c r="R2816">
        <v>6.45</v>
      </c>
      <c r="S2816">
        <v>6.75</v>
      </c>
      <c r="T2816">
        <v>96.610523999999998</v>
      </c>
      <c r="W2816" t="s">
        <v>497</v>
      </c>
    </row>
    <row r="2817" spans="1:23" x14ac:dyDescent="0.25">
      <c r="A2817" t="s">
        <v>3261</v>
      </c>
      <c r="B2817" t="str">
        <f t="shared" si="44"/>
        <v>CG1300000565</v>
      </c>
      <c r="C2817" t="s">
        <v>229</v>
      </c>
      <c r="D2817" t="s">
        <v>77</v>
      </c>
      <c r="E2817" t="s">
        <v>287</v>
      </c>
      <c r="F2817">
        <v>15000</v>
      </c>
      <c r="G2817" s="13">
        <v>45510</v>
      </c>
      <c r="H2817" s="13">
        <v>45876</v>
      </c>
      <c r="I2817">
        <v>0</v>
      </c>
      <c r="J2817">
        <v>14317</v>
      </c>
      <c r="K2817">
        <v>14317</v>
      </c>
      <c r="N2817">
        <v>25</v>
      </c>
      <c r="O2817">
        <v>7.5042999999999997</v>
      </c>
      <c r="P2817">
        <v>95.446700000000007</v>
      </c>
      <c r="Q2817">
        <v>7.5042999999999997</v>
      </c>
      <c r="R2817">
        <v>6.5</v>
      </c>
      <c r="S2817">
        <v>7</v>
      </c>
      <c r="T2817">
        <v>92.947441699999999</v>
      </c>
      <c r="W2817" t="s">
        <v>497</v>
      </c>
    </row>
    <row r="2818" spans="1:23" x14ac:dyDescent="0.25">
      <c r="A2818" t="s">
        <v>3262</v>
      </c>
      <c r="B2818" t="str">
        <f t="shared" si="44"/>
        <v>GQ1200000131</v>
      </c>
      <c r="C2818" t="s">
        <v>528</v>
      </c>
      <c r="D2818" t="s">
        <v>77</v>
      </c>
      <c r="E2818" t="s">
        <v>82</v>
      </c>
      <c r="F2818">
        <v>15000</v>
      </c>
      <c r="G2818" s="13">
        <v>45510</v>
      </c>
      <c r="H2818" s="13">
        <v>45694</v>
      </c>
      <c r="I2818">
        <v>0</v>
      </c>
      <c r="J2818">
        <v>750</v>
      </c>
      <c r="K2818">
        <v>750</v>
      </c>
      <c r="N2818">
        <v>7.6923076923076925</v>
      </c>
      <c r="O2818">
        <v>6.4539</v>
      </c>
      <c r="P2818">
        <v>5</v>
      </c>
      <c r="Q2818">
        <v>6.25</v>
      </c>
      <c r="R2818">
        <v>6.25</v>
      </c>
      <c r="S2818">
        <v>6.25</v>
      </c>
      <c r="T2818">
        <v>96.840277999999998</v>
      </c>
      <c r="W2818" t="s">
        <v>497</v>
      </c>
    </row>
    <row r="2819" spans="1:23" x14ac:dyDescent="0.25">
      <c r="A2819" t="s">
        <v>3263</v>
      </c>
      <c r="B2819" t="str">
        <f t="shared" si="44"/>
        <v>GA1300000740</v>
      </c>
      <c r="C2819" t="s">
        <v>227</v>
      </c>
      <c r="D2819" t="s">
        <v>77</v>
      </c>
      <c r="E2819" t="s">
        <v>287</v>
      </c>
      <c r="F2819">
        <v>13500</v>
      </c>
      <c r="G2819" s="13">
        <v>45511</v>
      </c>
      <c r="H2819" s="13">
        <v>45877</v>
      </c>
      <c r="I2819">
        <v>895</v>
      </c>
      <c r="J2819">
        <v>7769</v>
      </c>
      <c r="K2819">
        <v>8664</v>
      </c>
      <c r="N2819">
        <v>38.095238095238095</v>
      </c>
      <c r="O2819">
        <v>7.1272000000000002</v>
      </c>
      <c r="P2819">
        <v>64.251900000000006</v>
      </c>
      <c r="Q2819">
        <v>7.1272000000000002</v>
      </c>
      <c r="R2819">
        <v>5.7</v>
      </c>
      <c r="S2819">
        <v>6.75</v>
      </c>
      <c r="T2819">
        <v>93.277990000000003</v>
      </c>
      <c r="W2819" t="s">
        <v>497</v>
      </c>
    </row>
    <row r="2820" spans="1:23" x14ac:dyDescent="0.25">
      <c r="A2820" t="s">
        <v>3264</v>
      </c>
      <c r="B2820" t="str">
        <f t="shared" si="44"/>
        <v>CM1200001731</v>
      </c>
      <c r="C2820" t="s">
        <v>225</v>
      </c>
      <c r="D2820" t="s">
        <v>77</v>
      </c>
      <c r="E2820" t="s">
        <v>82</v>
      </c>
      <c r="F2820">
        <v>15000</v>
      </c>
      <c r="G2820" s="13">
        <v>45516</v>
      </c>
      <c r="H2820" s="13">
        <v>45700</v>
      </c>
      <c r="I2820">
        <v>6525</v>
      </c>
      <c r="J2820">
        <v>0</v>
      </c>
      <c r="K2820">
        <v>6525</v>
      </c>
      <c r="N2820">
        <v>22.727272727272727</v>
      </c>
      <c r="O2820">
        <v>6.4520999999999997</v>
      </c>
      <c r="P2820">
        <v>44.34</v>
      </c>
      <c r="Q2820">
        <v>6.25</v>
      </c>
      <c r="R2820">
        <v>6.1</v>
      </c>
      <c r="S2820">
        <v>6.25</v>
      </c>
      <c r="T2820">
        <v>96.841149000000001</v>
      </c>
      <c r="W2820" t="s">
        <v>497</v>
      </c>
    </row>
    <row r="2821" spans="1:23" x14ac:dyDescent="0.25">
      <c r="A2821" t="s">
        <v>3265</v>
      </c>
      <c r="B2821" t="str">
        <f t="shared" si="44"/>
        <v>CG1100000948</v>
      </c>
      <c r="C2821" t="s">
        <v>229</v>
      </c>
      <c r="D2821" t="s">
        <v>77</v>
      </c>
      <c r="E2821" t="s">
        <v>78</v>
      </c>
      <c r="F2821">
        <v>15000</v>
      </c>
      <c r="G2821" s="13">
        <v>45517</v>
      </c>
      <c r="H2821" s="13">
        <v>45610</v>
      </c>
      <c r="I2821">
        <v>500</v>
      </c>
      <c r="J2821">
        <v>10879</v>
      </c>
      <c r="K2821">
        <v>11379</v>
      </c>
      <c r="N2821">
        <v>25</v>
      </c>
      <c r="O2821">
        <v>6.3803999999999998</v>
      </c>
      <c r="P2821">
        <v>75.86</v>
      </c>
      <c r="Q2821">
        <v>6.5</v>
      </c>
      <c r="R2821">
        <v>6</v>
      </c>
      <c r="S2821">
        <v>6.5</v>
      </c>
      <c r="T2821">
        <v>98.412778000000003</v>
      </c>
      <c r="W2821" t="s">
        <v>497</v>
      </c>
    </row>
    <row r="2822" spans="1:23" x14ac:dyDescent="0.25">
      <c r="A2822" t="s">
        <v>3266</v>
      </c>
      <c r="B2822" t="str">
        <f t="shared" si="44"/>
        <v>CG1200001390</v>
      </c>
      <c r="C2822" t="s">
        <v>229</v>
      </c>
      <c r="D2822" t="s">
        <v>77</v>
      </c>
      <c r="E2822" t="s">
        <v>82</v>
      </c>
      <c r="F2822">
        <v>10000</v>
      </c>
      <c r="G2822" s="13">
        <v>45517</v>
      </c>
      <c r="H2822" s="13"/>
      <c r="J2822">
        <v>0</v>
      </c>
      <c r="N2822">
        <v>0</v>
      </c>
      <c r="W2822" t="s">
        <v>497</v>
      </c>
    </row>
    <row r="2823" spans="1:23" x14ac:dyDescent="0.25">
      <c r="A2823" t="s">
        <v>3267</v>
      </c>
      <c r="B2823" t="str">
        <f t="shared" si="44"/>
        <v>GA1100001864</v>
      </c>
      <c r="C2823" t="s">
        <v>227</v>
      </c>
      <c r="D2823" t="s">
        <v>77</v>
      </c>
      <c r="E2823" t="s">
        <v>78</v>
      </c>
      <c r="F2823">
        <v>10000</v>
      </c>
      <c r="G2823" s="13">
        <v>45518</v>
      </c>
      <c r="H2823" s="13">
        <v>45611</v>
      </c>
      <c r="I2823">
        <v>3000</v>
      </c>
      <c r="J2823">
        <v>5900</v>
      </c>
      <c r="K2823">
        <v>8900</v>
      </c>
      <c r="N2823">
        <v>23.809523809523807</v>
      </c>
      <c r="O2823">
        <v>6.3052000000000001</v>
      </c>
      <c r="P2823">
        <v>89.1</v>
      </c>
      <c r="Q2823">
        <v>6.5</v>
      </c>
      <c r="R2823">
        <v>5.5</v>
      </c>
      <c r="S2823">
        <v>6.5</v>
      </c>
      <c r="T2823">
        <v>98.431182000000007</v>
      </c>
      <c r="W2823" t="s">
        <v>497</v>
      </c>
    </row>
    <row r="2824" spans="1:23" x14ac:dyDescent="0.25">
      <c r="A2824" t="s">
        <v>3268</v>
      </c>
      <c r="B2824" t="str">
        <f t="shared" si="44"/>
        <v>TD1200001931</v>
      </c>
      <c r="C2824" t="s">
        <v>237</v>
      </c>
      <c r="D2824" t="s">
        <v>77</v>
      </c>
      <c r="E2824" t="s">
        <v>82</v>
      </c>
      <c r="G2824" s="13">
        <v>45518</v>
      </c>
      <c r="H2824" s="13"/>
      <c r="J2824">
        <v>0</v>
      </c>
      <c r="N2824">
        <v>0</v>
      </c>
      <c r="T2824" t="s">
        <v>1418</v>
      </c>
      <c r="W2824" t="s">
        <v>497</v>
      </c>
    </row>
    <row r="2825" spans="1:23" x14ac:dyDescent="0.25">
      <c r="A2825" t="s">
        <v>3269</v>
      </c>
      <c r="B2825" t="str">
        <f t="shared" si="44"/>
        <v>CM1200001749</v>
      </c>
      <c r="C2825" t="s">
        <v>225</v>
      </c>
      <c r="D2825" t="s">
        <v>77</v>
      </c>
      <c r="E2825" t="s">
        <v>82</v>
      </c>
      <c r="F2825">
        <v>20000</v>
      </c>
      <c r="G2825" s="13">
        <v>45523</v>
      </c>
      <c r="H2825" s="13">
        <v>45707</v>
      </c>
      <c r="I2825">
        <v>5410</v>
      </c>
      <c r="J2825">
        <v>6000</v>
      </c>
      <c r="K2825">
        <v>11410</v>
      </c>
      <c r="N2825">
        <v>22.727272727272727</v>
      </c>
      <c r="O2825">
        <v>6.5650000000000004</v>
      </c>
      <c r="P2825">
        <v>57.6</v>
      </c>
      <c r="Q2825">
        <v>6.6</v>
      </c>
      <c r="R2825">
        <v>6</v>
      </c>
      <c r="S2825">
        <v>6.6</v>
      </c>
      <c r="T2825">
        <v>96.787599999999998</v>
      </c>
      <c r="W2825" t="s">
        <v>497</v>
      </c>
    </row>
    <row r="2826" spans="1:23" x14ac:dyDescent="0.25">
      <c r="A2826" t="s">
        <v>3270</v>
      </c>
      <c r="B2826" t="str">
        <f t="shared" si="44"/>
        <v>CG1100000955</v>
      </c>
      <c r="C2826" t="s">
        <v>229</v>
      </c>
      <c r="D2826" t="s">
        <v>77</v>
      </c>
      <c r="E2826" t="s">
        <v>78</v>
      </c>
      <c r="F2826">
        <v>20000</v>
      </c>
      <c r="G2826" s="13">
        <v>45524</v>
      </c>
      <c r="H2826" s="13">
        <v>45617</v>
      </c>
      <c r="I2826">
        <v>0</v>
      </c>
      <c r="J2826">
        <v>6859</v>
      </c>
      <c r="K2826">
        <v>6859</v>
      </c>
      <c r="N2826">
        <v>16.666666666666664</v>
      </c>
      <c r="O2826">
        <v>6.3357000000000001</v>
      </c>
      <c r="P2826">
        <v>34.295000000000002</v>
      </c>
      <c r="Q2826">
        <v>6.5</v>
      </c>
      <c r="R2826">
        <v>6</v>
      </c>
      <c r="S2826">
        <v>6.5</v>
      </c>
      <c r="T2826">
        <v>95.423714000000004</v>
      </c>
      <c r="W2826" t="s">
        <v>497</v>
      </c>
    </row>
    <row r="2827" spans="1:23" x14ac:dyDescent="0.25">
      <c r="A2827" t="s">
        <v>3271</v>
      </c>
      <c r="B2827" t="str">
        <f t="shared" si="44"/>
        <v>CG1200001408</v>
      </c>
      <c r="C2827" t="s">
        <v>229</v>
      </c>
      <c r="D2827" t="s">
        <v>77</v>
      </c>
      <c r="E2827" t="s">
        <v>82</v>
      </c>
      <c r="F2827">
        <v>15000</v>
      </c>
      <c r="G2827" s="13">
        <v>45524</v>
      </c>
      <c r="H2827" s="13">
        <v>45708</v>
      </c>
      <c r="I2827">
        <v>4700</v>
      </c>
      <c r="J2827">
        <v>1035</v>
      </c>
      <c r="K2827">
        <v>5735</v>
      </c>
      <c r="N2827">
        <v>12.5</v>
      </c>
      <c r="O2827">
        <v>6.9401000000000002</v>
      </c>
      <c r="P2827">
        <v>38.2333</v>
      </c>
      <c r="Q2827">
        <v>6.75</v>
      </c>
      <c r="R2827">
        <v>6</v>
      </c>
      <c r="S2827">
        <v>6.75</v>
      </c>
      <c r="T2827">
        <v>96.610309999999998</v>
      </c>
      <c r="W2827" t="s">
        <v>497</v>
      </c>
    </row>
    <row r="2828" spans="1:23" x14ac:dyDescent="0.25">
      <c r="A2828" t="s">
        <v>3272</v>
      </c>
      <c r="B2828" t="str">
        <f t="shared" si="44"/>
        <v>CG1300000573</v>
      </c>
      <c r="C2828" t="s">
        <v>229</v>
      </c>
      <c r="D2828" t="s">
        <v>77</v>
      </c>
      <c r="E2828" t="s">
        <v>287</v>
      </c>
      <c r="F2828">
        <v>15000</v>
      </c>
      <c r="G2828" s="13">
        <v>45524</v>
      </c>
      <c r="H2828" s="13">
        <v>45890</v>
      </c>
      <c r="I2828">
        <v>2500</v>
      </c>
      <c r="J2828">
        <v>1682</v>
      </c>
      <c r="K2828">
        <v>4182</v>
      </c>
      <c r="N2828">
        <v>25</v>
      </c>
      <c r="O2828">
        <v>7.3676000000000004</v>
      </c>
      <c r="P2828">
        <v>27.58</v>
      </c>
      <c r="Q2828">
        <v>7</v>
      </c>
      <c r="R2828">
        <v>6.25</v>
      </c>
      <c r="S2828">
        <v>7</v>
      </c>
      <c r="T2828">
        <v>93.067021999999994</v>
      </c>
      <c r="W2828" t="s">
        <v>497</v>
      </c>
    </row>
    <row r="2829" spans="1:23" x14ac:dyDescent="0.25">
      <c r="A2829" t="s">
        <v>3273</v>
      </c>
      <c r="B2829" t="str">
        <f t="shared" si="44"/>
        <v>GA1200002150</v>
      </c>
      <c r="C2829" t="s">
        <v>227</v>
      </c>
      <c r="D2829" t="s">
        <v>77</v>
      </c>
      <c r="E2829" t="s">
        <v>82</v>
      </c>
      <c r="F2829">
        <v>7500</v>
      </c>
      <c r="G2829" s="13">
        <v>45518</v>
      </c>
      <c r="H2829" s="13">
        <v>45653</v>
      </c>
      <c r="I2829">
        <v>6215</v>
      </c>
      <c r="J2829">
        <v>237</v>
      </c>
      <c r="K2829">
        <v>6452</v>
      </c>
      <c r="N2829">
        <v>33.333333333333329</v>
      </c>
      <c r="O2829">
        <v>6.5435999999999996</v>
      </c>
      <c r="P2829">
        <v>86.16</v>
      </c>
      <c r="Q2829">
        <v>6.5</v>
      </c>
      <c r="R2829">
        <v>6.1</v>
      </c>
      <c r="S2829">
        <v>6.5</v>
      </c>
      <c r="T2829">
        <v>97.639581000000007</v>
      </c>
      <c r="W2829" t="s">
        <v>497</v>
      </c>
    </row>
    <row r="2830" spans="1:23" x14ac:dyDescent="0.25">
      <c r="A2830" t="s">
        <v>3274</v>
      </c>
      <c r="B2830" t="str">
        <f t="shared" si="44"/>
        <v>GA1200002192</v>
      </c>
      <c r="C2830" t="s">
        <v>227</v>
      </c>
      <c r="D2830" t="s">
        <v>77</v>
      </c>
      <c r="E2830" t="s">
        <v>82</v>
      </c>
      <c r="F2830">
        <v>9000</v>
      </c>
      <c r="G2830" s="13">
        <v>45525</v>
      </c>
      <c r="H2830" s="13">
        <v>45709</v>
      </c>
      <c r="I2830">
        <v>1960</v>
      </c>
      <c r="J2830">
        <v>1291</v>
      </c>
      <c r="K2830">
        <v>3251</v>
      </c>
      <c r="N2830">
        <v>33.333333333333329</v>
      </c>
      <c r="O2830">
        <v>6.6322999999999999</v>
      </c>
      <c r="P2830">
        <v>37.455599999999997</v>
      </c>
      <c r="Q2830">
        <v>6.5</v>
      </c>
      <c r="R2830">
        <v>6</v>
      </c>
      <c r="S2830">
        <v>6.5</v>
      </c>
      <c r="T2830">
        <v>96.755796000000004</v>
      </c>
      <c r="W2830" t="s">
        <v>497</v>
      </c>
    </row>
    <row r="2831" spans="1:23" x14ac:dyDescent="0.25">
      <c r="A2831" t="s">
        <v>3275</v>
      </c>
      <c r="B2831" t="str">
        <f t="shared" si="44"/>
        <v>GQ1200000149</v>
      </c>
      <c r="C2831" t="s">
        <v>528</v>
      </c>
      <c r="D2831" t="s">
        <v>77</v>
      </c>
      <c r="E2831" t="s">
        <v>82</v>
      </c>
      <c r="F2831">
        <v>15000</v>
      </c>
      <c r="G2831" s="13">
        <v>45524</v>
      </c>
      <c r="H2831" s="13">
        <v>45708</v>
      </c>
      <c r="I2831">
        <v>3000</v>
      </c>
      <c r="J2831">
        <v>5250</v>
      </c>
      <c r="K2831">
        <v>8250</v>
      </c>
      <c r="N2831">
        <v>30.76923076923077</v>
      </c>
      <c r="O2831">
        <v>6.6707000000000001</v>
      </c>
      <c r="P2831">
        <v>55</v>
      </c>
      <c r="Q2831">
        <v>6.75</v>
      </c>
      <c r="R2831">
        <v>6</v>
      </c>
      <c r="S2831">
        <v>6.75</v>
      </c>
      <c r="T2831">
        <v>96.737634999999997</v>
      </c>
      <c r="W2831" t="s">
        <v>497</v>
      </c>
    </row>
    <row r="2832" spans="1:23" x14ac:dyDescent="0.25">
      <c r="A2832" t="s">
        <v>3276</v>
      </c>
      <c r="B2832" t="str">
        <f t="shared" si="44"/>
        <v>TD1200001949</v>
      </c>
      <c r="C2832" t="s">
        <v>237</v>
      </c>
      <c r="D2832" t="s">
        <v>77</v>
      </c>
      <c r="E2832" t="s">
        <v>82</v>
      </c>
      <c r="F2832">
        <v>10000</v>
      </c>
      <c r="G2832" s="13">
        <v>45525</v>
      </c>
      <c r="H2832" s="13">
        <v>45709</v>
      </c>
      <c r="I2832">
        <v>3500</v>
      </c>
      <c r="J2832">
        <v>0</v>
      </c>
      <c r="K2832">
        <v>3500</v>
      </c>
      <c r="N2832">
        <v>25</v>
      </c>
      <c r="O2832">
        <v>6.9885000000000002</v>
      </c>
      <c r="P2832">
        <v>35.1</v>
      </c>
      <c r="Q2832">
        <v>6.75</v>
      </c>
      <c r="R2832">
        <v>6.75</v>
      </c>
      <c r="S2832">
        <v>7</v>
      </c>
      <c r="T2832">
        <v>96.587500000000006</v>
      </c>
      <c r="W2832" t="s">
        <v>497</v>
      </c>
    </row>
    <row r="2833" spans="1:23" x14ac:dyDescent="0.25">
      <c r="A2833" t="s">
        <v>3277</v>
      </c>
      <c r="B2833" t="str">
        <f t="shared" si="44"/>
        <v>CM1200001756</v>
      </c>
      <c r="C2833" t="s">
        <v>225</v>
      </c>
      <c r="D2833" t="s">
        <v>77</v>
      </c>
      <c r="E2833" t="s">
        <v>82</v>
      </c>
      <c r="F2833">
        <v>20000</v>
      </c>
      <c r="G2833" s="13">
        <v>45530</v>
      </c>
      <c r="H2833" s="13">
        <v>45714</v>
      </c>
      <c r="I2833">
        <v>15007</v>
      </c>
      <c r="J2833">
        <v>4993</v>
      </c>
      <c r="K2833">
        <v>20000</v>
      </c>
      <c r="N2833">
        <v>45.454545454545453</v>
      </c>
      <c r="O2833">
        <v>6.7798999999999996</v>
      </c>
      <c r="P2833">
        <v>151.13</v>
      </c>
      <c r="Q2833">
        <v>6.6</v>
      </c>
      <c r="R2833">
        <v>6</v>
      </c>
      <c r="S2833">
        <v>6.6</v>
      </c>
      <c r="T2833">
        <v>96.685957000000002</v>
      </c>
      <c r="W2833" t="s">
        <v>497</v>
      </c>
    </row>
    <row r="2834" spans="1:23" x14ac:dyDescent="0.25">
      <c r="A2834" t="s">
        <v>3278</v>
      </c>
      <c r="B2834" t="str">
        <f t="shared" si="44"/>
        <v>CG1200001416</v>
      </c>
      <c r="C2834" t="s">
        <v>229</v>
      </c>
      <c r="D2834" t="s">
        <v>77</v>
      </c>
      <c r="E2834" t="s">
        <v>82</v>
      </c>
      <c r="F2834">
        <v>20000</v>
      </c>
      <c r="G2834" s="13">
        <v>45531</v>
      </c>
      <c r="H2834" s="13">
        <v>45715</v>
      </c>
      <c r="I2834">
        <v>5000</v>
      </c>
      <c r="J2834">
        <v>220</v>
      </c>
      <c r="K2834">
        <v>5220</v>
      </c>
      <c r="N2834">
        <v>16.666666666666664</v>
      </c>
      <c r="O2834">
        <v>6.9771999999999998</v>
      </c>
      <c r="P2834">
        <v>26.1</v>
      </c>
      <c r="Q2834">
        <v>6.75</v>
      </c>
      <c r="R2834">
        <v>6.5</v>
      </c>
      <c r="S2834">
        <v>6.75</v>
      </c>
      <c r="T2834">
        <v>96.592827</v>
      </c>
      <c r="W2834" t="s">
        <v>497</v>
      </c>
    </row>
    <row r="2835" spans="1:23" x14ac:dyDescent="0.25">
      <c r="A2835" t="s">
        <v>3279</v>
      </c>
      <c r="B2835" t="str">
        <f t="shared" si="44"/>
        <v>CG1300000581</v>
      </c>
      <c r="C2835" t="s">
        <v>229</v>
      </c>
      <c r="D2835" t="s">
        <v>77</v>
      </c>
      <c r="E2835" t="s">
        <v>287</v>
      </c>
      <c r="F2835">
        <v>15000</v>
      </c>
      <c r="G2835" s="13">
        <v>45531</v>
      </c>
      <c r="H2835" s="13">
        <v>45897</v>
      </c>
      <c r="I2835">
        <v>52</v>
      </c>
      <c r="J2835">
        <v>2496</v>
      </c>
      <c r="K2835">
        <v>2548</v>
      </c>
      <c r="N2835">
        <v>29.166666666666668</v>
      </c>
      <c r="O2835">
        <v>7.4653999999999998</v>
      </c>
      <c r="P2835">
        <v>16.986699999999999</v>
      </c>
      <c r="Q2835">
        <v>7</v>
      </c>
      <c r="R2835">
        <v>5.9</v>
      </c>
      <c r="S2835">
        <v>7</v>
      </c>
      <c r="T2835">
        <v>92.981448</v>
      </c>
      <c r="W2835" t="s">
        <v>497</v>
      </c>
    </row>
    <row r="2836" spans="1:23" x14ac:dyDescent="0.25">
      <c r="A2836" t="s">
        <v>3280</v>
      </c>
      <c r="B2836" t="str">
        <f t="shared" si="44"/>
        <v>GA1200002200</v>
      </c>
      <c r="C2836" t="s">
        <v>227</v>
      </c>
      <c r="D2836" t="s">
        <v>77</v>
      </c>
      <c r="E2836" t="s">
        <v>82</v>
      </c>
      <c r="F2836">
        <v>11000</v>
      </c>
      <c r="G2836" s="13">
        <v>45532</v>
      </c>
      <c r="H2836" s="13">
        <v>45716</v>
      </c>
      <c r="I2836">
        <v>4900</v>
      </c>
      <c r="J2836">
        <v>2710</v>
      </c>
      <c r="K2836">
        <v>7610</v>
      </c>
      <c r="N2836">
        <v>33.333333333333329</v>
      </c>
      <c r="O2836">
        <v>6.6490999999999998</v>
      </c>
      <c r="P2836">
        <v>70.090900000000005</v>
      </c>
      <c r="Q2836">
        <v>6.5</v>
      </c>
      <c r="R2836">
        <v>6</v>
      </c>
      <c r="S2836">
        <v>6.5</v>
      </c>
      <c r="T2836">
        <v>96.747636</v>
      </c>
      <c r="W2836" t="s">
        <v>497</v>
      </c>
    </row>
    <row r="2837" spans="1:23" x14ac:dyDescent="0.25">
      <c r="A2837" t="s">
        <v>3281</v>
      </c>
      <c r="B2837" t="str">
        <f t="shared" si="44"/>
        <v>TD1200001956</v>
      </c>
      <c r="C2837" t="s">
        <v>237</v>
      </c>
      <c r="D2837" t="s">
        <v>77</v>
      </c>
      <c r="E2837" t="s">
        <v>82</v>
      </c>
      <c r="F2837">
        <v>10000</v>
      </c>
      <c r="G2837" s="13">
        <v>45532</v>
      </c>
      <c r="H2837" s="13">
        <v>45716</v>
      </c>
      <c r="I2837">
        <v>5600</v>
      </c>
      <c r="J2837">
        <v>170</v>
      </c>
      <c r="K2837">
        <v>5770</v>
      </c>
      <c r="N2837">
        <v>33.333333333333329</v>
      </c>
      <c r="O2837">
        <v>6.9672999999999998</v>
      </c>
      <c r="P2837">
        <v>57.8</v>
      </c>
      <c r="Q2837">
        <v>6.75</v>
      </c>
      <c r="R2837">
        <v>6.1</v>
      </c>
      <c r="S2837">
        <v>6.75</v>
      </c>
      <c r="T2837">
        <v>96.588070000000002</v>
      </c>
      <c r="W2837" t="s">
        <v>497</v>
      </c>
    </row>
    <row r="2838" spans="1:23" x14ac:dyDescent="0.25">
      <c r="A2838" t="s">
        <v>3282</v>
      </c>
      <c r="B2838" t="str">
        <f t="shared" si="44"/>
        <v>CM1200001764</v>
      </c>
      <c r="C2838" t="s">
        <v>225</v>
      </c>
      <c r="D2838" t="s">
        <v>77</v>
      </c>
      <c r="E2838" t="s">
        <v>82</v>
      </c>
      <c r="F2838">
        <v>20000</v>
      </c>
      <c r="G2838" s="13">
        <v>45537</v>
      </c>
      <c r="H2838" s="13">
        <v>45721</v>
      </c>
      <c r="I2838">
        <v>18100</v>
      </c>
      <c r="J2838">
        <v>750</v>
      </c>
      <c r="K2838">
        <v>18850</v>
      </c>
      <c r="N2838">
        <v>18.181818181818183</v>
      </c>
      <c r="O2838">
        <v>6.8238000000000003</v>
      </c>
      <c r="P2838">
        <v>94.3</v>
      </c>
      <c r="Q2838">
        <v>6.6</v>
      </c>
      <c r="R2838">
        <v>6.49</v>
      </c>
      <c r="S2838">
        <v>7</v>
      </c>
      <c r="T2838">
        <v>96.665250999999998</v>
      </c>
      <c r="W2838" t="s">
        <v>497</v>
      </c>
    </row>
    <row r="2839" spans="1:23" x14ac:dyDescent="0.25">
      <c r="A2839" t="s">
        <v>3283</v>
      </c>
      <c r="B2839" t="str">
        <f t="shared" si="44"/>
        <v>GA1100001872</v>
      </c>
      <c r="C2839" t="s">
        <v>227</v>
      </c>
      <c r="D2839" t="s">
        <v>77</v>
      </c>
      <c r="E2839" t="s">
        <v>78</v>
      </c>
      <c r="F2839">
        <v>10000</v>
      </c>
      <c r="G2839" s="13">
        <v>45539</v>
      </c>
      <c r="H2839" s="13">
        <v>45632</v>
      </c>
      <c r="I2839">
        <v>1150</v>
      </c>
      <c r="J2839">
        <v>8850</v>
      </c>
      <c r="K2839">
        <v>10000</v>
      </c>
      <c r="N2839">
        <v>58.333333333333336</v>
      </c>
      <c r="O2839">
        <v>6.5591999999999997</v>
      </c>
      <c r="P2839">
        <v>109.7</v>
      </c>
      <c r="Q2839">
        <v>6.5</v>
      </c>
      <c r="R2839">
        <v>6</v>
      </c>
      <c r="S2839">
        <v>6.5</v>
      </c>
      <c r="T2839">
        <v>98.369016999999999</v>
      </c>
      <c r="W2839" t="s">
        <v>497</v>
      </c>
    </row>
    <row r="2840" spans="1:23" x14ac:dyDescent="0.25">
      <c r="A2840" t="s">
        <v>3284</v>
      </c>
      <c r="B2840" t="str">
        <f t="shared" si="44"/>
        <v>CG1100000963</v>
      </c>
      <c r="C2840" t="s">
        <v>229</v>
      </c>
      <c r="D2840" t="s">
        <v>77</v>
      </c>
      <c r="E2840" t="s">
        <v>78</v>
      </c>
      <c r="F2840">
        <v>25000</v>
      </c>
      <c r="G2840" s="13">
        <v>45545</v>
      </c>
      <c r="H2840" s="13">
        <v>45638</v>
      </c>
      <c r="I2840">
        <v>2800</v>
      </c>
      <c r="J2840">
        <v>9400</v>
      </c>
      <c r="K2840">
        <v>12200</v>
      </c>
      <c r="N2840">
        <v>28.571428571428569</v>
      </c>
      <c r="O2840">
        <v>6.6281999999999996</v>
      </c>
      <c r="P2840">
        <v>48.8</v>
      </c>
      <c r="Q2840">
        <v>6.6</v>
      </c>
      <c r="R2840">
        <v>6.3</v>
      </c>
      <c r="S2840">
        <v>6.6</v>
      </c>
      <c r="T2840">
        <v>98.352137999999997</v>
      </c>
      <c r="W2840" t="s">
        <v>497</v>
      </c>
    </row>
    <row r="2841" spans="1:23" x14ac:dyDescent="0.25">
      <c r="A2841" t="s">
        <v>3285</v>
      </c>
      <c r="B2841" t="str">
        <f t="shared" si="44"/>
        <v>CG1300000599</v>
      </c>
      <c r="C2841" t="s">
        <v>229</v>
      </c>
      <c r="D2841" t="s">
        <v>77</v>
      </c>
      <c r="E2841" t="s">
        <v>287</v>
      </c>
      <c r="F2841">
        <v>10000</v>
      </c>
      <c r="G2841" s="13">
        <v>45545</v>
      </c>
      <c r="H2841" s="13">
        <v>45911</v>
      </c>
      <c r="I2841">
        <v>3100</v>
      </c>
      <c r="J2841">
        <v>2126</v>
      </c>
      <c r="K2841">
        <v>5226</v>
      </c>
      <c r="N2841">
        <v>19.047619047619047</v>
      </c>
      <c r="O2841">
        <v>7.4031000000000002</v>
      </c>
      <c r="P2841">
        <v>52.26</v>
      </c>
      <c r="Q2841">
        <v>7</v>
      </c>
      <c r="R2841">
        <v>6.6</v>
      </c>
      <c r="S2841">
        <v>7</v>
      </c>
      <c r="T2841">
        <v>93.035938000000002</v>
      </c>
      <c r="W2841" t="s">
        <v>497</v>
      </c>
    </row>
    <row r="2842" spans="1:23" x14ac:dyDescent="0.25">
      <c r="A2842" t="s">
        <v>3286</v>
      </c>
      <c r="B2842" t="str">
        <f t="shared" si="44"/>
        <v>GQ1200000156</v>
      </c>
      <c r="C2842" t="s">
        <v>528</v>
      </c>
      <c r="D2842" t="s">
        <v>77</v>
      </c>
      <c r="E2842" t="s">
        <v>82</v>
      </c>
      <c r="F2842">
        <v>10000</v>
      </c>
      <c r="G2842" s="13">
        <v>45545</v>
      </c>
      <c r="H2842" s="13">
        <v>45729</v>
      </c>
      <c r="I2842">
        <v>5970</v>
      </c>
      <c r="J2842">
        <v>4030</v>
      </c>
      <c r="K2842">
        <v>10000</v>
      </c>
      <c r="N2842">
        <v>23.076923076923077</v>
      </c>
      <c r="O2842">
        <v>6.7630999999999997</v>
      </c>
      <c r="P2842">
        <v>100.3</v>
      </c>
      <c r="Q2842">
        <v>6.65</v>
      </c>
      <c r="R2842">
        <v>6.45</v>
      </c>
      <c r="S2842">
        <v>6.65</v>
      </c>
      <c r="T2842">
        <v>96.693894</v>
      </c>
      <c r="W2842" t="s">
        <v>497</v>
      </c>
    </row>
    <row r="2843" spans="1:23" x14ac:dyDescent="0.25">
      <c r="A2843" t="s">
        <v>3287</v>
      </c>
      <c r="B2843" t="str">
        <f t="shared" ref="B2843:B2906" si="45">MID(A2843,1,12)</f>
        <v>GA1200002218</v>
      </c>
      <c r="C2843" t="s">
        <v>227</v>
      </c>
      <c r="D2843" t="s">
        <v>77</v>
      </c>
      <c r="E2843" t="s">
        <v>82</v>
      </c>
      <c r="F2843">
        <v>9000</v>
      </c>
      <c r="G2843" s="13">
        <v>45546</v>
      </c>
      <c r="H2843" s="13">
        <v>45730</v>
      </c>
      <c r="I2843">
        <v>1790</v>
      </c>
      <c r="J2843">
        <v>3448</v>
      </c>
      <c r="K2843">
        <v>5238</v>
      </c>
      <c r="N2843">
        <v>20.833333333333336</v>
      </c>
      <c r="O2843">
        <v>6.4828000000000001</v>
      </c>
      <c r="P2843">
        <v>115.0333</v>
      </c>
      <c r="Q2843">
        <v>6.45</v>
      </c>
      <c r="R2843">
        <v>6</v>
      </c>
      <c r="S2843">
        <v>6.75</v>
      </c>
      <c r="T2843">
        <v>96.826571999999999</v>
      </c>
      <c r="W2843" t="s">
        <v>497</v>
      </c>
    </row>
    <row r="2844" spans="1:23" x14ac:dyDescent="0.25">
      <c r="A2844" t="s">
        <v>3288</v>
      </c>
      <c r="B2844" t="str">
        <f t="shared" si="45"/>
        <v>TD1200001964</v>
      </c>
      <c r="C2844" t="s">
        <v>237</v>
      </c>
      <c r="D2844" t="s">
        <v>77</v>
      </c>
      <c r="E2844" t="s">
        <v>82</v>
      </c>
      <c r="G2844" s="13"/>
      <c r="H2844" s="13"/>
      <c r="J2844">
        <v>0</v>
      </c>
      <c r="N2844">
        <v>0</v>
      </c>
      <c r="T2844" t="s">
        <v>1418</v>
      </c>
      <c r="W2844" t="s">
        <v>497</v>
      </c>
    </row>
    <row r="2845" spans="1:23" x14ac:dyDescent="0.25">
      <c r="A2845" t="s">
        <v>3289</v>
      </c>
      <c r="B2845" t="str">
        <f t="shared" si="45"/>
        <v>TD1200001972</v>
      </c>
      <c r="C2845" t="s">
        <v>237</v>
      </c>
      <c r="D2845" t="s">
        <v>77</v>
      </c>
      <c r="E2845" t="s">
        <v>82</v>
      </c>
      <c r="F2845">
        <v>20000</v>
      </c>
      <c r="G2845" s="13">
        <v>45553</v>
      </c>
      <c r="H2845" s="13">
        <v>45737</v>
      </c>
      <c r="I2845">
        <v>50</v>
      </c>
      <c r="J2845">
        <v>19360</v>
      </c>
      <c r="K2845">
        <v>19410</v>
      </c>
      <c r="N2845">
        <v>14.285714285714285</v>
      </c>
      <c r="O2845">
        <v>7.2453000000000003</v>
      </c>
      <c r="P2845">
        <v>97.05</v>
      </c>
      <c r="Q2845">
        <v>7</v>
      </c>
      <c r="R2845">
        <v>6.5</v>
      </c>
      <c r="S2845">
        <v>7</v>
      </c>
      <c r="T2845">
        <v>96.466503000000003</v>
      </c>
      <c r="W2845" t="s">
        <v>497</v>
      </c>
    </row>
    <row r="2846" spans="1:23" x14ac:dyDescent="0.25">
      <c r="A2846" t="s">
        <v>3290</v>
      </c>
      <c r="B2846" t="str">
        <f t="shared" si="45"/>
        <v>GA1200002226</v>
      </c>
      <c r="C2846" t="s">
        <v>227</v>
      </c>
      <c r="D2846" t="s">
        <v>77</v>
      </c>
      <c r="E2846" t="s">
        <v>82</v>
      </c>
      <c r="F2846">
        <v>10000</v>
      </c>
      <c r="G2846" s="13">
        <v>45553</v>
      </c>
      <c r="H2846" s="13">
        <v>45737</v>
      </c>
      <c r="I2846">
        <v>2000</v>
      </c>
      <c r="J2846">
        <v>6709</v>
      </c>
      <c r="K2846">
        <v>8709</v>
      </c>
      <c r="N2846">
        <v>66.666666666666657</v>
      </c>
      <c r="O2846">
        <v>6.6383000000000001</v>
      </c>
      <c r="P2846">
        <v>87.09</v>
      </c>
      <c r="Q2846">
        <v>6.5</v>
      </c>
      <c r="R2846">
        <v>6</v>
      </c>
      <c r="S2846">
        <v>6.5</v>
      </c>
      <c r="T2846">
        <v>96.752955999999998</v>
      </c>
      <c r="W2846" t="s">
        <v>497</v>
      </c>
    </row>
    <row r="2847" spans="1:23" x14ac:dyDescent="0.25">
      <c r="A2847" t="s">
        <v>3291</v>
      </c>
      <c r="B2847" t="str">
        <f t="shared" si="45"/>
        <v>CM1200001772</v>
      </c>
      <c r="C2847" t="s">
        <v>225</v>
      </c>
      <c r="D2847" t="s">
        <v>77</v>
      </c>
      <c r="E2847" t="s">
        <v>82</v>
      </c>
      <c r="F2847">
        <v>30000</v>
      </c>
      <c r="G2847" s="13">
        <v>45558</v>
      </c>
      <c r="H2847" s="13">
        <v>45742</v>
      </c>
      <c r="I2847">
        <v>18779</v>
      </c>
      <c r="J2847">
        <v>150</v>
      </c>
      <c r="K2847">
        <v>18929</v>
      </c>
      <c r="N2847">
        <v>36.363636363636367</v>
      </c>
      <c r="O2847">
        <v>6.7591999999999999</v>
      </c>
      <c r="P2847">
        <v>64.83</v>
      </c>
      <c r="Q2847">
        <v>6.6</v>
      </c>
      <c r="R2847">
        <v>6</v>
      </c>
      <c r="S2847">
        <v>6.6</v>
      </c>
      <c r="T2847">
        <v>96.695740999999998</v>
      </c>
      <c r="W2847" t="s">
        <v>497</v>
      </c>
    </row>
    <row r="2848" spans="1:23" x14ac:dyDescent="0.25">
      <c r="A2848" t="s">
        <v>3292</v>
      </c>
      <c r="B2848" t="str">
        <f t="shared" si="45"/>
        <v>GQ1200000164</v>
      </c>
      <c r="C2848" t="s">
        <v>528</v>
      </c>
      <c r="D2848" t="s">
        <v>77</v>
      </c>
      <c r="E2848" t="s">
        <v>82</v>
      </c>
      <c r="F2848">
        <v>10000</v>
      </c>
      <c r="G2848" s="13">
        <v>45559</v>
      </c>
      <c r="H2848" s="13">
        <v>45743</v>
      </c>
      <c r="I2848">
        <v>10000</v>
      </c>
      <c r="J2848">
        <v>0</v>
      </c>
      <c r="K2848">
        <v>10000</v>
      </c>
      <c r="N2848">
        <v>15.384615384615385</v>
      </c>
      <c r="O2848">
        <v>6.7209000000000003</v>
      </c>
      <c r="P2848">
        <v>100.85</v>
      </c>
      <c r="Q2848">
        <v>6.5</v>
      </c>
      <c r="R2848">
        <v>6.5</v>
      </c>
      <c r="S2848">
        <v>7</v>
      </c>
      <c r="T2848">
        <v>96.713888999999995</v>
      </c>
      <c r="W2848" t="s">
        <v>497</v>
      </c>
    </row>
    <row r="2849" spans="1:23" x14ac:dyDescent="0.25">
      <c r="A2849" t="s">
        <v>3293</v>
      </c>
      <c r="B2849" t="str">
        <f t="shared" si="45"/>
        <v>CG1200001424</v>
      </c>
      <c r="C2849" t="s">
        <v>229</v>
      </c>
      <c r="D2849" t="s">
        <v>77</v>
      </c>
      <c r="E2849" t="s">
        <v>82</v>
      </c>
      <c r="F2849">
        <v>15000</v>
      </c>
      <c r="G2849" s="13">
        <v>45559</v>
      </c>
      <c r="H2849" s="13">
        <v>45743</v>
      </c>
      <c r="I2849">
        <v>83</v>
      </c>
      <c r="J2849">
        <v>3560</v>
      </c>
      <c r="K2849">
        <v>3643</v>
      </c>
      <c r="N2849">
        <v>25</v>
      </c>
      <c r="O2849">
        <v>6.8685</v>
      </c>
      <c r="P2849">
        <v>24.2867</v>
      </c>
      <c r="Q2849">
        <v>6.75</v>
      </c>
      <c r="R2849">
        <v>6.3</v>
      </c>
      <c r="S2849">
        <v>6.75</v>
      </c>
      <c r="T2849">
        <v>96.944134000000005</v>
      </c>
      <c r="W2849" t="s">
        <v>497</v>
      </c>
    </row>
    <row r="2850" spans="1:23" x14ac:dyDescent="0.25">
      <c r="A2850" t="s">
        <v>3294</v>
      </c>
      <c r="B2850" t="str">
        <f t="shared" si="45"/>
        <v>CG1300000607</v>
      </c>
      <c r="C2850" t="s">
        <v>229</v>
      </c>
      <c r="D2850" t="s">
        <v>77</v>
      </c>
      <c r="E2850" t="s">
        <v>287</v>
      </c>
      <c r="F2850">
        <v>10000</v>
      </c>
      <c r="G2850" s="13">
        <v>45559</v>
      </c>
      <c r="H2850" s="13">
        <v>45925</v>
      </c>
      <c r="I2850">
        <v>0</v>
      </c>
      <c r="J2850">
        <v>2037</v>
      </c>
      <c r="K2850">
        <v>2037</v>
      </c>
      <c r="N2850">
        <v>16.666666666666664</v>
      </c>
      <c r="O2850">
        <v>6.5787000000000004</v>
      </c>
      <c r="P2850">
        <v>20.87</v>
      </c>
      <c r="Q2850">
        <v>6.8</v>
      </c>
      <c r="R2850">
        <v>6</v>
      </c>
      <c r="S2850">
        <v>7.5</v>
      </c>
      <c r="T2850">
        <v>93.763077999999993</v>
      </c>
      <c r="W2850" t="s">
        <v>497</v>
      </c>
    </row>
    <row r="2851" spans="1:23" x14ac:dyDescent="0.25">
      <c r="A2851" t="s">
        <v>3295</v>
      </c>
      <c r="B2851" t="str">
        <f t="shared" si="45"/>
        <v>GA1200002234</v>
      </c>
      <c r="C2851" t="s">
        <v>227</v>
      </c>
      <c r="D2851" t="s">
        <v>77</v>
      </c>
      <c r="E2851" t="s">
        <v>82</v>
      </c>
      <c r="F2851">
        <v>15000</v>
      </c>
      <c r="G2851" s="13">
        <v>45560</v>
      </c>
      <c r="H2851" s="13">
        <v>45744</v>
      </c>
      <c r="I2851">
        <v>3625</v>
      </c>
      <c r="J2851">
        <v>336</v>
      </c>
      <c r="K2851">
        <v>3961</v>
      </c>
      <c r="N2851">
        <v>33.333333333333329</v>
      </c>
      <c r="O2851">
        <v>6.1315</v>
      </c>
      <c r="P2851">
        <v>26.406700000000001</v>
      </c>
      <c r="Q2851">
        <v>6.55</v>
      </c>
      <c r="R2851">
        <v>6</v>
      </c>
      <c r="S2851">
        <v>6.55</v>
      </c>
      <c r="T2851">
        <v>96.706019999999995</v>
      </c>
      <c r="W2851" t="s">
        <v>497</v>
      </c>
    </row>
    <row r="2852" spans="1:23" x14ac:dyDescent="0.25">
      <c r="A2852" t="s">
        <v>3296</v>
      </c>
      <c r="B2852" t="str">
        <f t="shared" si="45"/>
        <v>CM1200001780</v>
      </c>
      <c r="C2852" t="s">
        <v>225</v>
      </c>
      <c r="D2852" t="s">
        <v>77</v>
      </c>
      <c r="E2852" t="s">
        <v>82</v>
      </c>
      <c r="F2852">
        <v>10000</v>
      </c>
      <c r="G2852" s="13">
        <v>45565</v>
      </c>
      <c r="H2852" s="13">
        <v>45749</v>
      </c>
      <c r="I2852">
        <v>5285</v>
      </c>
      <c r="J2852">
        <v>0</v>
      </c>
      <c r="K2852">
        <v>5285</v>
      </c>
      <c r="N2852">
        <v>18.181818181818183</v>
      </c>
      <c r="O2852">
        <v>6.2977999999999996</v>
      </c>
      <c r="P2852">
        <v>62.85</v>
      </c>
      <c r="Q2852">
        <v>6.6</v>
      </c>
      <c r="R2852">
        <v>6.2</v>
      </c>
      <c r="S2852">
        <v>6.7</v>
      </c>
      <c r="T2852">
        <v>96.772097000000002</v>
      </c>
      <c r="W2852" t="s">
        <v>497</v>
      </c>
    </row>
    <row r="2853" spans="1:23" x14ac:dyDescent="0.25">
      <c r="A2853" t="s">
        <v>3297</v>
      </c>
      <c r="B2853" t="str">
        <f t="shared" si="45"/>
        <v>CG1100000971</v>
      </c>
      <c r="C2853" t="s">
        <v>229</v>
      </c>
      <c r="D2853" t="s">
        <v>77</v>
      </c>
      <c r="E2853" t="s">
        <v>78</v>
      </c>
      <c r="F2853">
        <v>25000</v>
      </c>
      <c r="G2853" s="13">
        <v>45566</v>
      </c>
      <c r="H2853" s="13">
        <v>45659</v>
      </c>
      <c r="I2853">
        <v>2000</v>
      </c>
      <c r="J2853">
        <v>0</v>
      </c>
      <c r="K2853">
        <v>2000</v>
      </c>
      <c r="N2853">
        <v>4.1666666666666661</v>
      </c>
      <c r="O2853">
        <v>6.4020000000000001</v>
      </c>
      <c r="P2853">
        <v>8</v>
      </c>
      <c r="Q2853">
        <v>6.3</v>
      </c>
      <c r="R2853">
        <v>6.3</v>
      </c>
      <c r="S2853">
        <v>6.3</v>
      </c>
      <c r="T2853">
        <v>98.407499999999999</v>
      </c>
      <c r="W2853" t="s">
        <v>497</v>
      </c>
    </row>
    <row r="2854" spans="1:23" x14ac:dyDescent="0.25">
      <c r="A2854" t="s">
        <v>3298</v>
      </c>
      <c r="B2854" t="str">
        <f t="shared" si="45"/>
        <v>CG1300000615</v>
      </c>
      <c r="C2854" t="s">
        <v>229</v>
      </c>
      <c r="D2854" t="s">
        <v>77</v>
      </c>
      <c r="E2854" t="s">
        <v>287</v>
      </c>
      <c r="F2854">
        <v>20000</v>
      </c>
      <c r="G2854" s="13">
        <v>45566</v>
      </c>
      <c r="H2854" s="13">
        <v>45932</v>
      </c>
      <c r="I2854">
        <v>5000</v>
      </c>
      <c r="J2854">
        <v>0</v>
      </c>
      <c r="K2854">
        <v>5000</v>
      </c>
      <c r="N2854">
        <v>12.5</v>
      </c>
      <c r="O2854">
        <v>7.1868999999999996</v>
      </c>
      <c r="P2854">
        <v>27.675000000000001</v>
      </c>
      <c r="Q2854">
        <v>6.7</v>
      </c>
      <c r="R2854">
        <v>6.7</v>
      </c>
      <c r="S2854">
        <v>7</v>
      </c>
      <c r="T2854">
        <v>93.225555999999997</v>
      </c>
      <c r="W2854" t="s">
        <v>497</v>
      </c>
    </row>
    <row r="2855" spans="1:23" x14ac:dyDescent="0.25">
      <c r="A2855" t="s">
        <v>3299</v>
      </c>
      <c r="B2855" t="str">
        <f t="shared" si="45"/>
        <v>GA1100001880</v>
      </c>
      <c r="C2855" t="s">
        <v>227</v>
      </c>
      <c r="D2855" t="s">
        <v>77</v>
      </c>
      <c r="E2855" t="s">
        <v>78</v>
      </c>
      <c r="F2855">
        <v>7500</v>
      </c>
      <c r="G2855" s="13">
        <v>45567</v>
      </c>
      <c r="H2855" s="13">
        <v>45660</v>
      </c>
      <c r="I2855">
        <v>4000</v>
      </c>
      <c r="J2855">
        <v>535</v>
      </c>
      <c r="K2855">
        <v>4535</v>
      </c>
      <c r="N2855">
        <v>23.809523809523807</v>
      </c>
      <c r="O2855">
        <v>6.3547000000000002</v>
      </c>
      <c r="P2855">
        <v>100.6133</v>
      </c>
      <c r="Q2855">
        <v>6.3</v>
      </c>
      <c r="R2855">
        <v>6</v>
      </c>
      <c r="S2855">
        <v>6.5</v>
      </c>
      <c r="T2855">
        <v>98.419068999999993</v>
      </c>
      <c r="W2855" t="s">
        <v>497</v>
      </c>
    </row>
    <row r="2856" spans="1:23" x14ac:dyDescent="0.25">
      <c r="A2856" t="s">
        <v>3300</v>
      </c>
      <c r="B2856" t="str">
        <f t="shared" si="45"/>
        <v>CG1100000971</v>
      </c>
      <c r="C2856" t="s">
        <v>229</v>
      </c>
      <c r="D2856" t="s">
        <v>77</v>
      </c>
      <c r="E2856" t="s">
        <v>78</v>
      </c>
      <c r="F2856">
        <v>10000</v>
      </c>
      <c r="G2856" s="13">
        <v>45573</v>
      </c>
      <c r="H2856" s="13">
        <v>45659</v>
      </c>
      <c r="I2856">
        <v>0</v>
      </c>
      <c r="J2856">
        <v>10000</v>
      </c>
      <c r="K2856">
        <v>10000</v>
      </c>
      <c r="N2856">
        <v>12.5</v>
      </c>
      <c r="O2856">
        <v>6.2896999999999998</v>
      </c>
      <c r="P2856">
        <v>127.38</v>
      </c>
      <c r="Q2856">
        <v>6.2</v>
      </c>
      <c r="R2856">
        <v>6</v>
      </c>
      <c r="S2856">
        <v>6.75</v>
      </c>
      <c r="T2856">
        <v>98.553627000000006</v>
      </c>
      <c r="W2856" t="s">
        <v>497</v>
      </c>
    </row>
    <row r="2857" spans="1:23" x14ac:dyDescent="0.25">
      <c r="A2857" t="s">
        <v>3301</v>
      </c>
      <c r="B2857" t="str">
        <f t="shared" si="45"/>
        <v>CG1300000615</v>
      </c>
      <c r="C2857" t="s">
        <v>229</v>
      </c>
      <c r="D2857" t="s">
        <v>77</v>
      </c>
      <c r="E2857" t="s">
        <v>287</v>
      </c>
      <c r="F2857">
        <v>10000</v>
      </c>
      <c r="G2857" s="13">
        <v>45573</v>
      </c>
      <c r="H2857" s="13">
        <v>45932</v>
      </c>
      <c r="I2857">
        <v>1490</v>
      </c>
      <c r="J2857">
        <v>3047</v>
      </c>
      <c r="K2857">
        <v>4537</v>
      </c>
      <c r="N2857">
        <v>29.166666666666668</v>
      </c>
      <c r="O2857">
        <v>7.2514000000000003</v>
      </c>
      <c r="P2857">
        <v>45.37</v>
      </c>
      <c r="Q2857">
        <v>7</v>
      </c>
      <c r="R2857">
        <v>6.6</v>
      </c>
      <c r="S2857">
        <v>7</v>
      </c>
      <c r="T2857">
        <v>93.291420000000002</v>
      </c>
      <c r="W2857" t="s">
        <v>497</v>
      </c>
    </row>
    <row r="2858" spans="1:23" x14ac:dyDescent="0.25">
      <c r="A2858" t="s">
        <v>3302</v>
      </c>
      <c r="B2858" t="str">
        <f t="shared" si="45"/>
        <v>TD1200001998</v>
      </c>
      <c r="C2858" t="s">
        <v>237</v>
      </c>
      <c r="D2858" t="s">
        <v>77</v>
      </c>
      <c r="E2858" t="s">
        <v>82</v>
      </c>
      <c r="F2858">
        <v>10000</v>
      </c>
      <c r="G2858" s="13">
        <v>45581</v>
      </c>
      <c r="H2858" s="13">
        <v>45765</v>
      </c>
      <c r="T2858" t="s">
        <v>1418</v>
      </c>
      <c r="W2858" t="s">
        <v>497</v>
      </c>
    </row>
    <row r="2859" spans="1:23" x14ac:dyDescent="0.25">
      <c r="A2859" t="s">
        <v>3303</v>
      </c>
      <c r="B2859" t="str">
        <f t="shared" si="45"/>
        <v>GA1200002242</v>
      </c>
      <c r="C2859" t="s">
        <v>227</v>
      </c>
      <c r="D2859" t="s">
        <v>77</v>
      </c>
      <c r="E2859" t="s">
        <v>82</v>
      </c>
      <c r="F2859">
        <v>12500</v>
      </c>
      <c r="G2859" s="13">
        <v>45574</v>
      </c>
      <c r="H2859" s="13">
        <v>45757</v>
      </c>
      <c r="I2859">
        <v>7500</v>
      </c>
      <c r="J2859">
        <v>5000</v>
      </c>
      <c r="K2859">
        <v>12500</v>
      </c>
      <c r="N2859">
        <v>14.285714285714285</v>
      </c>
      <c r="O2859">
        <v>6.6139999999999999</v>
      </c>
      <c r="P2859">
        <v>100</v>
      </c>
      <c r="Q2859">
        <v>6.4</v>
      </c>
      <c r="R2859">
        <v>6.4</v>
      </c>
      <c r="S2859">
        <v>6.4</v>
      </c>
      <c r="T2859">
        <v>96.764443999999997</v>
      </c>
      <c r="W2859" t="s">
        <v>497</v>
      </c>
    </row>
    <row r="2860" spans="1:23" x14ac:dyDescent="0.25">
      <c r="A2860" t="s">
        <v>3304</v>
      </c>
      <c r="B2860" t="str">
        <f t="shared" si="45"/>
        <v>GA1300000757</v>
      </c>
      <c r="C2860" t="s">
        <v>227</v>
      </c>
      <c r="D2860" t="s">
        <v>77</v>
      </c>
      <c r="E2860" t="s">
        <v>287</v>
      </c>
      <c r="F2860">
        <v>12500</v>
      </c>
      <c r="G2860" s="13">
        <v>45574</v>
      </c>
      <c r="H2860" s="13">
        <v>45940</v>
      </c>
      <c r="I2860">
        <v>7500</v>
      </c>
      <c r="J2860">
        <v>5000</v>
      </c>
      <c r="K2860">
        <v>12500</v>
      </c>
      <c r="N2860">
        <v>14.285714285714285</v>
      </c>
      <c r="O2860">
        <v>6.9572000000000003</v>
      </c>
      <c r="P2860">
        <v>100</v>
      </c>
      <c r="Q2860">
        <v>6.5</v>
      </c>
      <c r="R2860">
        <v>6.5</v>
      </c>
      <c r="S2860">
        <v>6.5</v>
      </c>
      <c r="T2860">
        <v>93.427778000000004</v>
      </c>
      <c r="W2860" t="s">
        <v>497</v>
      </c>
    </row>
    <row r="2861" spans="1:23" x14ac:dyDescent="0.25">
      <c r="A2861" t="s">
        <v>3305</v>
      </c>
      <c r="B2861" t="str">
        <f t="shared" si="45"/>
        <v>TD1200001980</v>
      </c>
      <c r="C2861" t="s">
        <v>237</v>
      </c>
      <c r="D2861" t="s">
        <v>77</v>
      </c>
      <c r="E2861" t="s">
        <v>82</v>
      </c>
      <c r="F2861">
        <v>10000</v>
      </c>
      <c r="G2861" s="13">
        <v>45574</v>
      </c>
      <c r="H2861" s="13">
        <v>45758</v>
      </c>
      <c r="I2861">
        <v>495</v>
      </c>
      <c r="J2861">
        <v>1508</v>
      </c>
      <c r="K2861">
        <v>2003</v>
      </c>
      <c r="N2861">
        <v>25</v>
      </c>
      <c r="O2861">
        <v>6.8917000000000002</v>
      </c>
      <c r="P2861">
        <v>20.03</v>
      </c>
      <c r="Q2861">
        <v>6.75</v>
      </c>
      <c r="R2861">
        <v>6</v>
      </c>
      <c r="S2861">
        <v>6.75</v>
      </c>
      <c r="T2861">
        <v>96.633184</v>
      </c>
      <c r="W2861" t="s">
        <v>497</v>
      </c>
    </row>
    <row r="2862" spans="1:23" x14ac:dyDescent="0.25">
      <c r="A2862" t="s">
        <v>3306</v>
      </c>
      <c r="B2862" t="str">
        <f t="shared" si="45"/>
        <v>CG1300000698</v>
      </c>
      <c r="C2862" t="s">
        <v>229</v>
      </c>
      <c r="D2862" t="s">
        <v>77</v>
      </c>
      <c r="E2862" t="s">
        <v>287</v>
      </c>
      <c r="F2862">
        <v>1000</v>
      </c>
      <c r="G2862" s="13">
        <v>45580</v>
      </c>
      <c r="H2862" s="13">
        <v>45944</v>
      </c>
      <c r="I2862">
        <v>1000</v>
      </c>
      <c r="J2862">
        <v>0</v>
      </c>
      <c r="K2862">
        <v>1000</v>
      </c>
      <c r="P2862">
        <v>100</v>
      </c>
      <c r="W2862" t="s">
        <v>1264</v>
      </c>
    </row>
    <row r="2863" spans="1:23" x14ac:dyDescent="0.25">
      <c r="A2863" t="s">
        <v>3307</v>
      </c>
      <c r="B2863" t="str">
        <f t="shared" si="45"/>
        <v>CM1200001798</v>
      </c>
      <c r="C2863" t="s">
        <v>225</v>
      </c>
      <c r="D2863" t="s">
        <v>77</v>
      </c>
      <c r="E2863" t="s">
        <v>82</v>
      </c>
      <c r="F2863">
        <v>25000</v>
      </c>
      <c r="G2863" s="13">
        <v>45581</v>
      </c>
      <c r="H2863" s="13">
        <v>45763</v>
      </c>
      <c r="I2863">
        <v>12013</v>
      </c>
      <c r="J2863">
        <v>6000</v>
      </c>
      <c r="K2863">
        <v>18013</v>
      </c>
      <c r="N2863">
        <v>36.363636363636367</v>
      </c>
      <c r="O2863">
        <v>6.8011999999999997</v>
      </c>
      <c r="P2863">
        <v>81.451999999999998</v>
      </c>
      <c r="Q2863">
        <v>6.6</v>
      </c>
      <c r="R2863">
        <v>6.5</v>
      </c>
      <c r="S2863">
        <v>6.75</v>
      </c>
      <c r="T2863">
        <v>96.675893000000002</v>
      </c>
      <c r="W2863" t="s">
        <v>497</v>
      </c>
    </row>
    <row r="2864" spans="1:23" x14ac:dyDescent="0.25">
      <c r="A2864" t="s">
        <v>3308</v>
      </c>
      <c r="B2864" t="str">
        <f t="shared" si="45"/>
        <v>CM1300000732</v>
      </c>
      <c r="C2864" t="s">
        <v>225</v>
      </c>
      <c r="D2864" t="s">
        <v>77</v>
      </c>
      <c r="E2864" t="s">
        <v>287</v>
      </c>
      <c r="F2864">
        <v>10000</v>
      </c>
      <c r="G2864" s="13">
        <v>45581</v>
      </c>
      <c r="H2864" s="13">
        <v>45945</v>
      </c>
      <c r="I2864">
        <v>10</v>
      </c>
      <c r="J2864">
        <v>3000</v>
      </c>
      <c r="K2864">
        <v>3010</v>
      </c>
      <c r="N2864">
        <v>18.181818181818183</v>
      </c>
      <c r="O2864">
        <v>7.1097000000000001</v>
      </c>
      <c r="P2864">
        <v>30.49</v>
      </c>
      <c r="Q2864">
        <v>6.65</v>
      </c>
      <c r="R2864">
        <v>6.5</v>
      </c>
      <c r="S2864">
        <v>7</v>
      </c>
      <c r="T2864">
        <v>93.293411000000006</v>
      </c>
      <c r="W2864" t="s">
        <v>497</v>
      </c>
    </row>
    <row r="2865" spans="1:23" x14ac:dyDescent="0.25">
      <c r="A2865" t="s">
        <v>3309</v>
      </c>
      <c r="B2865" t="str">
        <f t="shared" si="45"/>
        <v>CG1200001432</v>
      </c>
      <c r="C2865" t="s">
        <v>229</v>
      </c>
      <c r="D2865" t="s">
        <v>77</v>
      </c>
      <c r="E2865" t="s">
        <v>82</v>
      </c>
      <c r="F2865">
        <v>15000</v>
      </c>
      <c r="G2865" s="13">
        <v>45580</v>
      </c>
      <c r="H2865" s="13">
        <v>45764</v>
      </c>
      <c r="J2865">
        <v>9704</v>
      </c>
      <c r="K2865">
        <v>9704</v>
      </c>
      <c r="N2865">
        <v>12.5</v>
      </c>
      <c r="O2865">
        <v>7.2324999999999999</v>
      </c>
      <c r="P2865">
        <v>64.693299999999994</v>
      </c>
      <c r="Q2865">
        <v>7</v>
      </c>
      <c r="R2865">
        <v>6.5</v>
      </c>
      <c r="S2865">
        <v>7</v>
      </c>
      <c r="T2865">
        <v>96.472547000000006</v>
      </c>
      <c r="W2865" t="s">
        <v>497</v>
      </c>
    </row>
    <row r="2866" spans="1:23" x14ac:dyDescent="0.25">
      <c r="A2866" t="s">
        <v>3298</v>
      </c>
      <c r="B2866" t="str">
        <f t="shared" si="45"/>
        <v>CG1300000615</v>
      </c>
      <c r="C2866" t="s">
        <v>229</v>
      </c>
      <c r="D2866" t="s">
        <v>77</v>
      </c>
      <c r="E2866" t="s">
        <v>287</v>
      </c>
      <c r="G2866" s="13">
        <v>45580</v>
      </c>
      <c r="H2866" s="13"/>
      <c r="T2866" t="s">
        <v>1418</v>
      </c>
      <c r="W2866" t="s">
        <v>497</v>
      </c>
    </row>
    <row r="2867" spans="1:23" x14ac:dyDescent="0.25">
      <c r="A2867" t="s">
        <v>3310</v>
      </c>
      <c r="B2867" t="str">
        <f t="shared" si="45"/>
        <v>CG1100000989</v>
      </c>
      <c r="C2867" t="s">
        <v>229</v>
      </c>
      <c r="D2867" t="s">
        <v>77</v>
      </c>
      <c r="E2867" t="s">
        <v>78</v>
      </c>
      <c r="F2867">
        <v>22500</v>
      </c>
      <c r="G2867" s="13">
        <v>45580</v>
      </c>
      <c r="H2867" s="13">
        <v>45673</v>
      </c>
      <c r="J2867">
        <v>0</v>
      </c>
      <c r="N2867">
        <v>0</v>
      </c>
      <c r="T2867" t="s">
        <v>1418</v>
      </c>
      <c r="W2867" t="s">
        <v>497</v>
      </c>
    </row>
    <row r="2868" spans="1:23" x14ac:dyDescent="0.25">
      <c r="A2868" t="s">
        <v>3311</v>
      </c>
      <c r="B2868" t="str">
        <f t="shared" si="45"/>
        <v>CG1200001440</v>
      </c>
      <c r="C2868" t="s">
        <v>229</v>
      </c>
      <c r="D2868" t="s">
        <v>77</v>
      </c>
      <c r="E2868" t="s">
        <v>82</v>
      </c>
      <c r="F2868">
        <v>75000</v>
      </c>
      <c r="G2868" s="13">
        <v>45580</v>
      </c>
      <c r="H2868" s="13">
        <v>45764</v>
      </c>
      <c r="I2868">
        <v>15000</v>
      </c>
      <c r="J2868">
        <v>0</v>
      </c>
      <c r="K2868">
        <v>15000</v>
      </c>
      <c r="N2868">
        <v>8.3333333333333321</v>
      </c>
      <c r="O2868">
        <v>7.0777999999999999</v>
      </c>
      <c r="P2868">
        <v>20</v>
      </c>
      <c r="Q2868">
        <v>7</v>
      </c>
      <c r="R2868">
        <v>6.5</v>
      </c>
      <c r="S2868">
        <v>7</v>
      </c>
      <c r="T2868">
        <v>96.545370000000005</v>
      </c>
      <c r="W2868" t="s">
        <v>497</v>
      </c>
    </row>
    <row r="2869" spans="1:23" x14ac:dyDescent="0.25">
      <c r="A2869" t="s">
        <v>3312</v>
      </c>
      <c r="B2869" t="str">
        <f t="shared" si="45"/>
        <v>CG1300000623</v>
      </c>
      <c r="C2869" t="s">
        <v>229</v>
      </c>
      <c r="D2869" t="s">
        <v>77</v>
      </c>
      <c r="E2869" t="s">
        <v>287</v>
      </c>
      <c r="F2869">
        <v>175000</v>
      </c>
      <c r="G2869" s="13">
        <v>45580</v>
      </c>
      <c r="H2869" s="13">
        <v>45946</v>
      </c>
      <c r="I2869">
        <v>28000</v>
      </c>
      <c r="J2869">
        <v>23080</v>
      </c>
      <c r="K2869">
        <v>51080</v>
      </c>
      <c r="N2869">
        <v>33.333333333333329</v>
      </c>
      <c r="O2869">
        <v>7.1919000000000004</v>
      </c>
      <c r="P2869">
        <v>29.188600000000001</v>
      </c>
      <c r="Q2869">
        <v>7.5</v>
      </c>
      <c r="R2869">
        <v>6.5</v>
      </c>
      <c r="S2869">
        <v>7.5</v>
      </c>
      <c r="T2869">
        <v>93.221121999999994</v>
      </c>
      <c r="W2869" t="s">
        <v>497</v>
      </c>
    </row>
    <row r="2870" spans="1:23" x14ac:dyDescent="0.25">
      <c r="A2870" t="s">
        <v>3313</v>
      </c>
      <c r="B2870" t="str">
        <f t="shared" si="45"/>
        <v>GA1100001880</v>
      </c>
      <c r="C2870" t="s">
        <v>227</v>
      </c>
      <c r="D2870" t="s">
        <v>77</v>
      </c>
      <c r="E2870" t="s">
        <v>78</v>
      </c>
      <c r="F2870">
        <v>7000</v>
      </c>
      <c r="G2870" s="13">
        <v>45581</v>
      </c>
      <c r="H2870" s="13">
        <v>45660</v>
      </c>
      <c r="I2870">
        <v>4970</v>
      </c>
      <c r="J2870">
        <v>2030</v>
      </c>
      <c r="K2870">
        <v>7000</v>
      </c>
      <c r="N2870">
        <v>19.047619047619047</v>
      </c>
      <c r="O2870">
        <v>6.4574999999999996</v>
      </c>
      <c r="P2870">
        <v>114.71429999999999</v>
      </c>
      <c r="Q2870">
        <v>6.4</v>
      </c>
      <c r="R2870">
        <v>5.9</v>
      </c>
      <c r="S2870">
        <v>6.4</v>
      </c>
      <c r="T2870">
        <v>98.637619000000001</v>
      </c>
      <c r="W2870" t="s">
        <v>497</v>
      </c>
    </row>
    <row r="2871" spans="1:23" x14ac:dyDescent="0.25">
      <c r="A2871" t="s">
        <v>3314</v>
      </c>
      <c r="B2871" t="str">
        <f t="shared" si="45"/>
        <v>GA1200002234</v>
      </c>
      <c r="C2871" t="s">
        <v>227</v>
      </c>
      <c r="D2871" t="s">
        <v>77</v>
      </c>
      <c r="E2871" t="s">
        <v>82</v>
      </c>
      <c r="F2871">
        <v>5000</v>
      </c>
      <c r="G2871" s="13">
        <v>45581</v>
      </c>
      <c r="H2871" s="13">
        <v>45744</v>
      </c>
      <c r="I2871">
        <v>4000</v>
      </c>
      <c r="J2871">
        <v>0</v>
      </c>
      <c r="K2871">
        <v>4000</v>
      </c>
      <c r="N2871">
        <v>4.7619047619047619</v>
      </c>
      <c r="O2871">
        <v>6.7477</v>
      </c>
      <c r="P2871">
        <v>80</v>
      </c>
      <c r="Q2871">
        <v>6.55</v>
      </c>
      <c r="R2871">
        <v>6.55</v>
      </c>
      <c r="S2871">
        <v>6.55</v>
      </c>
      <c r="T2871">
        <v>97.070694000000003</v>
      </c>
      <c r="W2871" t="s">
        <v>497</v>
      </c>
    </row>
    <row r="2872" spans="1:23" x14ac:dyDescent="0.25">
      <c r="A2872" t="s">
        <v>3315</v>
      </c>
      <c r="B2872" t="str">
        <f t="shared" si="45"/>
        <v>GA1200002259</v>
      </c>
      <c r="C2872" t="s">
        <v>227</v>
      </c>
      <c r="D2872" t="s">
        <v>77</v>
      </c>
      <c r="E2872" t="s">
        <v>82</v>
      </c>
      <c r="G2872" s="13">
        <v>45581</v>
      </c>
      <c r="H2872" s="13"/>
      <c r="J2872">
        <v>0</v>
      </c>
      <c r="N2872">
        <v>0</v>
      </c>
      <c r="T2872" t="s">
        <v>1418</v>
      </c>
      <c r="W2872" t="s">
        <v>497</v>
      </c>
    </row>
    <row r="2873" spans="1:23" x14ac:dyDescent="0.25">
      <c r="A2873" t="s">
        <v>3316</v>
      </c>
      <c r="B2873" t="str">
        <f t="shared" si="45"/>
        <v>CM1200001806</v>
      </c>
      <c r="C2873" t="s">
        <v>225</v>
      </c>
      <c r="D2873" t="s">
        <v>77</v>
      </c>
      <c r="E2873" t="s">
        <v>82</v>
      </c>
      <c r="F2873">
        <v>15000</v>
      </c>
      <c r="G2873" s="13">
        <v>45586</v>
      </c>
      <c r="H2873" s="13">
        <v>45770</v>
      </c>
      <c r="I2873">
        <v>14000</v>
      </c>
      <c r="J2873">
        <v>1000</v>
      </c>
      <c r="K2873">
        <v>15000</v>
      </c>
      <c r="N2873">
        <v>27.27272727272727</v>
      </c>
      <c r="O2873">
        <v>6.7599</v>
      </c>
      <c r="P2873">
        <v>110</v>
      </c>
      <c r="Q2873">
        <v>6.6</v>
      </c>
      <c r="R2873">
        <v>6.25</v>
      </c>
      <c r="S2873">
        <v>6.65</v>
      </c>
      <c r="T2873">
        <v>96.695419000000001</v>
      </c>
      <c r="W2873" t="s">
        <v>497</v>
      </c>
    </row>
    <row r="2874" spans="1:23" x14ac:dyDescent="0.25">
      <c r="A2874" t="s">
        <v>3317</v>
      </c>
      <c r="B2874" t="str">
        <f t="shared" si="45"/>
        <v>CG1300000680</v>
      </c>
      <c r="C2874" t="s">
        <v>229</v>
      </c>
      <c r="D2874" t="s">
        <v>77</v>
      </c>
      <c r="E2874" t="s">
        <v>287</v>
      </c>
      <c r="F2874">
        <v>20000</v>
      </c>
      <c r="G2874" s="13">
        <v>45587</v>
      </c>
      <c r="H2874" s="13">
        <v>45951</v>
      </c>
      <c r="J2874">
        <v>20000</v>
      </c>
      <c r="K2874">
        <v>20000</v>
      </c>
      <c r="P2874">
        <v>100</v>
      </c>
      <c r="W2874" t="s">
        <v>1264</v>
      </c>
    </row>
    <row r="2875" spans="1:23" x14ac:dyDescent="0.25">
      <c r="A2875" t="s">
        <v>3318</v>
      </c>
      <c r="B2875" t="str">
        <f t="shared" si="45"/>
        <v>CG1200001440</v>
      </c>
      <c r="C2875" t="s">
        <v>229</v>
      </c>
      <c r="D2875" t="s">
        <v>77</v>
      </c>
      <c r="E2875" t="s">
        <v>82</v>
      </c>
      <c r="F2875">
        <v>75000</v>
      </c>
      <c r="G2875" s="13">
        <v>45587</v>
      </c>
      <c r="H2875" s="13">
        <v>45764</v>
      </c>
      <c r="I2875">
        <v>45000</v>
      </c>
      <c r="J2875">
        <v>21130</v>
      </c>
      <c r="K2875">
        <v>66130</v>
      </c>
      <c r="N2875">
        <v>25</v>
      </c>
      <c r="O2875">
        <v>6.83</v>
      </c>
      <c r="P2875">
        <v>88.173299999999998</v>
      </c>
      <c r="Q2875">
        <v>6.9</v>
      </c>
      <c r="R2875">
        <v>6.5</v>
      </c>
      <c r="S2875">
        <v>6.9</v>
      </c>
      <c r="T2875">
        <v>96.768624000000003</v>
      </c>
      <c r="W2875" t="s">
        <v>497</v>
      </c>
    </row>
    <row r="2876" spans="1:23" x14ac:dyDescent="0.25">
      <c r="A2876" t="s">
        <v>3319</v>
      </c>
      <c r="B2876" t="str">
        <f t="shared" si="45"/>
        <v>CG1300000623</v>
      </c>
      <c r="C2876" t="s">
        <v>229</v>
      </c>
      <c r="D2876" t="s">
        <v>77</v>
      </c>
      <c r="E2876" t="s">
        <v>287</v>
      </c>
      <c r="F2876">
        <v>175000</v>
      </c>
      <c r="G2876" s="13">
        <v>45587</v>
      </c>
      <c r="H2876" s="13">
        <v>45946</v>
      </c>
      <c r="I2876">
        <v>0</v>
      </c>
      <c r="J2876">
        <v>20066</v>
      </c>
      <c r="K2876">
        <v>20066</v>
      </c>
      <c r="N2876">
        <v>8.3333333333333321</v>
      </c>
      <c r="O2876">
        <v>7.5221999999999998</v>
      </c>
      <c r="P2876">
        <v>11.4663</v>
      </c>
      <c r="Q2876">
        <v>7</v>
      </c>
      <c r="R2876">
        <v>7</v>
      </c>
      <c r="S2876">
        <v>7</v>
      </c>
      <c r="T2876">
        <v>93.058333000000005</v>
      </c>
      <c r="W2876" t="s">
        <v>497</v>
      </c>
    </row>
    <row r="2877" spans="1:23" x14ac:dyDescent="0.25">
      <c r="A2877" t="s">
        <v>3320</v>
      </c>
      <c r="B2877" t="str">
        <f t="shared" si="45"/>
        <v>CG1300000649</v>
      </c>
      <c r="C2877" t="s">
        <v>229</v>
      </c>
      <c r="D2877" t="s">
        <v>77</v>
      </c>
      <c r="E2877" t="s">
        <v>287</v>
      </c>
      <c r="F2877">
        <v>113000</v>
      </c>
      <c r="G2877" s="13">
        <v>45587</v>
      </c>
      <c r="H2877" s="13">
        <v>45953</v>
      </c>
      <c r="I2877">
        <v>5500</v>
      </c>
      <c r="J2877">
        <v>5090</v>
      </c>
      <c r="K2877">
        <v>10590</v>
      </c>
      <c r="N2877">
        <v>12.5</v>
      </c>
      <c r="O2877">
        <v>7.5331999999999999</v>
      </c>
      <c r="P2877">
        <v>9.3717000000000006</v>
      </c>
      <c r="Q2877">
        <v>7</v>
      </c>
      <c r="R2877">
        <v>7</v>
      </c>
      <c r="S2877">
        <v>7</v>
      </c>
      <c r="T2877">
        <v>92.922222000000005</v>
      </c>
      <c r="W2877" t="s">
        <v>497</v>
      </c>
    </row>
    <row r="2878" spans="1:23" x14ac:dyDescent="0.25">
      <c r="A2878" t="s">
        <v>3321</v>
      </c>
      <c r="B2878" t="str">
        <f t="shared" si="45"/>
        <v>GQ1300001393</v>
      </c>
      <c r="C2878" t="s">
        <v>528</v>
      </c>
      <c r="D2878" t="s">
        <v>77</v>
      </c>
      <c r="E2878" t="s">
        <v>287</v>
      </c>
      <c r="F2878">
        <v>6000</v>
      </c>
      <c r="G2878" s="13">
        <v>45587</v>
      </c>
      <c r="H2878" s="13"/>
      <c r="J2878">
        <v>0</v>
      </c>
      <c r="N2878">
        <v>0</v>
      </c>
      <c r="R2878">
        <v>7</v>
      </c>
      <c r="S2878">
        <v>7</v>
      </c>
      <c r="T2878" t="s">
        <v>1418</v>
      </c>
      <c r="W2878" t="s">
        <v>497</v>
      </c>
    </row>
    <row r="2879" spans="1:23" x14ac:dyDescent="0.25">
      <c r="A2879" t="s">
        <v>3322</v>
      </c>
      <c r="B2879" t="str">
        <f t="shared" si="45"/>
        <v>GA1200002259</v>
      </c>
      <c r="C2879" t="s">
        <v>227</v>
      </c>
      <c r="D2879" t="s">
        <v>77</v>
      </c>
      <c r="E2879" t="s">
        <v>82</v>
      </c>
      <c r="F2879">
        <v>9000</v>
      </c>
      <c r="G2879" s="13">
        <v>45588</v>
      </c>
      <c r="H2879" s="13">
        <v>45765</v>
      </c>
      <c r="I2879">
        <v>450</v>
      </c>
      <c r="J2879">
        <v>1948</v>
      </c>
      <c r="K2879">
        <v>2398</v>
      </c>
      <c r="N2879">
        <v>23.809523809523807</v>
      </c>
      <c r="O2879">
        <v>6.6009000000000002</v>
      </c>
      <c r="P2879">
        <v>27.088899999999999</v>
      </c>
      <c r="Q2879">
        <v>6.5</v>
      </c>
      <c r="R2879">
        <v>6</v>
      </c>
      <c r="S2879">
        <v>6.55</v>
      </c>
      <c r="T2879">
        <v>96.890977000000007</v>
      </c>
      <c r="W2879" t="s">
        <v>497</v>
      </c>
    </row>
    <row r="2880" spans="1:23" x14ac:dyDescent="0.25">
      <c r="A2880" t="s">
        <v>3323</v>
      </c>
      <c r="B2880" t="str">
        <f t="shared" si="45"/>
        <v>GA1300000765</v>
      </c>
      <c r="C2880" t="s">
        <v>227</v>
      </c>
      <c r="D2880" t="s">
        <v>77</v>
      </c>
      <c r="E2880" t="s">
        <v>287</v>
      </c>
      <c r="F2880">
        <v>7500</v>
      </c>
      <c r="G2880" s="13">
        <v>45588</v>
      </c>
      <c r="H2880" s="13">
        <v>45954</v>
      </c>
      <c r="I2880">
        <v>375</v>
      </c>
      <c r="J2880">
        <v>2644</v>
      </c>
      <c r="K2880">
        <v>3019</v>
      </c>
      <c r="N2880">
        <v>28.571428571428569</v>
      </c>
      <c r="O2880">
        <v>6.9420999999999999</v>
      </c>
      <c r="P2880">
        <v>45.72</v>
      </c>
      <c r="Q2880">
        <v>6.5</v>
      </c>
      <c r="R2880">
        <v>6.1</v>
      </c>
      <c r="S2880">
        <v>7.4</v>
      </c>
      <c r="T2880">
        <v>93.441174000000004</v>
      </c>
      <c r="W2880" t="s">
        <v>497</v>
      </c>
    </row>
    <row r="2881" spans="1:23" x14ac:dyDescent="0.25">
      <c r="A2881" t="s">
        <v>3324</v>
      </c>
      <c r="B2881" t="str">
        <f t="shared" si="45"/>
        <v>TD1200002004</v>
      </c>
      <c r="C2881" t="s">
        <v>237</v>
      </c>
      <c r="D2881" t="s">
        <v>77</v>
      </c>
      <c r="E2881" t="s">
        <v>82</v>
      </c>
      <c r="F2881">
        <v>10000</v>
      </c>
      <c r="G2881" s="13">
        <v>45588</v>
      </c>
      <c r="H2881" s="13">
        <v>45772</v>
      </c>
      <c r="I2881">
        <v>0</v>
      </c>
      <c r="J2881">
        <v>9598</v>
      </c>
      <c r="K2881">
        <v>9598</v>
      </c>
      <c r="N2881">
        <v>8.3333333333333321</v>
      </c>
      <c r="O2881">
        <v>6.9885000000000002</v>
      </c>
      <c r="P2881">
        <v>95.98</v>
      </c>
      <c r="Q2881">
        <v>6.75</v>
      </c>
      <c r="R2881">
        <v>6.75</v>
      </c>
      <c r="S2881">
        <v>6.75</v>
      </c>
      <c r="T2881">
        <v>96.587500000000006</v>
      </c>
      <c r="W2881" t="s">
        <v>497</v>
      </c>
    </row>
    <row r="2882" spans="1:23" x14ac:dyDescent="0.25">
      <c r="A2882" t="s">
        <v>3325</v>
      </c>
      <c r="B2882" t="str">
        <f t="shared" si="45"/>
        <v>CM1100001104</v>
      </c>
      <c r="C2882" t="s">
        <v>225</v>
      </c>
      <c r="D2882" t="s">
        <v>77</v>
      </c>
      <c r="E2882" t="s">
        <v>78</v>
      </c>
      <c r="F2882">
        <v>9251</v>
      </c>
      <c r="G2882" s="13">
        <v>45593</v>
      </c>
      <c r="H2882" s="13">
        <v>45686</v>
      </c>
      <c r="I2882">
        <v>9251</v>
      </c>
      <c r="J2882">
        <v>0</v>
      </c>
      <c r="K2882">
        <v>9251</v>
      </c>
      <c r="N2882">
        <v>4.5454545454545459</v>
      </c>
      <c r="O2882">
        <v>6.5052000000000003</v>
      </c>
      <c r="P2882">
        <v>100</v>
      </c>
      <c r="Q2882">
        <v>6.4</v>
      </c>
      <c r="R2882">
        <v>6.4</v>
      </c>
      <c r="S2882">
        <v>6.4</v>
      </c>
      <c r="T2882">
        <v>98.382221999999999</v>
      </c>
      <c r="W2882" t="s">
        <v>497</v>
      </c>
    </row>
    <row r="2883" spans="1:23" x14ac:dyDescent="0.25">
      <c r="A2883" t="s">
        <v>3326</v>
      </c>
      <c r="B2883" t="str">
        <f t="shared" si="45"/>
        <v>CM1200001814</v>
      </c>
      <c r="C2883" t="s">
        <v>225</v>
      </c>
      <c r="D2883" t="s">
        <v>77</v>
      </c>
      <c r="E2883" t="s">
        <v>82</v>
      </c>
      <c r="F2883">
        <v>9251</v>
      </c>
      <c r="G2883" s="13">
        <v>45593</v>
      </c>
      <c r="H2883" s="13">
        <v>45777</v>
      </c>
      <c r="I2883">
        <v>9251</v>
      </c>
      <c r="J2883">
        <v>0</v>
      </c>
      <c r="K2883">
        <v>9251</v>
      </c>
      <c r="N2883">
        <v>4.5454545454545459</v>
      </c>
      <c r="O2883">
        <v>6.8277999999999999</v>
      </c>
      <c r="P2883">
        <v>100</v>
      </c>
      <c r="Q2883">
        <v>6.6</v>
      </c>
      <c r="R2883">
        <v>6.6</v>
      </c>
      <c r="S2883">
        <v>6.6</v>
      </c>
      <c r="T2883">
        <v>96.663332999999994</v>
      </c>
      <c r="W2883" t="s">
        <v>497</v>
      </c>
    </row>
    <row r="2884" spans="1:23" x14ac:dyDescent="0.25">
      <c r="A2884" t="s">
        <v>3327</v>
      </c>
      <c r="B2884" t="str">
        <f t="shared" si="45"/>
        <v>CM1300000740</v>
      </c>
      <c r="C2884" t="s">
        <v>225</v>
      </c>
      <c r="D2884" t="s">
        <v>77</v>
      </c>
      <c r="E2884" t="s">
        <v>287</v>
      </c>
      <c r="F2884">
        <v>15000</v>
      </c>
      <c r="G2884" s="13">
        <v>45593</v>
      </c>
      <c r="H2884" s="13">
        <v>45959</v>
      </c>
      <c r="I2884">
        <v>11920</v>
      </c>
      <c r="J2884">
        <v>0</v>
      </c>
      <c r="K2884">
        <v>11920</v>
      </c>
      <c r="N2884">
        <v>18.181818181818183</v>
      </c>
      <c r="O2884">
        <v>7.0719000000000003</v>
      </c>
      <c r="P2884">
        <v>80.533299999999997</v>
      </c>
      <c r="Q2884">
        <v>6.6</v>
      </c>
      <c r="R2884">
        <v>6.6</v>
      </c>
      <c r="S2884">
        <v>6.85</v>
      </c>
      <c r="T2884">
        <v>93.326667</v>
      </c>
      <c r="W2884" t="s">
        <v>497</v>
      </c>
    </row>
    <row r="2885" spans="1:23" x14ac:dyDescent="0.25">
      <c r="A2885" t="s">
        <v>3328</v>
      </c>
      <c r="B2885" t="str">
        <f t="shared" si="45"/>
        <v>CM1300000757</v>
      </c>
      <c r="C2885" t="s">
        <v>225</v>
      </c>
      <c r="D2885" t="s">
        <v>77</v>
      </c>
      <c r="E2885" t="s">
        <v>287</v>
      </c>
      <c r="F2885">
        <v>29392</v>
      </c>
      <c r="G2885" s="13">
        <v>45593</v>
      </c>
      <c r="H2885" s="13">
        <v>45959</v>
      </c>
      <c r="I2885">
        <v>29392</v>
      </c>
      <c r="J2885">
        <v>0</v>
      </c>
      <c r="K2885">
        <v>29392</v>
      </c>
      <c r="N2885">
        <v>4.5454545454545459</v>
      </c>
      <c r="O2885">
        <v>7.1868999999999996</v>
      </c>
      <c r="P2885">
        <v>100</v>
      </c>
      <c r="Q2885">
        <v>6.7</v>
      </c>
      <c r="R2885">
        <v>6.7</v>
      </c>
      <c r="S2885">
        <v>6.7</v>
      </c>
      <c r="T2885">
        <v>93.225555999999997</v>
      </c>
      <c r="W2885" t="s">
        <v>497</v>
      </c>
    </row>
    <row r="2886" spans="1:23" x14ac:dyDescent="0.25">
      <c r="A2886" t="s">
        <v>3329</v>
      </c>
      <c r="B2886" t="str">
        <f t="shared" si="45"/>
        <v>CM1200001707</v>
      </c>
      <c r="C2886" t="s">
        <v>225</v>
      </c>
      <c r="D2886" t="s">
        <v>77</v>
      </c>
      <c r="E2886" t="s">
        <v>82</v>
      </c>
      <c r="F2886">
        <v>29392</v>
      </c>
      <c r="G2886" s="13">
        <v>45593</v>
      </c>
      <c r="H2886" s="13">
        <v>45651</v>
      </c>
      <c r="I2886">
        <v>29392</v>
      </c>
      <c r="J2886">
        <v>0</v>
      </c>
      <c r="K2886">
        <v>29392</v>
      </c>
      <c r="N2886">
        <v>4.5454545454545459</v>
      </c>
      <c r="O2886">
        <v>6.1074999999999999</v>
      </c>
      <c r="P2886">
        <v>100</v>
      </c>
      <c r="Q2886">
        <v>6.05</v>
      </c>
      <c r="R2886">
        <v>6.05</v>
      </c>
      <c r="S2886">
        <v>6.05</v>
      </c>
      <c r="T2886">
        <v>99.058888999999994</v>
      </c>
      <c r="W2886" t="s">
        <v>681</v>
      </c>
    </row>
    <row r="2887" spans="1:23" x14ac:dyDescent="0.25">
      <c r="A2887" t="s">
        <v>3330</v>
      </c>
      <c r="B2887" t="str">
        <f t="shared" si="45"/>
        <v>CM1300000658</v>
      </c>
      <c r="C2887" t="s">
        <v>225</v>
      </c>
      <c r="D2887" t="s">
        <v>77</v>
      </c>
      <c r="E2887" t="s">
        <v>287</v>
      </c>
      <c r="F2887">
        <v>8938</v>
      </c>
      <c r="G2887" s="13">
        <v>45593</v>
      </c>
      <c r="H2887" s="13">
        <v>45630</v>
      </c>
      <c r="I2887">
        <v>8938</v>
      </c>
      <c r="J2887">
        <v>0</v>
      </c>
      <c r="K2887">
        <v>8938</v>
      </c>
      <c r="N2887">
        <v>4.5454545454545459</v>
      </c>
      <c r="O2887">
        <v>5.9452999999999996</v>
      </c>
      <c r="P2887">
        <v>100</v>
      </c>
      <c r="Q2887">
        <v>5.8</v>
      </c>
      <c r="R2887">
        <v>5.8</v>
      </c>
      <c r="S2887">
        <v>6.05</v>
      </c>
      <c r="T2887">
        <v>99.425309999999996</v>
      </c>
      <c r="W2887" t="s">
        <v>681</v>
      </c>
    </row>
    <row r="2888" spans="1:23" x14ac:dyDescent="0.25">
      <c r="A2888" t="s">
        <v>3331</v>
      </c>
      <c r="B2888" t="str">
        <f t="shared" si="45"/>
        <v>CM1300000666</v>
      </c>
      <c r="C2888" t="s">
        <v>225</v>
      </c>
      <c r="D2888" t="s">
        <v>77</v>
      </c>
      <c r="E2888" t="s">
        <v>287</v>
      </c>
      <c r="F2888">
        <v>7923</v>
      </c>
      <c r="G2888" s="13">
        <v>45593</v>
      </c>
      <c r="H2888" s="13">
        <v>45644</v>
      </c>
      <c r="I2888">
        <v>7923</v>
      </c>
      <c r="J2888">
        <v>0</v>
      </c>
      <c r="K2888">
        <v>7923</v>
      </c>
      <c r="N2888">
        <v>4.5454545454545459</v>
      </c>
      <c r="O2888">
        <v>6.2527999999999997</v>
      </c>
      <c r="P2888">
        <v>100</v>
      </c>
      <c r="Q2888">
        <v>6.2</v>
      </c>
      <c r="R2888">
        <v>6.2</v>
      </c>
      <c r="S2888">
        <v>6.2</v>
      </c>
      <c r="T2888">
        <v>99.156110999999996</v>
      </c>
      <c r="W2888" t="s">
        <v>681</v>
      </c>
    </row>
    <row r="2889" spans="1:23" x14ac:dyDescent="0.25">
      <c r="A2889" t="s">
        <v>3332</v>
      </c>
      <c r="B2889" t="str">
        <f t="shared" si="45"/>
        <v>CG1200001440</v>
      </c>
      <c r="C2889" t="s">
        <v>229</v>
      </c>
      <c r="D2889" t="s">
        <v>77</v>
      </c>
      <c r="E2889" t="s">
        <v>82</v>
      </c>
      <c r="F2889">
        <v>75000</v>
      </c>
      <c r="G2889" s="13">
        <v>45594</v>
      </c>
      <c r="H2889" s="13">
        <v>45764</v>
      </c>
      <c r="I2889">
        <v>5000</v>
      </c>
      <c r="J2889">
        <v>3357</v>
      </c>
      <c r="K2889">
        <v>8357</v>
      </c>
      <c r="N2889">
        <v>20.833333333333336</v>
      </c>
      <c r="O2889">
        <v>6.7001999999999997</v>
      </c>
      <c r="P2889">
        <v>11.1427</v>
      </c>
      <c r="Q2889">
        <v>6.7</v>
      </c>
      <c r="R2889">
        <v>6</v>
      </c>
      <c r="S2889">
        <v>6.7</v>
      </c>
      <c r="T2889">
        <v>96.968063000000001</v>
      </c>
      <c r="W2889" t="s">
        <v>497</v>
      </c>
    </row>
    <row r="2890" spans="1:23" x14ac:dyDescent="0.25">
      <c r="A2890" t="s">
        <v>3333</v>
      </c>
      <c r="B2890" t="str">
        <f t="shared" si="45"/>
        <v>CG1300000623</v>
      </c>
      <c r="C2890" t="s">
        <v>229</v>
      </c>
      <c r="D2890" t="s">
        <v>77</v>
      </c>
      <c r="E2890" t="s">
        <v>287</v>
      </c>
      <c r="F2890">
        <v>175000</v>
      </c>
      <c r="G2890" s="13">
        <v>45594</v>
      </c>
      <c r="H2890" s="13">
        <v>45946</v>
      </c>
      <c r="I2890">
        <v>17500</v>
      </c>
      <c r="J2890">
        <v>5074</v>
      </c>
      <c r="K2890">
        <v>22574</v>
      </c>
      <c r="N2890">
        <v>16.666666666666664</v>
      </c>
      <c r="O2890">
        <v>7.3703000000000003</v>
      </c>
      <c r="P2890">
        <v>12.8994</v>
      </c>
      <c r="Q2890">
        <v>7</v>
      </c>
      <c r="R2890">
        <v>6.75</v>
      </c>
      <c r="S2890">
        <v>7</v>
      </c>
      <c r="T2890">
        <v>93.313518999999999</v>
      </c>
      <c r="W2890" t="s">
        <v>497</v>
      </c>
    </row>
    <row r="2891" spans="1:23" x14ac:dyDescent="0.25">
      <c r="A2891" t="s">
        <v>3334</v>
      </c>
      <c r="B2891" t="str">
        <f t="shared" si="45"/>
        <v>CG1300000649</v>
      </c>
      <c r="C2891" t="s">
        <v>229</v>
      </c>
      <c r="D2891" t="s">
        <v>77</v>
      </c>
      <c r="E2891" t="s">
        <v>287</v>
      </c>
      <c r="F2891">
        <v>113000</v>
      </c>
      <c r="G2891" s="13">
        <v>45594</v>
      </c>
      <c r="H2891" s="13">
        <v>45953</v>
      </c>
      <c r="I2891">
        <v>57000</v>
      </c>
      <c r="J2891">
        <v>56</v>
      </c>
      <c r="K2891">
        <v>57056</v>
      </c>
      <c r="N2891">
        <v>20.833333333333336</v>
      </c>
      <c r="O2891">
        <v>7.5221</v>
      </c>
      <c r="P2891">
        <v>50.491999999999997</v>
      </c>
      <c r="Q2891">
        <v>7</v>
      </c>
      <c r="R2891">
        <v>6.8</v>
      </c>
      <c r="S2891">
        <v>7</v>
      </c>
      <c r="T2891">
        <v>93.058413000000002</v>
      </c>
      <c r="W2891" t="s">
        <v>497</v>
      </c>
    </row>
    <row r="2892" spans="1:23" x14ac:dyDescent="0.25">
      <c r="A2892" t="s">
        <v>3335</v>
      </c>
      <c r="B2892" t="str">
        <f t="shared" si="45"/>
        <v>CG1300000706</v>
      </c>
      <c r="C2892" t="s">
        <v>229</v>
      </c>
      <c r="D2892" t="s">
        <v>77</v>
      </c>
      <c r="E2892" t="s">
        <v>287</v>
      </c>
      <c r="F2892">
        <v>6700</v>
      </c>
      <c r="G2892" s="13">
        <v>45595</v>
      </c>
      <c r="H2892" s="13">
        <v>45960</v>
      </c>
      <c r="I2892">
        <v>6700</v>
      </c>
      <c r="J2892">
        <v>0</v>
      </c>
      <c r="K2892">
        <v>6700</v>
      </c>
      <c r="P2892">
        <v>100</v>
      </c>
      <c r="W2892" t="s">
        <v>1264</v>
      </c>
    </row>
    <row r="2893" spans="1:23" x14ac:dyDescent="0.25">
      <c r="A2893" t="s">
        <v>3336</v>
      </c>
      <c r="B2893" t="str">
        <f t="shared" si="45"/>
        <v>GA1200002267</v>
      </c>
      <c r="C2893" t="s">
        <v>227</v>
      </c>
      <c r="D2893" t="s">
        <v>77</v>
      </c>
      <c r="E2893" t="s">
        <v>82</v>
      </c>
      <c r="F2893">
        <v>8500</v>
      </c>
      <c r="G2893" s="13">
        <v>45595</v>
      </c>
      <c r="H2893" s="13">
        <v>45779</v>
      </c>
      <c r="I2893">
        <v>1050</v>
      </c>
      <c r="J2893">
        <v>3355</v>
      </c>
      <c r="K2893">
        <v>4405</v>
      </c>
      <c r="N2893">
        <v>33.333333333333329</v>
      </c>
      <c r="O2893">
        <v>6.6258999999999997</v>
      </c>
      <c r="P2893">
        <v>56.447099999999999</v>
      </c>
      <c r="Q2893">
        <v>6.5</v>
      </c>
      <c r="R2893">
        <v>5.9</v>
      </c>
      <c r="S2893">
        <v>6.8</v>
      </c>
      <c r="T2893">
        <v>96.758820999999998</v>
      </c>
      <c r="W2893" t="s">
        <v>497</v>
      </c>
    </row>
    <row r="2894" spans="1:23" x14ac:dyDescent="0.25">
      <c r="A2894" t="s">
        <v>3337</v>
      </c>
      <c r="B2894" t="str">
        <f t="shared" si="45"/>
        <v>CG1200001440</v>
      </c>
      <c r="C2894" t="s">
        <v>229</v>
      </c>
      <c r="D2894" t="s">
        <v>77</v>
      </c>
      <c r="E2894" t="s">
        <v>82</v>
      </c>
      <c r="F2894">
        <v>75000</v>
      </c>
      <c r="G2894" s="13">
        <v>45601</v>
      </c>
      <c r="H2894" s="13">
        <v>45764</v>
      </c>
      <c r="I2894">
        <v>15000</v>
      </c>
      <c r="J2894">
        <v>17483</v>
      </c>
      <c r="K2894">
        <v>32483</v>
      </c>
      <c r="N2894">
        <v>20.833333333333336</v>
      </c>
      <c r="O2894">
        <v>7.0197000000000003</v>
      </c>
      <c r="P2894">
        <v>43.310699999999997</v>
      </c>
      <c r="Q2894">
        <v>6.99</v>
      </c>
      <c r="R2894">
        <v>6.5</v>
      </c>
      <c r="S2894">
        <v>6.99</v>
      </c>
      <c r="T2894">
        <v>96.956203000000002</v>
      </c>
      <c r="W2894" t="s">
        <v>497</v>
      </c>
    </row>
    <row r="2895" spans="1:23" x14ac:dyDescent="0.25">
      <c r="A2895" t="s">
        <v>3338</v>
      </c>
      <c r="B2895" t="str">
        <f t="shared" si="45"/>
        <v>CG1300000714</v>
      </c>
      <c r="C2895" t="s">
        <v>229</v>
      </c>
      <c r="D2895" t="s">
        <v>77</v>
      </c>
      <c r="E2895" t="s">
        <v>287</v>
      </c>
      <c r="F2895">
        <v>20000</v>
      </c>
      <c r="G2895" s="13">
        <v>45601</v>
      </c>
      <c r="H2895" s="13">
        <v>45967</v>
      </c>
      <c r="I2895">
        <v>4000</v>
      </c>
      <c r="J2895">
        <v>3900</v>
      </c>
      <c r="K2895">
        <v>7900</v>
      </c>
      <c r="N2895">
        <v>8.3333333333333321</v>
      </c>
      <c r="O2895">
        <v>7.5331999999999999</v>
      </c>
      <c r="P2895">
        <v>39.5</v>
      </c>
      <c r="Q2895">
        <v>7</v>
      </c>
      <c r="R2895">
        <v>7</v>
      </c>
      <c r="S2895">
        <v>7</v>
      </c>
      <c r="T2895">
        <v>92.922222000000005</v>
      </c>
      <c r="W2895" t="s">
        <v>497</v>
      </c>
    </row>
    <row r="2896" spans="1:23" x14ac:dyDescent="0.25">
      <c r="A2896" t="s">
        <v>3339</v>
      </c>
      <c r="B2896" t="str">
        <f t="shared" si="45"/>
        <v>GQ1300001401</v>
      </c>
      <c r="C2896" t="s">
        <v>528</v>
      </c>
      <c r="D2896" t="s">
        <v>77</v>
      </c>
      <c r="E2896" t="s">
        <v>287</v>
      </c>
      <c r="F2896">
        <v>17000</v>
      </c>
      <c r="G2896" s="13">
        <v>45601</v>
      </c>
      <c r="H2896" s="13">
        <v>45967</v>
      </c>
      <c r="I2896">
        <v>14000</v>
      </c>
      <c r="J2896">
        <v>3000</v>
      </c>
      <c r="K2896">
        <v>17000</v>
      </c>
      <c r="N2896">
        <v>15.384615384615385</v>
      </c>
      <c r="O2896">
        <v>7.3292000000000002</v>
      </c>
      <c r="P2896">
        <v>105.2294</v>
      </c>
      <c r="Q2896">
        <v>7</v>
      </c>
      <c r="R2896">
        <v>6</v>
      </c>
      <c r="S2896">
        <v>7</v>
      </c>
      <c r="T2896">
        <v>93.100654000000006</v>
      </c>
      <c r="W2896" t="s">
        <v>497</v>
      </c>
    </row>
    <row r="2897" spans="1:23" x14ac:dyDescent="0.25">
      <c r="A2897" t="s">
        <v>3340</v>
      </c>
      <c r="B2897" t="str">
        <f t="shared" si="45"/>
        <v>GA1200002275</v>
      </c>
      <c r="C2897" t="s">
        <v>227</v>
      </c>
      <c r="D2897" t="s">
        <v>77</v>
      </c>
      <c r="E2897" t="s">
        <v>82</v>
      </c>
      <c r="F2897">
        <v>9500</v>
      </c>
      <c r="G2897" s="13">
        <v>45602</v>
      </c>
      <c r="H2897" s="13">
        <v>45786</v>
      </c>
      <c r="I2897">
        <v>0</v>
      </c>
      <c r="J2897">
        <v>4252</v>
      </c>
      <c r="K2897">
        <v>4252</v>
      </c>
      <c r="N2897">
        <v>19.047619047619047</v>
      </c>
      <c r="O2897">
        <v>6.6550000000000002</v>
      </c>
      <c r="P2897">
        <v>44.757899999999999</v>
      </c>
      <c r="Q2897">
        <v>6.5</v>
      </c>
      <c r="R2897">
        <v>6.3</v>
      </c>
      <c r="S2897">
        <v>6.5</v>
      </c>
      <c r="T2897">
        <v>96.745034000000004</v>
      </c>
      <c r="W2897" t="s">
        <v>497</v>
      </c>
    </row>
    <row r="2898" spans="1:23" x14ac:dyDescent="0.25">
      <c r="A2898" t="s">
        <v>3341</v>
      </c>
      <c r="B2898" t="str">
        <f t="shared" si="45"/>
        <v>TD1200002012</v>
      </c>
      <c r="C2898" t="s">
        <v>237</v>
      </c>
      <c r="D2898" t="s">
        <v>77</v>
      </c>
      <c r="E2898" t="s">
        <v>82</v>
      </c>
      <c r="F2898">
        <v>10000</v>
      </c>
      <c r="G2898" s="13">
        <v>45602</v>
      </c>
      <c r="H2898" s="13">
        <v>45786</v>
      </c>
      <c r="I2898">
        <v>0</v>
      </c>
      <c r="J2898">
        <v>2433</v>
      </c>
      <c r="K2898">
        <v>2433</v>
      </c>
      <c r="N2898">
        <v>8.3333333333333321</v>
      </c>
      <c r="O2898">
        <v>6.9408000000000003</v>
      </c>
      <c r="P2898">
        <v>24.33</v>
      </c>
      <c r="Q2898">
        <v>6.75</v>
      </c>
      <c r="R2898">
        <v>6.3</v>
      </c>
      <c r="S2898">
        <v>6.5</v>
      </c>
      <c r="T2898">
        <v>96.609993000000003</v>
      </c>
      <c r="W2898" t="s">
        <v>497</v>
      </c>
    </row>
    <row r="2899" spans="1:23" x14ac:dyDescent="0.25">
      <c r="A2899" t="s">
        <v>3342</v>
      </c>
      <c r="B2899" t="str">
        <f t="shared" si="45"/>
        <v>CM1200001822</v>
      </c>
      <c r="C2899" t="s">
        <v>225</v>
      </c>
      <c r="D2899" t="s">
        <v>77</v>
      </c>
      <c r="E2899" t="s">
        <v>82</v>
      </c>
      <c r="F2899">
        <v>20000</v>
      </c>
      <c r="G2899" s="13">
        <v>45607</v>
      </c>
      <c r="H2899" s="13">
        <v>45791</v>
      </c>
      <c r="I2899">
        <v>17704</v>
      </c>
      <c r="J2899">
        <v>150</v>
      </c>
      <c r="K2899">
        <v>17854</v>
      </c>
      <c r="N2899">
        <v>27.27272727272727</v>
      </c>
      <c r="O2899">
        <v>6.7971000000000004</v>
      </c>
      <c r="P2899">
        <v>89.27</v>
      </c>
      <c r="Q2899">
        <v>6.6</v>
      </c>
      <c r="R2899">
        <v>6.5</v>
      </c>
      <c r="S2899">
        <v>6.6</v>
      </c>
      <c r="T2899">
        <v>96.977828000000002</v>
      </c>
      <c r="W2899" t="s">
        <v>497</v>
      </c>
    </row>
    <row r="2900" spans="1:23" x14ac:dyDescent="0.25">
      <c r="A2900" t="s">
        <v>3343</v>
      </c>
      <c r="B2900" t="str">
        <f t="shared" si="45"/>
        <v>CG1300000649</v>
      </c>
      <c r="C2900" t="s">
        <v>229</v>
      </c>
      <c r="D2900" t="s">
        <v>77</v>
      </c>
      <c r="E2900" t="s">
        <v>287</v>
      </c>
      <c r="F2900">
        <v>100000</v>
      </c>
      <c r="G2900" s="13">
        <v>45608</v>
      </c>
      <c r="H2900" s="13">
        <v>45953</v>
      </c>
      <c r="I2900">
        <v>0</v>
      </c>
      <c r="J2900">
        <v>2100</v>
      </c>
      <c r="K2900">
        <v>2100</v>
      </c>
      <c r="N2900">
        <v>4.1666666666666661</v>
      </c>
      <c r="O2900">
        <v>7.5002000000000004</v>
      </c>
      <c r="P2900">
        <v>2.1</v>
      </c>
      <c r="Q2900">
        <v>7</v>
      </c>
      <c r="R2900">
        <v>7</v>
      </c>
      <c r="S2900">
        <v>7</v>
      </c>
      <c r="T2900">
        <v>93.330556000000001</v>
      </c>
      <c r="W2900" t="s">
        <v>497</v>
      </c>
    </row>
    <row r="2901" spans="1:23" x14ac:dyDescent="0.25">
      <c r="A2901" t="s">
        <v>3344</v>
      </c>
      <c r="B2901" t="str">
        <f t="shared" si="45"/>
        <v>CG1300000722</v>
      </c>
      <c r="C2901" t="s">
        <v>229</v>
      </c>
      <c r="D2901" t="s">
        <v>77</v>
      </c>
      <c r="E2901" t="s">
        <v>287</v>
      </c>
      <c r="F2901">
        <v>82000</v>
      </c>
      <c r="G2901" s="13">
        <v>45608</v>
      </c>
      <c r="H2901" s="13">
        <v>45974</v>
      </c>
      <c r="I2901">
        <v>5000</v>
      </c>
      <c r="J2901">
        <v>5000</v>
      </c>
      <c r="K2901">
        <v>10000</v>
      </c>
      <c r="N2901">
        <v>8.3333333333333321</v>
      </c>
      <c r="O2901">
        <v>7.5331999999999999</v>
      </c>
      <c r="P2901">
        <v>12.1951</v>
      </c>
      <c r="Q2901">
        <v>7</v>
      </c>
      <c r="R2901">
        <v>7</v>
      </c>
      <c r="S2901">
        <v>7</v>
      </c>
      <c r="T2901">
        <v>92.922222000000005</v>
      </c>
      <c r="W2901" t="s">
        <v>497</v>
      </c>
    </row>
    <row r="2902" spans="1:23" x14ac:dyDescent="0.25">
      <c r="A2902" t="s">
        <v>3345</v>
      </c>
      <c r="B2902" t="str">
        <f t="shared" si="45"/>
        <v>GA1200002283</v>
      </c>
      <c r="C2902" t="s">
        <v>227</v>
      </c>
      <c r="D2902" t="s">
        <v>77</v>
      </c>
      <c r="E2902" t="s">
        <v>82</v>
      </c>
      <c r="F2902">
        <v>9500</v>
      </c>
      <c r="G2902" s="13">
        <v>45609</v>
      </c>
      <c r="H2902" s="13">
        <v>45793</v>
      </c>
      <c r="I2902">
        <v>50</v>
      </c>
      <c r="J2902">
        <v>2673</v>
      </c>
      <c r="K2902">
        <v>2723</v>
      </c>
      <c r="N2902">
        <v>19.047619047619047</v>
      </c>
      <c r="O2902">
        <v>6.8047000000000004</v>
      </c>
      <c r="P2902">
        <v>28.6632</v>
      </c>
      <c r="Q2902">
        <v>6.6</v>
      </c>
      <c r="R2902">
        <v>6</v>
      </c>
      <c r="S2902">
        <v>6.6</v>
      </c>
      <c r="T2902">
        <v>96.674250000000001</v>
      </c>
      <c r="W2902" t="s">
        <v>497</v>
      </c>
    </row>
    <row r="2903" spans="1:23" x14ac:dyDescent="0.25">
      <c r="A2903" t="s">
        <v>3346</v>
      </c>
      <c r="B2903" t="str">
        <f t="shared" si="45"/>
        <v>TD1200002020</v>
      </c>
      <c r="C2903" t="s">
        <v>237</v>
      </c>
      <c r="D2903" t="s">
        <v>77</v>
      </c>
      <c r="E2903" t="s">
        <v>82</v>
      </c>
      <c r="G2903" s="13">
        <v>45609</v>
      </c>
      <c r="H2903" s="13"/>
      <c r="J2903">
        <v>0</v>
      </c>
      <c r="N2903">
        <v>0</v>
      </c>
      <c r="T2903" t="s">
        <v>1418</v>
      </c>
      <c r="W2903" t="s">
        <v>497</v>
      </c>
    </row>
    <row r="2904" spans="1:23" x14ac:dyDescent="0.25">
      <c r="A2904" t="s">
        <v>3347</v>
      </c>
      <c r="B2904" t="str">
        <f t="shared" si="45"/>
        <v>CF1300000061</v>
      </c>
      <c r="C2904" t="s">
        <v>2406</v>
      </c>
      <c r="D2904" t="s">
        <v>77</v>
      </c>
      <c r="E2904" t="s">
        <v>287</v>
      </c>
      <c r="F2904">
        <v>7500</v>
      </c>
      <c r="G2904" s="13">
        <v>45614</v>
      </c>
      <c r="H2904" s="13">
        <v>45980</v>
      </c>
      <c r="I2904">
        <v>2409</v>
      </c>
      <c r="J2904">
        <v>1000</v>
      </c>
      <c r="K2904">
        <v>3409</v>
      </c>
      <c r="N2904">
        <v>44.444444444444443</v>
      </c>
      <c r="O2904">
        <v>7.8794000000000004</v>
      </c>
      <c r="P2904">
        <v>45.453299999999999</v>
      </c>
      <c r="Q2904">
        <v>7.5</v>
      </c>
      <c r="R2904">
        <v>7</v>
      </c>
      <c r="S2904">
        <v>7.5</v>
      </c>
      <c r="T2904">
        <v>92.620906000000005</v>
      </c>
      <c r="W2904" t="s">
        <v>875</v>
      </c>
    </row>
    <row r="2905" spans="1:23" x14ac:dyDescent="0.25">
      <c r="A2905" t="s">
        <v>3348</v>
      </c>
      <c r="B2905" t="str">
        <f t="shared" si="45"/>
        <v>CM1200001830</v>
      </c>
      <c r="C2905" t="s">
        <v>225</v>
      </c>
      <c r="D2905" t="s">
        <v>77</v>
      </c>
      <c r="E2905" t="s">
        <v>82</v>
      </c>
      <c r="F2905">
        <v>20000</v>
      </c>
      <c r="G2905" s="13">
        <v>45614</v>
      </c>
      <c r="H2905" s="13">
        <v>45798</v>
      </c>
      <c r="I2905">
        <v>19948</v>
      </c>
      <c r="J2905">
        <v>52</v>
      </c>
      <c r="K2905">
        <v>20000</v>
      </c>
      <c r="N2905">
        <v>27.27272727272727</v>
      </c>
      <c r="O2905">
        <v>6.7556000000000003</v>
      </c>
      <c r="P2905">
        <v>146.02500000000001</v>
      </c>
      <c r="Q2905">
        <v>6.6</v>
      </c>
      <c r="R2905">
        <v>6.5</v>
      </c>
      <c r="S2905">
        <v>6.6</v>
      </c>
      <c r="T2905">
        <v>96.697484000000003</v>
      </c>
      <c r="W2905" t="s">
        <v>497</v>
      </c>
    </row>
    <row r="2906" spans="1:23" x14ac:dyDescent="0.25">
      <c r="A2906" t="s">
        <v>3349</v>
      </c>
      <c r="B2906" t="str">
        <f t="shared" si="45"/>
        <v>CG1300000722</v>
      </c>
      <c r="C2906" t="s">
        <v>229</v>
      </c>
      <c r="D2906" t="s">
        <v>77</v>
      </c>
      <c r="E2906" t="s">
        <v>287</v>
      </c>
      <c r="F2906">
        <v>82000</v>
      </c>
      <c r="G2906" s="13">
        <v>45615</v>
      </c>
      <c r="H2906" s="13">
        <v>45974</v>
      </c>
      <c r="I2906">
        <v>0</v>
      </c>
      <c r="J2906">
        <v>5000</v>
      </c>
      <c r="K2906">
        <v>5000</v>
      </c>
      <c r="N2906">
        <v>4.1666666666666661</v>
      </c>
      <c r="O2906">
        <v>7.5221999999999998</v>
      </c>
      <c r="P2906">
        <v>6.0975999999999999</v>
      </c>
      <c r="Q2906">
        <v>7</v>
      </c>
      <c r="R2906">
        <v>7</v>
      </c>
      <c r="S2906">
        <v>7</v>
      </c>
      <c r="T2906">
        <v>93.058333000000005</v>
      </c>
      <c r="W2906" t="s">
        <v>497</v>
      </c>
    </row>
    <row r="2907" spans="1:23" x14ac:dyDescent="0.25">
      <c r="A2907" t="s">
        <v>3350</v>
      </c>
      <c r="B2907" t="str">
        <f t="shared" ref="B2907:B2970" si="46">MID(A2907,1,12)</f>
        <v>CG1300000730</v>
      </c>
      <c r="C2907" t="s">
        <v>229</v>
      </c>
      <c r="D2907" t="s">
        <v>77</v>
      </c>
      <c r="E2907" t="s">
        <v>287</v>
      </c>
      <c r="F2907">
        <v>15000</v>
      </c>
      <c r="G2907" s="13">
        <v>45615</v>
      </c>
      <c r="H2907" s="13">
        <v>45981</v>
      </c>
      <c r="I2907">
        <v>0</v>
      </c>
      <c r="J2907">
        <v>5000</v>
      </c>
      <c r="K2907">
        <v>5000</v>
      </c>
      <c r="N2907">
        <v>4.1666666666666661</v>
      </c>
      <c r="O2907">
        <v>7.5331999999999999</v>
      </c>
      <c r="P2907">
        <v>33.333300000000001</v>
      </c>
      <c r="Q2907">
        <v>7</v>
      </c>
      <c r="R2907">
        <v>7</v>
      </c>
      <c r="S2907">
        <v>7</v>
      </c>
      <c r="T2907">
        <v>92.922222000000005</v>
      </c>
      <c r="W2907" t="s">
        <v>497</v>
      </c>
    </row>
    <row r="2908" spans="1:23" x14ac:dyDescent="0.25">
      <c r="A2908" t="s">
        <v>3351</v>
      </c>
      <c r="B2908" t="str">
        <f t="shared" si="46"/>
        <v>GA1200002291</v>
      </c>
      <c r="C2908" t="s">
        <v>227</v>
      </c>
      <c r="D2908" t="s">
        <v>77</v>
      </c>
      <c r="E2908" t="s">
        <v>82</v>
      </c>
      <c r="F2908">
        <v>9500</v>
      </c>
      <c r="G2908" s="13">
        <v>45616</v>
      </c>
      <c r="H2908" s="13">
        <v>45800</v>
      </c>
      <c r="I2908">
        <v>1050</v>
      </c>
      <c r="J2908">
        <v>289</v>
      </c>
      <c r="K2908">
        <v>1339</v>
      </c>
      <c r="N2908">
        <v>23.809523809523807</v>
      </c>
      <c r="O2908">
        <v>6.7229000000000001</v>
      </c>
      <c r="P2908">
        <v>14.0947</v>
      </c>
      <c r="Q2908">
        <v>6.6</v>
      </c>
      <c r="R2908">
        <v>6</v>
      </c>
      <c r="S2908">
        <v>6.6</v>
      </c>
      <c r="T2908">
        <v>96.712945000000005</v>
      </c>
      <c r="W2908" t="s">
        <v>497</v>
      </c>
    </row>
    <row r="2909" spans="1:23" x14ac:dyDescent="0.25">
      <c r="A2909" t="s">
        <v>3352</v>
      </c>
      <c r="B2909" t="str">
        <f t="shared" si="46"/>
        <v>CM1200001848</v>
      </c>
      <c r="C2909" t="s">
        <v>225</v>
      </c>
      <c r="D2909" t="s">
        <v>77</v>
      </c>
      <c r="E2909" t="s">
        <v>82</v>
      </c>
      <c r="F2909">
        <v>15000</v>
      </c>
      <c r="G2909" s="13">
        <v>45621</v>
      </c>
      <c r="H2909" s="13">
        <v>45805</v>
      </c>
      <c r="I2909">
        <v>4148</v>
      </c>
      <c r="J2909">
        <v>150</v>
      </c>
      <c r="K2909">
        <v>4298</v>
      </c>
      <c r="N2909">
        <v>9.0909090909090917</v>
      </c>
      <c r="O2909">
        <v>6.8010999999999999</v>
      </c>
      <c r="P2909">
        <v>28.653300000000002</v>
      </c>
      <c r="Q2909">
        <v>6.6</v>
      </c>
      <c r="R2909">
        <v>6.5</v>
      </c>
      <c r="S2909">
        <v>6.6</v>
      </c>
      <c r="T2909">
        <v>96.675966000000003</v>
      </c>
      <c r="W2909" t="s">
        <v>497</v>
      </c>
    </row>
    <row r="2910" spans="1:23" x14ac:dyDescent="0.25">
      <c r="A2910" t="s">
        <v>3353</v>
      </c>
      <c r="B2910" t="str">
        <f t="shared" si="46"/>
        <v>CG1100000997</v>
      </c>
      <c r="C2910" t="s">
        <v>229</v>
      </c>
      <c r="D2910" t="s">
        <v>77</v>
      </c>
      <c r="E2910" t="s">
        <v>78</v>
      </c>
      <c r="F2910">
        <v>25000</v>
      </c>
      <c r="G2910" s="13">
        <v>45622</v>
      </c>
      <c r="H2910" s="13">
        <v>45715</v>
      </c>
      <c r="I2910">
        <v>15000</v>
      </c>
      <c r="J2910">
        <v>10000</v>
      </c>
      <c r="K2910">
        <v>25000</v>
      </c>
      <c r="N2910">
        <v>12.5</v>
      </c>
      <c r="O2910">
        <v>6.5776000000000003</v>
      </c>
      <c r="P2910">
        <v>100</v>
      </c>
      <c r="Q2910">
        <v>6.75</v>
      </c>
      <c r="R2910">
        <v>6.3</v>
      </c>
      <c r="S2910">
        <v>6.75</v>
      </c>
      <c r="T2910">
        <v>98.364528000000007</v>
      </c>
      <c r="W2910" t="s">
        <v>497</v>
      </c>
    </row>
    <row r="2911" spans="1:23" x14ac:dyDescent="0.25">
      <c r="A2911" t="s">
        <v>3354</v>
      </c>
      <c r="B2911" t="str">
        <f t="shared" si="46"/>
        <v>CG1200001457</v>
      </c>
      <c r="C2911" t="s">
        <v>229</v>
      </c>
      <c r="D2911" t="s">
        <v>77</v>
      </c>
      <c r="E2911" t="s">
        <v>82</v>
      </c>
      <c r="F2911">
        <v>25000</v>
      </c>
      <c r="G2911" s="13">
        <v>45622</v>
      </c>
      <c r="H2911" s="13">
        <v>45806</v>
      </c>
      <c r="I2911">
        <v>5000</v>
      </c>
      <c r="J2911">
        <v>53</v>
      </c>
      <c r="K2911">
        <v>5053</v>
      </c>
      <c r="N2911">
        <v>8.3333333333333321</v>
      </c>
      <c r="O2911">
        <v>6.7152000000000003</v>
      </c>
      <c r="P2911">
        <v>20.212</v>
      </c>
      <c r="Q2911">
        <v>6.5</v>
      </c>
      <c r="R2911">
        <v>6</v>
      </c>
      <c r="S2911">
        <v>6.5</v>
      </c>
      <c r="T2911">
        <v>96.716539999999995</v>
      </c>
      <c r="W2911" t="s">
        <v>497</v>
      </c>
    </row>
    <row r="2912" spans="1:23" x14ac:dyDescent="0.25">
      <c r="A2912" t="s">
        <v>3355</v>
      </c>
      <c r="B2912" t="str">
        <f t="shared" si="46"/>
        <v>CG1300000730</v>
      </c>
      <c r="C2912" t="s">
        <v>229</v>
      </c>
      <c r="D2912" t="s">
        <v>77</v>
      </c>
      <c r="E2912" t="s">
        <v>287</v>
      </c>
      <c r="F2912">
        <v>15000</v>
      </c>
      <c r="G2912" s="13">
        <v>45622</v>
      </c>
      <c r="H2912" s="13">
        <v>45981</v>
      </c>
      <c r="I2912">
        <v>5577</v>
      </c>
      <c r="J2912">
        <v>4291</v>
      </c>
      <c r="K2912">
        <v>9868</v>
      </c>
      <c r="N2912">
        <v>8.3333333333333321</v>
      </c>
      <c r="O2912">
        <v>7.5221999999999998</v>
      </c>
      <c r="P2912">
        <v>65.786699999999996</v>
      </c>
      <c r="Q2912">
        <v>7</v>
      </c>
      <c r="R2912">
        <v>7</v>
      </c>
      <c r="S2912">
        <v>7</v>
      </c>
      <c r="T2912">
        <v>93.058333000000005</v>
      </c>
      <c r="W2912" t="s">
        <v>497</v>
      </c>
    </row>
    <row r="2913" spans="1:23" x14ac:dyDescent="0.25">
      <c r="A2913" t="s">
        <v>3356</v>
      </c>
      <c r="B2913" t="str">
        <f t="shared" si="46"/>
        <v>GQ1300001419</v>
      </c>
      <c r="C2913" t="s">
        <v>528</v>
      </c>
      <c r="D2913" t="s">
        <v>77</v>
      </c>
      <c r="E2913" t="s">
        <v>287</v>
      </c>
      <c r="F2913">
        <v>10000</v>
      </c>
      <c r="G2913" s="13">
        <v>45622</v>
      </c>
      <c r="H2913" s="13">
        <v>45988</v>
      </c>
      <c r="I2913">
        <v>5176</v>
      </c>
      <c r="J2913">
        <v>4824</v>
      </c>
      <c r="K2913">
        <v>10000</v>
      </c>
      <c r="N2913">
        <v>30.76923076923077</v>
      </c>
      <c r="O2913">
        <v>7.1448999999999998</v>
      </c>
      <c r="P2913">
        <v>116.7</v>
      </c>
      <c r="Q2913">
        <v>6.95</v>
      </c>
      <c r="R2913">
        <v>6.5</v>
      </c>
      <c r="S2913">
        <v>7</v>
      </c>
      <c r="T2913">
        <v>93.262440999999995</v>
      </c>
      <c r="W2913" t="s">
        <v>497</v>
      </c>
    </row>
    <row r="2914" spans="1:23" x14ac:dyDescent="0.25">
      <c r="A2914" t="s">
        <v>3357</v>
      </c>
      <c r="B2914" t="str">
        <f t="shared" si="46"/>
        <v>GA1200002309</v>
      </c>
      <c r="C2914" t="s">
        <v>227</v>
      </c>
      <c r="D2914" t="s">
        <v>77</v>
      </c>
      <c r="E2914" t="s">
        <v>82</v>
      </c>
      <c r="F2914">
        <v>14000</v>
      </c>
      <c r="G2914" s="13">
        <v>45623</v>
      </c>
      <c r="H2914" s="13">
        <v>45807</v>
      </c>
      <c r="I2914">
        <v>9480</v>
      </c>
      <c r="J2914">
        <v>2950</v>
      </c>
      <c r="K2914">
        <v>12430</v>
      </c>
      <c r="N2914">
        <v>23.809523809523807</v>
      </c>
      <c r="O2914">
        <v>6.7962999999999996</v>
      </c>
      <c r="P2914">
        <v>88.785700000000006</v>
      </c>
      <c r="Q2914">
        <v>6.6</v>
      </c>
      <c r="R2914">
        <v>6.3</v>
      </c>
      <c r="S2914">
        <v>6.6</v>
      </c>
      <c r="T2914">
        <v>96.678218999999999</v>
      </c>
      <c r="W2914" t="s">
        <v>497</v>
      </c>
    </row>
    <row r="2915" spans="1:23" x14ac:dyDescent="0.25">
      <c r="A2915" t="s">
        <v>3358</v>
      </c>
      <c r="B2915" t="str">
        <f t="shared" si="46"/>
        <v>CM1200001855</v>
      </c>
      <c r="C2915" t="s">
        <v>225</v>
      </c>
      <c r="D2915" t="s">
        <v>77</v>
      </c>
      <c r="E2915" t="s">
        <v>82</v>
      </c>
      <c r="F2915">
        <v>20000</v>
      </c>
      <c r="G2915" s="13">
        <v>45628</v>
      </c>
      <c r="H2915" s="13">
        <v>45812</v>
      </c>
      <c r="I2915">
        <v>15000</v>
      </c>
      <c r="J2915">
        <v>150</v>
      </c>
      <c r="K2915">
        <v>15150</v>
      </c>
      <c r="N2915">
        <v>9.0909090909090917</v>
      </c>
      <c r="O2915">
        <v>7.1462000000000003</v>
      </c>
      <c r="P2915">
        <v>75.75</v>
      </c>
      <c r="Q2915">
        <v>6.9</v>
      </c>
      <c r="R2915">
        <v>6.6</v>
      </c>
      <c r="S2915">
        <v>6.9</v>
      </c>
      <c r="T2915">
        <v>96.513167999999993</v>
      </c>
      <c r="W2915" t="s">
        <v>497</v>
      </c>
    </row>
    <row r="2916" spans="1:23" x14ac:dyDescent="0.25">
      <c r="A2916" t="s">
        <v>3359</v>
      </c>
      <c r="B2916" t="str">
        <f t="shared" si="46"/>
        <v>GA1200002317</v>
      </c>
      <c r="C2916" t="s">
        <v>227</v>
      </c>
      <c r="D2916" t="s">
        <v>77</v>
      </c>
      <c r="E2916" t="s">
        <v>82</v>
      </c>
      <c r="F2916">
        <v>9500</v>
      </c>
      <c r="G2916" s="13">
        <v>45630</v>
      </c>
      <c r="H2916" s="13">
        <v>45814</v>
      </c>
      <c r="I2916">
        <v>0</v>
      </c>
      <c r="J2916">
        <v>2127</v>
      </c>
      <c r="K2916">
        <v>2127</v>
      </c>
      <c r="N2916">
        <v>14.285714285714285</v>
      </c>
      <c r="O2916">
        <v>6.8139000000000003</v>
      </c>
      <c r="P2916">
        <v>23.4421</v>
      </c>
      <c r="Q2916">
        <v>6.6</v>
      </c>
      <c r="R2916">
        <v>6</v>
      </c>
      <c r="S2916">
        <v>6.7</v>
      </c>
      <c r="T2916">
        <v>96.669916999999998</v>
      </c>
      <c r="W2916" t="s">
        <v>497</v>
      </c>
    </row>
    <row r="2917" spans="1:23" x14ac:dyDescent="0.25">
      <c r="A2917" t="s">
        <v>3360</v>
      </c>
      <c r="B2917" t="str">
        <f t="shared" si="46"/>
        <v>CF1300000046</v>
      </c>
      <c r="C2917" t="s">
        <v>2406</v>
      </c>
      <c r="D2917" t="s">
        <v>77</v>
      </c>
      <c r="E2917" t="s">
        <v>287</v>
      </c>
      <c r="F2917">
        <v>3000</v>
      </c>
      <c r="G2917" s="13">
        <v>45635</v>
      </c>
      <c r="H2917" s="13">
        <v>45721</v>
      </c>
      <c r="I2917">
        <v>2800</v>
      </c>
      <c r="J2917">
        <v>0</v>
      </c>
      <c r="K2917">
        <v>2800</v>
      </c>
      <c r="N2917">
        <v>11.111111111111111</v>
      </c>
      <c r="O2917">
        <v>8.1522000000000006</v>
      </c>
      <c r="P2917">
        <v>93.333299999999994</v>
      </c>
      <c r="Q2917">
        <v>8</v>
      </c>
      <c r="R2917">
        <v>8</v>
      </c>
      <c r="S2917">
        <v>8</v>
      </c>
      <c r="T2917">
        <v>98.133332999999993</v>
      </c>
      <c r="W2917" t="s">
        <v>681</v>
      </c>
    </row>
    <row r="2918" spans="1:23" x14ac:dyDescent="0.25">
      <c r="A2918" t="s">
        <v>3361</v>
      </c>
      <c r="B2918" t="str">
        <f t="shared" si="46"/>
        <v>CM1100001112</v>
      </c>
      <c r="C2918" t="s">
        <v>225</v>
      </c>
      <c r="D2918" t="s">
        <v>77</v>
      </c>
      <c r="E2918" t="s">
        <v>78</v>
      </c>
      <c r="F2918">
        <v>35500</v>
      </c>
      <c r="G2918" s="13">
        <v>45635</v>
      </c>
      <c r="H2918" s="13">
        <v>45728</v>
      </c>
      <c r="I2918">
        <v>35427</v>
      </c>
      <c r="J2918">
        <v>0</v>
      </c>
      <c r="K2918">
        <v>35427</v>
      </c>
      <c r="N2918">
        <v>13.636363636363635</v>
      </c>
      <c r="O2918">
        <v>6.4020000000000001</v>
      </c>
      <c r="P2918">
        <v>99.794399999999996</v>
      </c>
      <c r="Q2918">
        <v>6.3</v>
      </c>
      <c r="R2918">
        <v>6.3</v>
      </c>
      <c r="S2918">
        <v>6.3</v>
      </c>
      <c r="T2918">
        <v>98.407499999999999</v>
      </c>
      <c r="W2918" t="s">
        <v>497</v>
      </c>
    </row>
    <row r="2919" spans="1:23" x14ac:dyDescent="0.25">
      <c r="A2919" t="s">
        <v>3362</v>
      </c>
      <c r="B2919" t="str">
        <f t="shared" si="46"/>
        <v>CM1200001863</v>
      </c>
      <c r="C2919" t="s">
        <v>225</v>
      </c>
      <c r="D2919" t="s">
        <v>77</v>
      </c>
      <c r="E2919" t="s">
        <v>82</v>
      </c>
      <c r="F2919">
        <v>89500</v>
      </c>
      <c r="G2919" s="13">
        <v>45635</v>
      </c>
      <c r="H2919" s="13">
        <v>45819</v>
      </c>
      <c r="I2919">
        <v>58156</v>
      </c>
      <c r="J2919">
        <v>0</v>
      </c>
      <c r="K2919">
        <v>58156</v>
      </c>
      <c r="N2919">
        <v>13.636363636363635</v>
      </c>
      <c r="O2919">
        <v>6.7209000000000003</v>
      </c>
      <c r="P2919">
        <v>64.978800000000007</v>
      </c>
      <c r="Q2919">
        <v>6.5</v>
      </c>
      <c r="R2919">
        <v>6.5</v>
      </c>
      <c r="S2919">
        <v>6.5</v>
      </c>
      <c r="T2919">
        <v>96.713888999999995</v>
      </c>
      <c r="W2919" t="s">
        <v>497</v>
      </c>
    </row>
    <row r="2920" spans="1:23" x14ac:dyDescent="0.25">
      <c r="A2920" t="s">
        <v>3363</v>
      </c>
      <c r="B2920" t="str">
        <f t="shared" si="46"/>
        <v>CM1300000765</v>
      </c>
      <c r="C2920" t="s">
        <v>225</v>
      </c>
      <c r="D2920" t="s">
        <v>77</v>
      </c>
      <c r="E2920" t="s">
        <v>287</v>
      </c>
      <c r="F2920">
        <v>25000</v>
      </c>
      <c r="G2920" s="13">
        <v>45635</v>
      </c>
      <c r="H2920" s="13">
        <v>46001</v>
      </c>
      <c r="I2920">
        <v>24919</v>
      </c>
      <c r="J2920">
        <v>0</v>
      </c>
      <c r="K2920">
        <v>24919</v>
      </c>
      <c r="N2920">
        <v>13.636363636363635</v>
      </c>
      <c r="O2920">
        <v>7.1868999999999996</v>
      </c>
      <c r="P2920">
        <v>99.676000000000002</v>
      </c>
      <c r="Q2920">
        <v>6.7</v>
      </c>
      <c r="R2920">
        <v>6.7</v>
      </c>
      <c r="S2920">
        <v>6.7</v>
      </c>
      <c r="T2920">
        <v>93.225555999999997</v>
      </c>
      <c r="W2920" t="s">
        <v>497</v>
      </c>
    </row>
    <row r="2921" spans="1:23" x14ac:dyDescent="0.25">
      <c r="A2921" t="s">
        <v>3364</v>
      </c>
      <c r="B2921" t="str">
        <f t="shared" si="46"/>
        <v>CG1100001003</v>
      </c>
      <c r="C2921" t="s">
        <v>229</v>
      </c>
      <c r="D2921" t="s">
        <v>77</v>
      </c>
      <c r="E2921" t="s">
        <v>78</v>
      </c>
      <c r="F2921">
        <v>25000</v>
      </c>
      <c r="G2921" s="13">
        <v>45636</v>
      </c>
      <c r="H2921" s="13">
        <v>45729</v>
      </c>
      <c r="I2921">
        <v>13</v>
      </c>
      <c r="J2921">
        <v>0</v>
      </c>
      <c r="K2921">
        <v>13</v>
      </c>
      <c r="N2921">
        <v>4.1666666666666661</v>
      </c>
      <c r="O2921">
        <v>6.6086</v>
      </c>
      <c r="P2921">
        <v>5.1999999999999998E-2</v>
      </c>
      <c r="Q2921">
        <v>6.5</v>
      </c>
      <c r="R2921">
        <v>6.5</v>
      </c>
      <c r="S2921">
        <v>6.5</v>
      </c>
      <c r="T2921">
        <v>98.359644000000003</v>
      </c>
      <c r="W2921" t="s">
        <v>497</v>
      </c>
    </row>
    <row r="2922" spans="1:23" x14ac:dyDescent="0.25">
      <c r="A2922" t="s">
        <v>3365</v>
      </c>
      <c r="B2922" t="str">
        <f t="shared" si="46"/>
        <v>CG1200001465</v>
      </c>
      <c r="C2922" t="s">
        <v>229</v>
      </c>
      <c r="D2922" t="s">
        <v>77</v>
      </c>
      <c r="E2922" t="s">
        <v>82</v>
      </c>
      <c r="F2922">
        <v>25000</v>
      </c>
      <c r="G2922" s="13">
        <v>45636</v>
      </c>
      <c r="H2922" s="13">
        <v>45820</v>
      </c>
      <c r="I2922">
        <v>0</v>
      </c>
      <c r="J2922">
        <v>265</v>
      </c>
      <c r="K2922">
        <v>265</v>
      </c>
      <c r="N2922">
        <v>8.3333333333333321</v>
      </c>
      <c r="O2922">
        <v>6.6905999999999999</v>
      </c>
      <c r="P2922">
        <v>1.06</v>
      </c>
      <c r="Q2922">
        <v>6.5</v>
      </c>
      <c r="R2922">
        <v>6</v>
      </c>
      <c r="S2922">
        <v>6.5</v>
      </c>
      <c r="T2922">
        <v>96.728196999999994</v>
      </c>
      <c r="W2922" t="s">
        <v>497</v>
      </c>
    </row>
    <row r="2923" spans="1:23" x14ac:dyDescent="0.25">
      <c r="A2923" t="s">
        <v>3366</v>
      </c>
      <c r="B2923" t="str">
        <f t="shared" si="46"/>
        <v>CG1300000581</v>
      </c>
      <c r="C2923" t="s">
        <v>229</v>
      </c>
      <c r="D2923" t="s">
        <v>77</v>
      </c>
      <c r="E2923" t="s">
        <v>287</v>
      </c>
      <c r="F2923">
        <v>25000</v>
      </c>
      <c r="G2923" s="13">
        <v>45636</v>
      </c>
      <c r="H2923" s="13">
        <v>45897</v>
      </c>
      <c r="I2923">
        <v>63</v>
      </c>
      <c r="J2923">
        <v>780</v>
      </c>
      <c r="K2923">
        <v>843</v>
      </c>
      <c r="N2923">
        <v>8.3333333333333321</v>
      </c>
      <c r="O2923">
        <v>6.7377000000000002</v>
      </c>
      <c r="P2923">
        <v>3.3719999999999999</v>
      </c>
      <c r="Q2923">
        <v>6.75</v>
      </c>
      <c r="R2923">
        <v>6.4</v>
      </c>
      <c r="S2923">
        <v>6.75</v>
      </c>
      <c r="T2923">
        <v>95.376737000000006</v>
      </c>
      <c r="W2923" t="s">
        <v>497</v>
      </c>
    </row>
    <row r="2924" spans="1:23" x14ac:dyDescent="0.25">
      <c r="A2924" t="s">
        <v>3367</v>
      </c>
      <c r="B2924" t="str">
        <f t="shared" si="46"/>
        <v>GA1200002325</v>
      </c>
      <c r="C2924" t="s">
        <v>227</v>
      </c>
      <c r="D2924" t="s">
        <v>77</v>
      </c>
      <c r="E2924" t="s">
        <v>82</v>
      </c>
      <c r="F2924">
        <v>9000</v>
      </c>
      <c r="G2924" s="13">
        <v>45637</v>
      </c>
      <c r="H2924" s="13">
        <v>45821</v>
      </c>
      <c r="I2924">
        <v>2500</v>
      </c>
      <c r="J2924">
        <v>0</v>
      </c>
      <c r="K2924">
        <v>2500</v>
      </c>
      <c r="N2924">
        <v>28.571428571428569</v>
      </c>
      <c r="O2924">
        <v>6.3921000000000001</v>
      </c>
      <c r="P2924">
        <v>28.5778</v>
      </c>
      <c r="Q2924">
        <v>6.3</v>
      </c>
      <c r="R2924">
        <v>6.15</v>
      </c>
      <c r="S2924">
        <v>6.5</v>
      </c>
      <c r="T2924">
        <v>96.869600000000005</v>
      </c>
      <c r="W2924" t="s">
        <v>497</v>
      </c>
    </row>
    <row r="2925" spans="1:23" x14ac:dyDescent="0.25">
      <c r="A2925" t="s">
        <v>3368</v>
      </c>
      <c r="B2925" t="str">
        <f t="shared" si="46"/>
        <v>CM1200001863</v>
      </c>
      <c r="C2925" t="s">
        <v>225</v>
      </c>
      <c r="D2925" t="s">
        <v>77</v>
      </c>
      <c r="E2925" t="s">
        <v>82</v>
      </c>
      <c r="F2925">
        <v>30000</v>
      </c>
      <c r="G2925" s="13">
        <v>45642</v>
      </c>
      <c r="H2925" s="13">
        <v>45819</v>
      </c>
      <c r="I2925">
        <v>20075</v>
      </c>
      <c r="J2925">
        <v>0</v>
      </c>
      <c r="K2925">
        <v>20075</v>
      </c>
      <c r="N2925">
        <v>4.5454545454545459</v>
      </c>
      <c r="O2925">
        <v>6.7121000000000004</v>
      </c>
      <c r="P2925">
        <v>66.916700000000006</v>
      </c>
      <c r="Q2925">
        <v>6.5</v>
      </c>
      <c r="R2925">
        <v>6.5</v>
      </c>
      <c r="S2925">
        <v>6.5</v>
      </c>
      <c r="T2925">
        <v>96.840277999999998</v>
      </c>
      <c r="W2925" t="s">
        <v>875</v>
      </c>
    </row>
    <row r="2926" spans="1:23" x14ac:dyDescent="0.25">
      <c r="A2926" t="s">
        <v>3369</v>
      </c>
      <c r="B2926" t="str">
        <f t="shared" si="46"/>
        <v>CM1200001871</v>
      </c>
      <c r="C2926" t="s">
        <v>225</v>
      </c>
      <c r="D2926" t="s">
        <v>77</v>
      </c>
      <c r="E2926" t="s">
        <v>82</v>
      </c>
      <c r="F2926">
        <v>20000</v>
      </c>
      <c r="G2926" s="13">
        <v>45642</v>
      </c>
      <c r="H2926" s="13">
        <v>45826</v>
      </c>
      <c r="I2926">
        <v>14146</v>
      </c>
      <c r="J2926">
        <v>500</v>
      </c>
      <c r="K2926">
        <v>14646</v>
      </c>
      <c r="N2926">
        <v>18.181818181818183</v>
      </c>
      <c r="O2926">
        <v>7.0738000000000003</v>
      </c>
      <c r="P2926">
        <v>73.23</v>
      </c>
      <c r="Q2926">
        <v>6.95</v>
      </c>
      <c r="R2926">
        <v>6.35</v>
      </c>
      <c r="S2926">
        <v>6.95</v>
      </c>
      <c r="T2926">
        <v>96.547275999999997</v>
      </c>
      <c r="W2926" t="s">
        <v>875</v>
      </c>
    </row>
    <row r="2927" spans="1:23" x14ac:dyDescent="0.25">
      <c r="A2927" t="s">
        <v>3370</v>
      </c>
      <c r="B2927" t="str">
        <f t="shared" si="46"/>
        <v>CM1300000773</v>
      </c>
      <c r="C2927" t="s">
        <v>225</v>
      </c>
      <c r="D2927" t="s">
        <v>77</v>
      </c>
      <c r="E2927" t="s">
        <v>287</v>
      </c>
      <c r="F2927">
        <v>10000</v>
      </c>
      <c r="G2927" s="13">
        <v>45642</v>
      </c>
      <c r="H2927" s="13">
        <v>46008</v>
      </c>
      <c r="J2927">
        <v>0</v>
      </c>
      <c r="N2927">
        <v>0</v>
      </c>
      <c r="T2927" t="s">
        <v>750</v>
      </c>
      <c r="W2927" t="s">
        <v>875</v>
      </c>
    </row>
    <row r="2928" spans="1:23" x14ac:dyDescent="0.25">
      <c r="A2928" t="s">
        <v>3371</v>
      </c>
      <c r="B2928" t="str">
        <f t="shared" si="46"/>
        <v>CG1100001003</v>
      </c>
      <c r="C2928" t="s">
        <v>229</v>
      </c>
      <c r="D2928" t="s">
        <v>77</v>
      </c>
      <c r="E2928" t="s">
        <v>78</v>
      </c>
      <c r="F2928">
        <v>15000</v>
      </c>
      <c r="G2928" s="13">
        <v>45643</v>
      </c>
      <c r="H2928" s="13">
        <v>45729</v>
      </c>
      <c r="I2928">
        <v>10000</v>
      </c>
      <c r="J2928">
        <v>100</v>
      </c>
      <c r="K2928">
        <v>10100</v>
      </c>
      <c r="N2928">
        <v>12.5</v>
      </c>
      <c r="O2928">
        <v>6.3940000000000001</v>
      </c>
      <c r="P2928">
        <v>67.333299999999994</v>
      </c>
      <c r="Q2928">
        <v>6.3</v>
      </c>
      <c r="R2928">
        <v>6.3</v>
      </c>
      <c r="S2928">
        <v>6.3</v>
      </c>
      <c r="T2928">
        <v>98.53</v>
      </c>
      <c r="W2928" t="s">
        <v>497</v>
      </c>
    </row>
    <row r="2929" spans="1:23" x14ac:dyDescent="0.25">
      <c r="A2929" t="s">
        <v>3372</v>
      </c>
      <c r="B2929" t="str">
        <f t="shared" si="46"/>
        <v>CG1200001465</v>
      </c>
      <c r="C2929" t="s">
        <v>229</v>
      </c>
      <c r="D2929" t="s">
        <v>77</v>
      </c>
      <c r="E2929" t="s">
        <v>82</v>
      </c>
      <c r="F2929">
        <v>15000</v>
      </c>
      <c r="G2929" s="13">
        <v>45643</v>
      </c>
      <c r="H2929" s="13">
        <v>45997</v>
      </c>
      <c r="J2929">
        <v>0</v>
      </c>
      <c r="N2929">
        <v>0</v>
      </c>
      <c r="T2929" t="s">
        <v>1418</v>
      </c>
      <c r="W2929" t="s">
        <v>497</v>
      </c>
    </row>
    <row r="2930" spans="1:23" x14ac:dyDescent="0.25">
      <c r="A2930" t="s">
        <v>3373</v>
      </c>
      <c r="B2930" t="str">
        <f t="shared" si="46"/>
        <v>GQ1300001427</v>
      </c>
      <c r="C2930" t="s">
        <v>528</v>
      </c>
      <c r="D2930" t="s">
        <v>77</v>
      </c>
      <c r="E2930" t="s">
        <v>287</v>
      </c>
      <c r="F2930">
        <v>20000</v>
      </c>
      <c r="G2930" s="13">
        <v>45643</v>
      </c>
      <c r="H2930" s="13">
        <v>46009</v>
      </c>
      <c r="I2930">
        <v>19523</v>
      </c>
      <c r="J2930">
        <v>477</v>
      </c>
      <c r="K2930">
        <v>20000</v>
      </c>
      <c r="N2930">
        <v>30.76923076923077</v>
      </c>
      <c r="O2930">
        <v>7.4436999999999998</v>
      </c>
      <c r="P2930">
        <v>182.41</v>
      </c>
      <c r="Q2930">
        <v>7</v>
      </c>
      <c r="R2930">
        <v>6.2</v>
      </c>
      <c r="S2930">
        <v>7</v>
      </c>
      <c r="T2930">
        <v>93.000394</v>
      </c>
      <c r="W2930" t="s">
        <v>497</v>
      </c>
    </row>
    <row r="2931" spans="1:23" x14ac:dyDescent="0.25">
      <c r="A2931" t="s">
        <v>3374</v>
      </c>
      <c r="B2931" t="str">
        <f t="shared" si="46"/>
        <v>GA1200002176</v>
      </c>
      <c r="C2931" t="s">
        <v>227</v>
      </c>
      <c r="D2931" t="s">
        <v>77</v>
      </c>
      <c r="E2931" t="s">
        <v>82</v>
      </c>
      <c r="F2931">
        <v>12500</v>
      </c>
      <c r="G2931" s="13">
        <v>45644</v>
      </c>
      <c r="H2931" s="13">
        <v>45681</v>
      </c>
      <c r="I2931">
        <v>12500</v>
      </c>
      <c r="J2931">
        <v>0</v>
      </c>
      <c r="K2931">
        <v>12500</v>
      </c>
      <c r="N2931">
        <v>9.5238095238095237</v>
      </c>
      <c r="O2931">
        <v>6.1364000000000001</v>
      </c>
      <c r="P2931">
        <v>100</v>
      </c>
      <c r="Q2931">
        <v>6.1</v>
      </c>
      <c r="R2931">
        <v>6.1</v>
      </c>
      <c r="S2931">
        <v>6.1</v>
      </c>
      <c r="T2931">
        <v>99.406943999999996</v>
      </c>
      <c r="W2931" t="s">
        <v>497</v>
      </c>
    </row>
    <row r="2932" spans="1:23" x14ac:dyDescent="0.25">
      <c r="A2932" t="s">
        <v>3375</v>
      </c>
      <c r="B2932" t="str">
        <f t="shared" si="46"/>
        <v>GA1200002184</v>
      </c>
      <c r="C2932" t="s">
        <v>227</v>
      </c>
      <c r="D2932" t="s">
        <v>77</v>
      </c>
      <c r="E2932" t="s">
        <v>82</v>
      </c>
      <c r="F2932">
        <v>12500</v>
      </c>
      <c r="G2932" s="13">
        <v>45644</v>
      </c>
      <c r="H2932" s="13">
        <v>45688</v>
      </c>
      <c r="I2932">
        <v>12500</v>
      </c>
      <c r="J2932">
        <v>0</v>
      </c>
      <c r="K2932">
        <v>12500</v>
      </c>
      <c r="N2932">
        <v>9.5238095238095237</v>
      </c>
      <c r="O2932">
        <v>6.1436999999999999</v>
      </c>
      <c r="P2932">
        <v>100</v>
      </c>
      <c r="Q2932">
        <v>6.1</v>
      </c>
      <c r="R2932">
        <v>6.1</v>
      </c>
      <c r="S2932">
        <v>6.1</v>
      </c>
      <c r="T2932">
        <v>99.288332999999994</v>
      </c>
      <c r="W2932" t="s">
        <v>497</v>
      </c>
    </row>
    <row r="2933" spans="1:23" x14ac:dyDescent="0.25">
      <c r="A2933" t="s">
        <v>3376</v>
      </c>
      <c r="B2933" t="str">
        <f t="shared" si="46"/>
        <v>GA1200002333</v>
      </c>
      <c r="C2933" t="s">
        <v>227</v>
      </c>
      <c r="D2933" t="s">
        <v>77</v>
      </c>
      <c r="E2933" t="s">
        <v>82</v>
      </c>
      <c r="F2933">
        <v>9000</v>
      </c>
      <c r="G2933" s="13">
        <v>45644</v>
      </c>
      <c r="H2933" s="13">
        <v>45828</v>
      </c>
      <c r="J2933">
        <v>0</v>
      </c>
      <c r="N2933">
        <v>0</v>
      </c>
      <c r="T2933" t="s">
        <v>750</v>
      </c>
      <c r="W2933" t="s">
        <v>497</v>
      </c>
    </row>
    <row r="2934" spans="1:23" x14ac:dyDescent="0.25">
      <c r="A2934" t="s">
        <v>3377</v>
      </c>
      <c r="B2934" t="str">
        <f t="shared" si="46"/>
        <v>TD1200002038</v>
      </c>
      <c r="C2934" t="s">
        <v>237</v>
      </c>
      <c r="D2934" t="s">
        <v>77</v>
      </c>
      <c r="E2934" t="s">
        <v>82</v>
      </c>
      <c r="F2934">
        <v>10000</v>
      </c>
      <c r="G2934" s="13">
        <v>45644</v>
      </c>
      <c r="H2934" s="13">
        <v>45828</v>
      </c>
      <c r="I2934">
        <v>9965</v>
      </c>
      <c r="J2934">
        <v>35</v>
      </c>
      <c r="K2934">
        <v>10000</v>
      </c>
      <c r="N2934">
        <v>16.666666666666664</v>
      </c>
      <c r="O2934">
        <v>6.9874999999999998</v>
      </c>
      <c r="P2934">
        <v>119.55</v>
      </c>
      <c r="Q2934">
        <v>6.75</v>
      </c>
      <c r="R2934">
        <v>6.5</v>
      </c>
      <c r="S2934">
        <v>6.75</v>
      </c>
      <c r="T2934">
        <v>96.587941999999998</v>
      </c>
      <c r="W2934" t="s">
        <v>497</v>
      </c>
    </row>
    <row r="2935" spans="1:23" x14ac:dyDescent="0.25">
      <c r="A2935" t="s">
        <v>3378</v>
      </c>
      <c r="B2935" t="str">
        <f t="shared" si="46"/>
        <v>CM1300000781</v>
      </c>
      <c r="C2935" t="s">
        <v>225</v>
      </c>
      <c r="D2935" t="s">
        <v>77</v>
      </c>
      <c r="E2935" t="s">
        <v>287</v>
      </c>
      <c r="F2935">
        <v>20000</v>
      </c>
      <c r="G2935" s="13">
        <v>45649</v>
      </c>
      <c r="H2935" s="13">
        <v>46015</v>
      </c>
      <c r="I2935">
        <v>3000</v>
      </c>
      <c r="J2935">
        <v>0</v>
      </c>
      <c r="K2935">
        <v>3000</v>
      </c>
      <c r="N2935">
        <v>9.0909090909090917</v>
      </c>
      <c r="O2935">
        <v>6.7476000000000003</v>
      </c>
      <c r="P2935">
        <v>16.844999999999999</v>
      </c>
      <c r="Q2935">
        <v>6.55</v>
      </c>
      <c r="R2935">
        <v>5.75</v>
      </c>
      <c r="S2935">
        <v>6.8</v>
      </c>
      <c r="T2935">
        <v>93.613147999999995</v>
      </c>
      <c r="W2935" t="s">
        <v>497</v>
      </c>
    </row>
    <row r="2936" spans="1:23" x14ac:dyDescent="0.25">
      <c r="A2936" t="s">
        <v>3372</v>
      </c>
      <c r="B2936" t="str">
        <f t="shared" si="46"/>
        <v>CG1200001465</v>
      </c>
      <c r="C2936" t="s">
        <v>229</v>
      </c>
      <c r="D2936" t="s">
        <v>77</v>
      </c>
      <c r="E2936" t="s">
        <v>82</v>
      </c>
      <c r="F2936">
        <v>15000</v>
      </c>
      <c r="G2936" s="13">
        <v>45650</v>
      </c>
      <c r="H2936" s="13">
        <v>45820</v>
      </c>
      <c r="J2936">
        <v>0</v>
      </c>
      <c r="N2936">
        <v>0</v>
      </c>
      <c r="T2936" t="s">
        <v>1418</v>
      </c>
      <c r="W2936" t="s">
        <v>497</v>
      </c>
    </row>
    <row r="2937" spans="1:23" x14ac:dyDescent="0.25">
      <c r="A2937" t="s">
        <v>3379</v>
      </c>
      <c r="B2937" t="str">
        <f t="shared" si="46"/>
        <v>CG1300000805</v>
      </c>
      <c r="C2937" t="s">
        <v>229</v>
      </c>
      <c r="D2937" t="s">
        <v>77</v>
      </c>
      <c r="E2937" t="s">
        <v>287</v>
      </c>
      <c r="F2937">
        <v>15000</v>
      </c>
      <c r="G2937" s="13">
        <v>45650</v>
      </c>
      <c r="H2937" s="13">
        <v>46016</v>
      </c>
      <c r="J2937">
        <v>0</v>
      </c>
      <c r="N2937">
        <v>0</v>
      </c>
      <c r="T2937" t="s">
        <v>1418</v>
      </c>
      <c r="W2937" t="s">
        <v>497</v>
      </c>
    </row>
    <row r="2938" spans="1:23" x14ac:dyDescent="0.25">
      <c r="A2938" t="s">
        <v>3380</v>
      </c>
      <c r="B2938" t="str">
        <f t="shared" si="46"/>
        <v>GA1200002341</v>
      </c>
      <c r="C2938" t="s">
        <v>227</v>
      </c>
      <c r="D2938" t="s">
        <v>77</v>
      </c>
      <c r="E2938" t="s">
        <v>82</v>
      </c>
      <c r="F2938">
        <v>10000</v>
      </c>
      <c r="G2938" s="13">
        <v>45651</v>
      </c>
      <c r="H2938" s="13">
        <v>45835</v>
      </c>
      <c r="I2938">
        <v>2810</v>
      </c>
      <c r="J2938">
        <v>3005</v>
      </c>
      <c r="K2938">
        <v>5815</v>
      </c>
      <c r="N2938">
        <v>23.809523809523807</v>
      </c>
      <c r="O2938">
        <v>6.8422000000000001</v>
      </c>
      <c r="P2938">
        <v>88.15</v>
      </c>
      <c r="Q2938">
        <v>6.7</v>
      </c>
      <c r="R2938">
        <v>6</v>
      </c>
      <c r="S2938">
        <v>6.8</v>
      </c>
      <c r="T2938">
        <v>96.656552000000005</v>
      </c>
      <c r="W2938" t="s">
        <v>497</v>
      </c>
    </row>
    <row r="2939" spans="1:23" x14ac:dyDescent="0.25">
      <c r="A2939" t="s">
        <v>3381</v>
      </c>
      <c r="B2939" t="str">
        <f t="shared" si="46"/>
        <v>TD1300000742</v>
      </c>
      <c r="C2939" t="s">
        <v>237</v>
      </c>
      <c r="D2939" t="s">
        <v>77</v>
      </c>
      <c r="E2939" t="s">
        <v>287</v>
      </c>
      <c r="F2939">
        <v>10000</v>
      </c>
      <c r="G2939" s="13">
        <v>45651</v>
      </c>
      <c r="H2939" s="13">
        <v>46017</v>
      </c>
      <c r="I2939">
        <v>10000</v>
      </c>
      <c r="J2939">
        <v>0</v>
      </c>
      <c r="K2939">
        <v>10000</v>
      </c>
      <c r="N2939">
        <v>8.3333333333333321</v>
      </c>
      <c r="O2939">
        <v>6.9572000000000003</v>
      </c>
      <c r="P2939">
        <v>100</v>
      </c>
      <c r="Q2939">
        <v>6.5</v>
      </c>
      <c r="R2939">
        <v>6.5</v>
      </c>
      <c r="S2939">
        <v>6.5</v>
      </c>
      <c r="T2939">
        <v>93.427778000000004</v>
      </c>
      <c r="W2939" t="s">
        <v>497</v>
      </c>
    </row>
    <row r="2940" spans="1:23" x14ac:dyDescent="0.25">
      <c r="A2940" t="s">
        <v>3382</v>
      </c>
      <c r="B2940" t="str">
        <f t="shared" si="46"/>
        <v>CM1100001120</v>
      </c>
      <c r="C2940" t="s">
        <v>225</v>
      </c>
      <c r="D2940" t="s">
        <v>77</v>
      </c>
      <c r="E2940" t="s">
        <v>78</v>
      </c>
      <c r="F2940">
        <v>10000</v>
      </c>
      <c r="G2940" s="13">
        <v>45656</v>
      </c>
      <c r="H2940" s="13">
        <v>45749</v>
      </c>
      <c r="I2940">
        <v>8571</v>
      </c>
      <c r="J2940">
        <v>0</v>
      </c>
      <c r="K2940">
        <v>8571</v>
      </c>
      <c r="N2940">
        <v>22.727272727272727</v>
      </c>
      <c r="O2940">
        <v>6.2624000000000004</v>
      </c>
      <c r="P2940">
        <v>85.71</v>
      </c>
      <c r="Q2940">
        <v>6.4</v>
      </c>
      <c r="R2940">
        <v>5.75</v>
      </c>
      <c r="S2940">
        <v>6.4</v>
      </c>
      <c r="T2940">
        <v>98.441660999999996</v>
      </c>
      <c r="W2940" t="s">
        <v>497</v>
      </c>
    </row>
    <row r="2941" spans="1:23" x14ac:dyDescent="0.25">
      <c r="A2941" t="s">
        <v>3383</v>
      </c>
      <c r="B2941" t="str">
        <f t="shared" si="46"/>
        <v>CG1300000805</v>
      </c>
      <c r="C2941" t="s">
        <v>229</v>
      </c>
      <c r="D2941" t="s">
        <v>77</v>
      </c>
      <c r="E2941" t="s">
        <v>287</v>
      </c>
      <c r="F2941">
        <v>15000</v>
      </c>
      <c r="G2941" s="13">
        <v>45664</v>
      </c>
      <c r="H2941" s="13">
        <v>46016</v>
      </c>
      <c r="J2941">
        <v>0</v>
      </c>
      <c r="N2941">
        <v>0</v>
      </c>
      <c r="T2941" t="s">
        <v>1418</v>
      </c>
      <c r="W2941" t="s">
        <v>497</v>
      </c>
    </row>
    <row r="2942" spans="1:23" x14ac:dyDescent="0.25">
      <c r="A2942" t="s">
        <v>3384</v>
      </c>
      <c r="B2942" t="str">
        <f t="shared" si="46"/>
        <v>GA1100001898</v>
      </c>
      <c r="C2942" t="s">
        <v>227</v>
      </c>
      <c r="D2942" t="s">
        <v>77</v>
      </c>
      <c r="E2942" t="s">
        <v>78</v>
      </c>
      <c r="F2942">
        <v>15000</v>
      </c>
      <c r="G2942" s="13">
        <v>45658</v>
      </c>
      <c r="H2942" s="13">
        <v>45751</v>
      </c>
      <c r="J2942">
        <v>4050</v>
      </c>
      <c r="K2942">
        <v>4050</v>
      </c>
      <c r="N2942">
        <v>4.7619047619047619</v>
      </c>
      <c r="O2942">
        <v>6.6048</v>
      </c>
      <c r="P2942">
        <v>27</v>
      </c>
      <c r="Q2942">
        <v>6.5</v>
      </c>
      <c r="R2942">
        <v>6.2</v>
      </c>
      <c r="S2942">
        <v>6.5</v>
      </c>
      <c r="T2942">
        <v>98.357881000000006</v>
      </c>
      <c r="W2942" t="s">
        <v>497</v>
      </c>
    </row>
    <row r="2943" spans="1:23" x14ac:dyDescent="0.25">
      <c r="A2943" t="s">
        <v>3385</v>
      </c>
      <c r="B2943" t="str">
        <f t="shared" si="46"/>
        <v>CM1200001889</v>
      </c>
      <c r="C2943" t="s">
        <v>225</v>
      </c>
      <c r="D2943" t="s">
        <v>77</v>
      </c>
      <c r="E2943" t="s">
        <v>82</v>
      </c>
      <c r="F2943">
        <v>15000</v>
      </c>
      <c r="G2943" s="13">
        <v>45663</v>
      </c>
      <c r="H2943" s="13">
        <v>45847</v>
      </c>
      <c r="I2943">
        <v>1126</v>
      </c>
      <c r="J2943">
        <v>13874</v>
      </c>
      <c r="K2943">
        <v>15000</v>
      </c>
      <c r="N2943">
        <v>27.27272727272727</v>
      </c>
      <c r="O2943">
        <v>6.6649000000000003</v>
      </c>
      <c r="P2943">
        <v>131.9333</v>
      </c>
      <c r="Q2943">
        <v>6.6</v>
      </c>
      <c r="R2943">
        <v>5.85</v>
      </c>
      <c r="S2943">
        <v>6.7</v>
      </c>
      <c r="T2943">
        <v>96.740376999999995</v>
      </c>
      <c r="W2943" t="s">
        <v>497</v>
      </c>
    </row>
    <row r="2944" spans="1:23" x14ac:dyDescent="0.25">
      <c r="A2944" t="s">
        <v>3386</v>
      </c>
      <c r="B2944" t="str">
        <f t="shared" si="46"/>
        <v>CG1200001465</v>
      </c>
      <c r="C2944" t="s">
        <v>229</v>
      </c>
      <c r="D2944" t="s">
        <v>77</v>
      </c>
      <c r="E2944" t="s">
        <v>82</v>
      </c>
      <c r="F2944">
        <v>25000</v>
      </c>
      <c r="G2944" s="13">
        <v>45664</v>
      </c>
      <c r="H2944" s="13">
        <v>45820</v>
      </c>
      <c r="I2944">
        <v>3500</v>
      </c>
      <c r="J2944">
        <v>1375</v>
      </c>
      <c r="K2944">
        <v>4875</v>
      </c>
      <c r="N2944">
        <v>16.666666666666664</v>
      </c>
      <c r="O2944">
        <v>7.0285000000000002</v>
      </c>
      <c r="P2944">
        <v>19.5</v>
      </c>
      <c r="Q2944">
        <v>7</v>
      </c>
      <c r="R2944">
        <v>6.3</v>
      </c>
      <c r="S2944">
        <v>7</v>
      </c>
      <c r="T2944">
        <v>97.081134000000006</v>
      </c>
      <c r="W2944" t="s">
        <v>497</v>
      </c>
    </row>
    <row r="2945" spans="1:23" x14ac:dyDescent="0.25">
      <c r="A2945" t="s">
        <v>3387</v>
      </c>
      <c r="B2945" t="str">
        <f t="shared" si="46"/>
        <v>GA1200002358</v>
      </c>
      <c r="C2945" t="s">
        <v>227</v>
      </c>
      <c r="D2945" t="s">
        <v>77</v>
      </c>
      <c r="E2945" t="s">
        <v>82</v>
      </c>
      <c r="F2945">
        <v>10000</v>
      </c>
      <c r="G2945" s="13">
        <v>45665</v>
      </c>
      <c r="H2945" s="13">
        <v>45849</v>
      </c>
      <c r="I2945">
        <v>2000</v>
      </c>
      <c r="J2945">
        <v>466</v>
      </c>
      <c r="K2945">
        <v>2466</v>
      </c>
      <c r="N2945">
        <v>19.047619047619047</v>
      </c>
      <c r="O2945">
        <v>6.6683000000000003</v>
      </c>
      <c r="P2945">
        <v>25.97</v>
      </c>
      <c r="Q2945">
        <v>6.5</v>
      </c>
      <c r="R2945">
        <v>6.1</v>
      </c>
      <c r="S2945">
        <v>6.7</v>
      </c>
      <c r="T2945">
        <v>96.738746000000006</v>
      </c>
      <c r="W2945" t="s">
        <v>497</v>
      </c>
    </row>
    <row r="2946" spans="1:23" x14ac:dyDescent="0.25">
      <c r="A2946" t="s">
        <v>3388</v>
      </c>
      <c r="B2946" t="str">
        <f t="shared" si="46"/>
        <v>CM1100001138</v>
      </c>
      <c r="C2946" t="s">
        <v>225</v>
      </c>
      <c r="D2946" t="s">
        <v>77</v>
      </c>
      <c r="E2946" t="s">
        <v>78</v>
      </c>
      <c r="F2946">
        <v>125000</v>
      </c>
      <c r="G2946" s="13">
        <v>45670</v>
      </c>
      <c r="H2946" s="13">
        <v>45763</v>
      </c>
      <c r="I2946">
        <v>67544</v>
      </c>
      <c r="J2946">
        <v>150</v>
      </c>
      <c r="K2946">
        <v>67694</v>
      </c>
      <c r="N2946">
        <v>31.818181818181817</v>
      </c>
      <c r="O2946">
        <v>6.5307000000000004</v>
      </c>
      <c r="P2946">
        <v>54.155200000000001</v>
      </c>
      <c r="Q2946">
        <v>6.5</v>
      </c>
      <c r="R2946">
        <v>6.3</v>
      </c>
      <c r="S2946">
        <v>6.5</v>
      </c>
      <c r="T2946">
        <v>98.375998999999993</v>
      </c>
      <c r="W2946" t="s">
        <v>497</v>
      </c>
    </row>
    <row r="2947" spans="1:23" x14ac:dyDescent="0.25">
      <c r="A2947" t="s">
        <v>3389</v>
      </c>
      <c r="B2947" t="str">
        <f t="shared" si="46"/>
        <v>GQ1300001435</v>
      </c>
      <c r="C2947" t="s">
        <v>528</v>
      </c>
      <c r="D2947" t="s">
        <v>77</v>
      </c>
      <c r="E2947" t="s">
        <v>287</v>
      </c>
      <c r="F2947">
        <v>15000</v>
      </c>
      <c r="G2947" s="13">
        <v>45671</v>
      </c>
      <c r="H2947" s="13">
        <v>46037</v>
      </c>
      <c r="I2947">
        <v>0</v>
      </c>
      <c r="J2947">
        <v>15000</v>
      </c>
      <c r="K2947">
        <v>15000</v>
      </c>
      <c r="N2947">
        <v>30.76923076923077</v>
      </c>
      <c r="O2947">
        <v>7.2998000000000003</v>
      </c>
      <c r="P2947">
        <v>186.66669999999999</v>
      </c>
      <c r="Q2947">
        <v>7</v>
      </c>
      <c r="R2947">
        <v>6.74</v>
      </c>
      <c r="S2947">
        <v>7</v>
      </c>
      <c r="T2947">
        <v>93.126467000000005</v>
      </c>
      <c r="W2947" t="s">
        <v>497</v>
      </c>
    </row>
    <row r="2948" spans="1:23" x14ac:dyDescent="0.25">
      <c r="A2948" t="s">
        <v>3390</v>
      </c>
      <c r="B2948" t="str">
        <f t="shared" si="46"/>
        <v>GA1100001906</v>
      </c>
      <c r="C2948" t="s">
        <v>227</v>
      </c>
      <c r="D2948" t="s">
        <v>77</v>
      </c>
      <c r="E2948" t="s">
        <v>78</v>
      </c>
      <c r="F2948">
        <v>8000</v>
      </c>
      <c r="G2948" s="13">
        <v>45672</v>
      </c>
      <c r="H2948" s="13">
        <v>45765</v>
      </c>
      <c r="J2948">
        <v>0</v>
      </c>
      <c r="N2948">
        <v>0</v>
      </c>
      <c r="T2948" t="s">
        <v>1418</v>
      </c>
      <c r="W2948" t="s">
        <v>497</v>
      </c>
    </row>
    <row r="2949" spans="1:23" x14ac:dyDescent="0.25">
      <c r="A2949" t="s">
        <v>3391</v>
      </c>
      <c r="B2949" t="str">
        <f t="shared" si="46"/>
        <v>CF1200000468</v>
      </c>
      <c r="C2949" t="s">
        <v>2406</v>
      </c>
      <c r="D2949" t="s">
        <v>77</v>
      </c>
      <c r="E2949" t="s">
        <v>82</v>
      </c>
      <c r="F2949">
        <v>2500</v>
      </c>
      <c r="G2949" s="13">
        <v>45677</v>
      </c>
      <c r="H2949" s="13">
        <v>45861</v>
      </c>
      <c r="I2949">
        <v>0</v>
      </c>
      <c r="J2949">
        <v>96</v>
      </c>
      <c r="K2949">
        <v>96</v>
      </c>
      <c r="N2949">
        <v>11.111111111111111</v>
      </c>
      <c r="O2949">
        <v>6.8379000000000003</v>
      </c>
      <c r="P2949">
        <v>3.84</v>
      </c>
      <c r="Q2949">
        <v>7</v>
      </c>
      <c r="R2949">
        <v>6.5</v>
      </c>
      <c r="S2949">
        <v>7</v>
      </c>
      <c r="T2949">
        <v>96.658593999999994</v>
      </c>
      <c r="W2949" t="s">
        <v>497</v>
      </c>
    </row>
    <row r="2950" spans="1:23" x14ac:dyDescent="0.25">
      <c r="A2950" t="s">
        <v>3392</v>
      </c>
      <c r="B2950" t="str">
        <f t="shared" si="46"/>
        <v>CF1300000079</v>
      </c>
      <c r="C2950" t="s">
        <v>2406</v>
      </c>
      <c r="D2950" t="s">
        <v>77</v>
      </c>
      <c r="E2950" t="s">
        <v>287</v>
      </c>
      <c r="F2950">
        <v>5000</v>
      </c>
      <c r="G2950" s="13">
        <v>45677</v>
      </c>
      <c r="H2950" s="13">
        <v>46043</v>
      </c>
      <c r="I2950">
        <v>1000</v>
      </c>
      <c r="J2950">
        <v>0</v>
      </c>
      <c r="K2950">
        <v>1000</v>
      </c>
      <c r="N2950">
        <v>11.111111111111111</v>
      </c>
      <c r="O2950">
        <v>7.5331999999999999</v>
      </c>
      <c r="P2950">
        <v>20</v>
      </c>
      <c r="Q2950">
        <v>7</v>
      </c>
      <c r="R2950">
        <v>7</v>
      </c>
      <c r="S2950">
        <v>7</v>
      </c>
      <c r="T2950">
        <v>92.922222000000005</v>
      </c>
      <c r="W2950" t="s">
        <v>497</v>
      </c>
    </row>
    <row r="2951" spans="1:23" x14ac:dyDescent="0.25">
      <c r="A2951" t="s">
        <v>3393</v>
      </c>
      <c r="B2951" t="str">
        <f t="shared" si="46"/>
        <v>CM1300000799</v>
      </c>
      <c r="C2951" t="s">
        <v>225</v>
      </c>
      <c r="D2951" t="s">
        <v>77</v>
      </c>
      <c r="E2951" t="s">
        <v>287</v>
      </c>
      <c r="F2951">
        <v>20000</v>
      </c>
      <c r="G2951" s="13">
        <v>45677</v>
      </c>
      <c r="H2951" s="13">
        <v>46043</v>
      </c>
      <c r="I2951">
        <v>7712</v>
      </c>
      <c r="J2951">
        <v>0</v>
      </c>
      <c r="K2951">
        <v>7712</v>
      </c>
      <c r="N2951">
        <v>18.181818181818183</v>
      </c>
      <c r="O2951">
        <v>7.1867000000000001</v>
      </c>
      <c r="P2951">
        <v>38.56</v>
      </c>
      <c r="Q2951">
        <v>6.8</v>
      </c>
      <c r="R2951">
        <v>6.5</v>
      </c>
      <c r="S2951">
        <v>6.8</v>
      </c>
      <c r="T2951">
        <v>93.225686999999994</v>
      </c>
      <c r="W2951" t="s">
        <v>497</v>
      </c>
    </row>
    <row r="2952" spans="1:23" x14ac:dyDescent="0.25">
      <c r="A2952" t="s">
        <v>3394</v>
      </c>
      <c r="B2952" t="str">
        <f t="shared" si="46"/>
        <v>CG1100001011</v>
      </c>
      <c r="C2952" t="s">
        <v>229</v>
      </c>
      <c r="D2952" t="s">
        <v>77</v>
      </c>
      <c r="E2952" t="s">
        <v>78</v>
      </c>
      <c r="F2952">
        <v>15000</v>
      </c>
      <c r="G2952" s="13">
        <v>45678</v>
      </c>
      <c r="H2952" s="13">
        <v>45771</v>
      </c>
      <c r="I2952">
        <v>1000</v>
      </c>
      <c r="J2952">
        <v>12020</v>
      </c>
      <c r="K2952">
        <v>13020</v>
      </c>
      <c r="N2952">
        <v>12.5</v>
      </c>
      <c r="O2952">
        <v>6.6082999999999998</v>
      </c>
      <c r="P2952">
        <v>86.8</v>
      </c>
      <c r="Q2952">
        <v>6.5</v>
      </c>
      <c r="R2952">
        <v>6.3</v>
      </c>
      <c r="S2952">
        <v>6.5</v>
      </c>
      <c r="T2952">
        <v>98.357022000000001</v>
      </c>
      <c r="W2952" t="s">
        <v>497</v>
      </c>
    </row>
    <row r="2953" spans="1:23" x14ac:dyDescent="0.25">
      <c r="A2953" t="s">
        <v>3395</v>
      </c>
      <c r="B2953" t="str">
        <f t="shared" si="46"/>
        <v>CG1200001473</v>
      </c>
      <c r="C2953" t="s">
        <v>229</v>
      </c>
      <c r="D2953" t="s">
        <v>77</v>
      </c>
      <c r="E2953" t="s">
        <v>82</v>
      </c>
      <c r="F2953">
        <v>25000</v>
      </c>
      <c r="G2953" s="13">
        <v>45678</v>
      </c>
      <c r="H2953" s="13">
        <v>45862</v>
      </c>
      <c r="I2953">
        <v>1390</v>
      </c>
      <c r="J2953">
        <v>4585</v>
      </c>
      <c r="K2953">
        <v>5975</v>
      </c>
      <c r="N2953">
        <v>25</v>
      </c>
      <c r="O2953">
        <v>6.9238999999999997</v>
      </c>
      <c r="P2953">
        <v>23.9</v>
      </c>
      <c r="Q2953">
        <v>6.8</v>
      </c>
      <c r="R2953">
        <v>6.35</v>
      </c>
      <c r="S2953">
        <v>6.8</v>
      </c>
      <c r="T2953">
        <v>96.617952000000002</v>
      </c>
      <c r="W2953" t="s">
        <v>497</v>
      </c>
    </row>
    <row r="2954" spans="1:23" x14ac:dyDescent="0.25">
      <c r="A2954" t="s">
        <v>3396</v>
      </c>
      <c r="B2954" t="str">
        <f t="shared" si="46"/>
        <v>CG1300000813</v>
      </c>
      <c r="C2954" t="s">
        <v>229</v>
      </c>
      <c r="D2954" t="s">
        <v>77</v>
      </c>
      <c r="E2954" t="s">
        <v>287</v>
      </c>
      <c r="F2954">
        <v>20000</v>
      </c>
      <c r="G2954" s="13">
        <v>45678</v>
      </c>
      <c r="H2954" s="13">
        <v>46044</v>
      </c>
      <c r="I2954">
        <v>4</v>
      </c>
      <c r="J2954">
        <v>712</v>
      </c>
      <c r="K2954">
        <v>716</v>
      </c>
      <c r="N2954">
        <v>20.833333333333336</v>
      </c>
      <c r="O2954">
        <v>7.3085000000000004</v>
      </c>
      <c r="P2954">
        <v>3.58</v>
      </c>
      <c r="Q2954">
        <v>7</v>
      </c>
      <c r="R2954">
        <v>6.1</v>
      </c>
      <c r="S2954">
        <v>7</v>
      </c>
      <c r="T2954">
        <v>93.118796000000003</v>
      </c>
      <c r="W2954" t="s">
        <v>497</v>
      </c>
    </row>
    <row r="2955" spans="1:23" x14ac:dyDescent="0.25">
      <c r="A2955" t="s">
        <v>3397</v>
      </c>
      <c r="B2955" t="str">
        <f t="shared" si="46"/>
        <v>GA1100001914</v>
      </c>
      <c r="C2955" t="s">
        <v>227</v>
      </c>
      <c r="D2955" t="s">
        <v>77</v>
      </c>
      <c r="E2955" t="s">
        <v>78</v>
      </c>
      <c r="F2955">
        <v>12500</v>
      </c>
      <c r="G2955" s="13">
        <v>45679</v>
      </c>
      <c r="H2955" s="13">
        <v>45772</v>
      </c>
      <c r="I2955">
        <v>1270</v>
      </c>
      <c r="J2955">
        <v>6531</v>
      </c>
      <c r="K2955">
        <v>7801</v>
      </c>
      <c r="N2955">
        <v>23.809523809523807</v>
      </c>
      <c r="O2955">
        <v>6.4623999999999997</v>
      </c>
      <c r="P2955">
        <v>66.408000000000001</v>
      </c>
      <c r="Q2955">
        <v>6.5</v>
      </c>
      <c r="R2955">
        <v>6</v>
      </c>
      <c r="S2955">
        <v>6.55</v>
      </c>
      <c r="T2955">
        <v>98.392697999999996</v>
      </c>
      <c r="W2955" t="s">
        <v>497</v>
      </c>
    </row>
    <row r="2956" spans="1:23" x14ac:dyDescent="0.25">
      <c r="A2956" t="s">
        <v>3398</v>
      </c>
      <c r="B2956" t="str">
        <f t="shared" si="46"/>
        <v>CM1200001897</v>
      </c>
      <c r="C2956" t="s">
        <v>225</v>
      </c>
      <c r="D2956" t="s">
        <v>77</v>
      </c>
      <c r="E2956" t="s">
        <v>82</v>
      </c>
      <c r="F2956">
        <v>25000</v>
      </c>
      <c r="G2956" s="13">
        <v>45684</v>
      </c>
      <c r="H2956" s="13">
        <v>45868</v>
      </c>
      <c r="I2956">
        <v>21500</v>
      </c>
      <c r="J2956">
        <v>3500</v>
      </c>
      <c r="K2956">
        <v>25000</v>
      </c>
      <c r="N2956">
        <v>31.818181818181817</v>
      </c>
      <c r="O2956">
        <v>6.7762000000000002</v>
      </c>
      <c r="P2956">
        <v>104.104</v>
      </c>
      <c r="Q2956">
        <v>6.75</v>
      </c>
      <c r="R2956">
        <v>6.5</v>
      </c>
      <c r="S2956">
        <v>6.8</v>
      </c>
      <c r="T2956">
        <v>96.687704999999994</v>
      </c>
      <c r="W2956" t="s">
        <v>497</v>
      </c>
    </row>
    <row r="2957" spans="1:23" x14ac:dyDescent="0.25">
      <c r="A2957" t="s">
        <v>3399</v>
      </c>
      <c r="B2957" t="str">
        <f t="shared" si="46"/>
        <v>CG1100001029</v>
      </c>
      <c r="C2957" t="s">
        <v>229</v>
      </c>
      <c r="D2957" t="s">
        <v>77</v>
      </c>
      <c r="E2957" t="s">
        <v>78</v>
      </c>
      <c r="F2957">
        <v>50000</v>
      </c>
      <c r="G2957" s="13">
        <v>45685</v>
      </c>
      <c r="H2957" s="13">
        <v>45778</v>
      </c>
      <c r="I2957">
        <v>33970</v>
      </c>
      <c r="J2957">
        <v>2000</v>
      </c>
      <c r="K2957">
        <v>35970</v>
      </c>
      <c r="N2957">
        <v>16.666666666666664</v>
      </c>
      <c r="O2957">
        <v>6.6086</v>
      </c>
      <c r="P2957">
        <v>71.94</v>
      </c>
      <c r="Q2957">
        <v>6.5</v>
      </c>
      <c r="R2957">
        <v>6.5</v>
      </c>
      <c r="S2957">
        <v>6.5</v>
      </c>
      <c r="T2957">
        <v>98.356943999999999</v>
      </c>
      <c r="W2957" t="s">
        <v>497</v>
      </c>
    </row>
    <row r="2958" spans="1:23" x14ac:dyDescent="0.25">
      <c r="A2958" t="s">
        <v>3395</v>
      </c>
      <c r="B2958" t="str">
        <f t="shared" si="46"/>
        <v>CG1200001473</v>
      </c>
      <c r="C2958" t="s">
        <v>229</v>
      </c>
      <c r="D2958" t="s">
        <v>77</v>
      </c>
      <c r="E2958" t="s">
        <v>82</v>
      </c>
      <c r="F2958">
        <v>20000</v>
      </c>
      <c r="G2958" s="13">
        <v>45685</v>
      </c>
      <c r="H2958" s="13">
        <v>45862</v>
      </c>
      <c r="I2958">
        <v>0</v>
      </c>
      <c r="J2958">
        <v>4850</v>
      </c>
      <c r="K2958">
        <v>4850</v>
      </c>
      <c r="N2958">
        <v>8.3333333333333321</v>
      </c>
      <c r="O2958">
        <v>7.0092999999999996</v>
      </c>
      <c r="P2958">
        <v>24.25</v>
      </c>
      <c r="Q2958">
        <v>6.8</v>
      </c>
      <c r="R2958">
        <v>6.5</v>
      </c>
      <c r="S2958">
        <v>6.8</v>
      </c>
      <c r="T2958">
        <v>96.704967999999994</v>
      </c>
      <c r="W2958" t="s">
        <v>497</v>
      </c>
    </row>
    <row r="2959" spans="1:23" x14ac:dyDescent="0.25">
      <c r="A2959" t="s">
        <v>3396</v>
      </c>
      <c r="B2959" t="str">
        <f t="shared" si="46"/>
        <v>CG1300000813</v>
      </c>
      <c r="C2959" t="s">
        <v>229</v>
      </c>
      <c r="D2959" t="s">
        <v>77</v>
      </c>
      <c r="E2959" t="s">
        <v>287</v>
      </c>
      <c r="F2959">
        <v>25000</v>
      </c>
      <c r="G2959" s="13">
        <v>45685</v>
      </c>
      <c r="H2959" s="13">
        <v>46044</v>
      </c>
      <c r="I2959">
        <v>100</v>
      </c>
      <c r="J2959">
        <v>879</v>
      </c>
      <c r="K2959">
        <v>979</v>
      </c>
      <c r="N2959">
        <v>16.666666666666664</v>
      </c>
      <c r="O2959">
        <v>7.0841000000000003</v>
      </c>
      <c r="P2959">
        <v>3.9159999999999999</v>
      </c>
      <c r="Q2959">
        <v>7</v>
      </c>
      <c r="R2959">
        <v>6.45</v>
      </c>
      <c r="S2959">
        <v>7</v>
      </c>
      <c r="T2959">
        <v>93.436058000000003</v>
      </c>
      <c r="W2959" t="s">
        <v>497</v>
      </c>
    </row>
    <row r="2960" spans="1:23" x14ac:dyDescent="0.25">
      <c r="A2960" t="s">
        <v>3400</v>
      </c>
      <c r="B2960" t="str">
        <f t="shared" si="46"/>
        <v>GQ1300001443</v>
      </c>
      <c r="C2960" t="s">
        <v>528</v>
      </c>
      <c r="D2960" t="s">
        <v>77</v>
      </c>
      <c r="E2960" t="s">
        <v>287</v>
      </c>
      <c r="F2960">
        <v>17000</v>
      </c>
      <c r="G2960" s="13">
        <v>45685</v>
      </c>
      <c r="H2960" s="13">
        <v>46051</v>
      </c>
      <c r="I2960">
        <v>15000</v>
      </c>
      <c r="J2960">
        <v>0</v>
      </c>
      <c r="K2960">
        <v>15000</v>
      </c>
      <c r="N2960">
        <v>15.384615384615385</v>
      </c>
      <c r="O2960">
        <v>7.2443999999999997</v>
      </c>
      <c r="P2960">
        <v>188.2353</v>
      </c>
      <c r="Q2960">
        <v>6.75</v>
      </c>
      <c r="R2960">
        <v>6.75</v>
      </c>
      <c r="S2960">
        <v>6.95</v>
      </c>
      <c r="T2960">
        <v>93.174999999999997</v>
      </c>
      <c r="W2960" t="s">
        <v>497</v>
      </c>
    </row>
    <row r="2961" spans="1:23" x14ac:dyDescent="0.25">
      <c r="A2961" t="s">
        <v>3401</v>
      </c>
      <c r="B2961" t="str">
        <f t="shared" si="46"/>
        <v>GA1200002366</v>
      </c>
      <c r="C2961" t="s">
        <v>227</v>
      </c>
      <c r="D2961" t="s">
        <v>77</v>
      </c>
      <c r="E2961" t="s">
        <v>82</v>
      </c>
      <c r="F2961">
        <v>15000</v>
      </c>
      <c r="G2961" s="13">
        <v>45686</v>
      </c>
      <c r="H2961" s="13">
        <v>45870</v>
      </c>
      <c r="I2961">
        <v>4370</v>
      </c>
      <c r="J2961">
        <v>2669</v>
      </c>
      <c r="K2961">
        <v>7039</v>
      </c>
      <c r="N2961">
        <v>33.333333333333329</v>
      </c>
      <c r="O2961">
        <v>6.8250999999999999</v>
      </c>
      <c r="P2961">
        <v>46.926699999999997</v>
      </c>
      <c r="Q2961">
        <v>6.75</v>
      </c>
      <c r="R2961">
        <v>6</v>
      </c>
      <c r="S2961">
        <v>6.75</v>
      </c>
      <c r="T2961">
        <v>96.664619000000002</v>
      </c>
      <c r="W2961" t="s">
        <v>497</v>
      </c>
    </row>
    <row r="2962" spans="1:23" x14ac:dyDescent="0.25">
      <c r="A2962" t="s">
        <v>3402</v>
      </c>
      <c r="B2962" t="str">
        <f t="shared" si="46"/>
        <v>CG1100001029</v>
      </c>
      <c r="C2962" t="s">
        <v>229</v>
      </c>
      <c r="D2962" t="s">
        <v>77</v>
      </c>
      <c r="E2962" t="s">
        <v>78</v>
      </c>
      <c r="F2962">
        <v>17000</v>
      </c>
      <c r="G2962" s="13">
        <v>45692</v>
      </c>
      <c r="H2962" s="13">
        <v>45778</v>
      </c>
      <c r="J2962">
        <v>0</v>
      </c>
      <c r="N2962">
        <v>0</v>
      </c>
      <c r="T2962" t="s">
        <v>1418</v>
      </c>
      <c r="W2962" t="s">
        <v>497</v>
      </c>
    </row>
    <row r="2963" spans="1:23" x14ac:dyDescent="0.25">
      <c r="A2963" t="s">
        <v>3403</v>
      </c>
      <c r="B2963" t="str">
        <f t="shared" si="46"/>
        <v>GA1100001922</v>
      </c>
      <c r="C2963" t="s">
        <v>227</v>
      </c>
      <c r="D2963" t="s">
        <v>77</v>
      </c>
      <c r="E2963" t="s">
        <v>78</v>
      </c>
      <c r="F2963">
        <v>10000</v>
      </c>
      <c r="G2963" s="13">
        <v>45693</v>
      </c>
      <c r="H2963" s="13">
        <v>45786</v>
      </c>
      <c r="I2963">
        <v>1000</v>
      </c>
      <c r="J2963">
        <v>406</v>
      </c>
      <c r="K2963">
        <v>1406</v>
      </c>
      <c r="N2963">
        <v>19.047619047619047</v>
      </c>
      <c r="O2963">
        <v>6.3566000000000003</v>
      </c>
      <c r="P2963">
        <v>15.91</v>
      </c>
      <c r="Q2963">
        <v>6.35</v>
      </c>
      <c r="R2963">
        <v>6</v>
      </c>
      <c r="S2963">
        <v>6.5</v>
      </c>
      <c r="T2963">
        <v>98.418610999999999</v>
      </c>
      <c r="W2963" t="s">
        <v>497</v>
      </c>
    </row>
    <row r="2964" spans="1:23" x14ac:dyDescent="0.25">
      <c r="A2964" t="s">
        <v>3404</v>
      </c>
      <c r="B2964" t="str">
        <f t="shared" si="46"/>
        <v>CM1200001905</v>
      </c>
      <c r="C2964" t="s">
        <v>225</v>
      </c>
      <c r="D2964" t="s">
        <v>77</v>
      </c>
      <c r="E2964" t="s">
        <v>82</v>
      </c>
      <c r="F2964">
        <v>10000</v>
      </c>
      <c r="G2964" s="13">
        <v>45698</v>
      </c>
      <c r="H2964" s="13">
        <v>45882</v>
      </c>
      <c r="I2964">
        <v>10000</v>
      </c>
      <c r="J2964">
        <v>0</v>
      </c>
      <c r="K2964">
        <v>10000</v>
      </c>
      <c r="N2964">
        <v>9.0909090909090917</v>
      </c>
      <c r="O2964">
        <v>6.9348999999999998</v>
      </c>
      <c r="P2964">
        <v>101</v>
      </c>
      <c r="Q2964">
        <v>6.7</v>
      </c>
      <c r="R2964">
        <v>6.7</v>
      </c>
      <c r="S2964">
        <v>6.8</v>
      </c>
      <c r="T2964">
        <v>96.612778000000006</v>
      </c>
      <c r="W2964" t="s">
        <v>497</v>
      </c>
    </row>
    <row r="2965" spans="1:23" x14ac:dyDescent="0.25">
      <c r="A2965" t="s">
        <v>3405</v>
      </c>
      <c r="B2965" t="str">
        <f t="shared" si="46"/>
        <v>CM1300000807</v>
      </c>
      <c r="C2965" t="s">
        <v>225</v>
      </c>
      <c r="D2965" t="s">
        <v>77</v>
      </c>
      <c r="E2965" t="s">
        <v>287</v>
      </c>
      <c r="F2965">
        <v>20000</v>
      </c>
      <c r="G2965" s="13">
        <v>45698</v>
      </c>
      <c r="H2965" s="13">
        <v>46064</v>
      </c>
      <c r="I2965">
        <v>20000</v>
      </c>
      <c r="J2965">
        <v>0</v>
      </c>
      <c r="K2965">
        <v>20000</v>
      </c>
      <c r="N2965">
        <v>4.5454545454545459</v>
      </c>
      <c r="O2965">
        <v>7.3597000000000001</v>
      </c>
      <c r="P2965">
        <v>100</v>
      </c>
      <c r="Q2965">
        <v>6.85</v>
      </c>
      <c r="R2965">
        <v>6.85</v>
      </c>
      <c r="S2965">
        <v>6.85</v>
      </c>
      <c r="T2965">
        <v>93.073888999999994</v>
      </c>
      <c r="W2965" t="s">
        <v>497</v>
      </c>
    </row>
    <row r="2966" spans="1:23" x14ac:dyDescent="0.25">
      <c r="A2966" t="s">
        <v>3406</v>
      </c>
      <c r="B2966" t="str">
        <f t="shared" si="46"/>
        <v>CM1200001913</v>
      </c>
      <c r="C2966" t="s">
        <v>225</v>
      </c>
      <c r="D2966" t="s">
        <v>77</v>
      </c>
      <c r="E2966" t="s">
        <v>82</v>
      </c>
      <c r="F2966">
        <v>50000</v>
      </c>
      <c r="G2966" s="13">
        <v>45705</v>
      </c>
      <c r="H2966" s="13">
        <v>45889</v>
      </c>
      <c r="I2966">
        <v>35040</v>
      </c>
      <c r="J2966">
        <v>100</v>
      </c>
      <c r="K2966">
        <v>35140</v>
      </c>
      <c r="N2966">
        <v>18.181818181818183</v>
      </c>
      <c r="O2966">
        <v>6.9039999999999999</v>
      </c>
      <c r="P2966">
        <v>70.28</v>
      </c>
      <c r="Q2966">
        <v>6.8</v>
      </c>
      <c r="R2966">
        <v>6.5</v>
      </c>
      <c r="S2966">
        <v>6.8</v>
      </c>
      <c r="T2966">
        <v>96.627352000000002</v>
      </c>
      <c r="W2966" t="s">
        <v>497</v>
      </c>
    </row>
    <row r="2967" spans="1:23" x14ac:dyDescent="0.25">
      <c r="A2967" t="s">
        <v>3407</v>
      </c>
      <c r="B2967" t="str">
        <f t="shared" si="46"/>
        <v>GQ1300001450</v>
      </c>
      <c r="C2967" t="s">
        <v>528</v>
      </c>
      <c r="D2967" t="s">
        <v>77</v>
      </c>
      <c r="E2967" t="s">
        <v>287</v>
      </c>
      <c r="F2967">
        <v>10000</v>
      </c>
      <c r="G2967" s="13">
        <v>45706</v>
      </c>
      <c r="H2967" s="13">
        <v>46072</v>
      </c>
      <c r="I2967">
        <v>8855</v>
      </c>
      <c r="J2967">
        <v>1145</v>
      </c>
      <c r="K2967">
        <v>10000</v>
      </c>
      <c r="N2967">
        <v>23.076923076923077</v>
      </c>
      <c r="O2967">
        <v>6.65</v>
      </c>
      <c r="P2967">
        <v>188.58</v>
      </c>
      <c r="Q2967">
        <v>6.65</v>
      </c>
      <c r="R2967">
        <v>6.55</v>
      </c>
      <c r="S2967">
        <v>6.75</v>
      </c>
      <c r="T2967">
        <v>93.332454999999996</v>
      </c>
      <c r="W2967" t="s">
        <v>497</v>
      </c>
    </row>
    <row r="2968" spans="1:23" x14ac:dyDescent="0.25">
      <c r="A2968" t="s">
        <v>3280</v>
      </c>
      <c r="B2968" t="str">
        <f t="shared" si="46"/>
        <v>GA1200002200</v>
      </c>
      <c r="C2968" t="s">
        <v>227</v>
      </c>
      <c r="D2968" t="s">
        <v>77</v>
      </c>
      <c r="E2968" t="s">
        <v>82</v>
      </c>
      <c r="F2968">
        <v>5000</v>
      </c>
      <c r="G2968" s="13">
        <v>45707</v>
      </c>
      <c r="H2968" s="13">
        <v>45716</v>
      </c>
      <c r="I2968">
        <v>2700</v>
      </c>
      <c r="J2968">
        <v>0</v>
      </c>
      <c r="K2968">
        <v>2700</v>
      </c>
      <c r="N2968">
        <v>4.7619047619047619</v>
      </c>
      <c r="O2968">
        <v>0</v>
      </c>
      <c r="P2968">
        <v>54</v>
      </c>
      <c r="Q2968">
        <v>0</v>
      </c>
      <c r="R2968">
        <v>0</v>
      </c>
      <c r="S2968">
        <v>0</v>
      </c>
      <c r="T2968">
        <v>100</v>
      </c>
      <c r="W2968" t="s">
        <v>681</v>
      </c>
    </row>
    <row r="2969" spans="1:23" x14ac:dyDescent="0.25">
      <c r="A2969" t="s">
        <v>3295</v>
      </c>
      <c r="B2969" t="str">
        <f t="shared" si="46"/>
        <v>GA1200002234</v>
      </c>
      <c r="C2969" t="s">
        <v>227</v>
      </c>
      <c r="D2969" t="s">
        <v>77</v>
      </c>
      <c r="E2969" t="s">
        <v>82</v>
      </c>
      <c r="F2969">
        <v>10000</v>
      </c>
      <c r="G2969" s="13">
        <v>45707</v>
      </c>
      <c r="H2969" s="13">
        <v>45744</v>
      </c>
      <c r="I2969">
        <v>7500</v>
      </c>
      <c r="J2969">
        <v>0</v>
      </c>
      <c r="K2969">
        <v>7500</v>
      </c>
      <c r="N2969">
        <v>4.7619047619047619</v>
      </c>
      <c r="O2969">
        <v>0</v>
      </c>
      <c r="P2969">
        <v>75</v>
      </c>
      <c r="Q2969">
        <v>0</v>
      </c>
      <c r="R2969">
        <v>0</v>
      </c>
      <c r="S2969">
        <v>0</v>
      </c>
      <c r="T2969">
        <v>100</v>
      </c>
      <c r="W2969" t="s">
        <v>681</v>
      </c>
    </row>
    <row r="2970" spans="1:23" x14ac:dyDescent="0.25">
      <c r="A2970" t="s">
        <v>3303</v>
      </c>
      <c r="B2970" t="str">
        <f t="shared" si="46"/>
        <v>GA1200002242</v>
      </c>
      <c r="C2970" t="s">
        <v>227</v>
      </c>
      <c r="D2970" t="s">
        <v>77</v>
      </c>
      <c r="E2970" t="s">
        <v>82</v>
      </c>
      <c r="F2970">
        <v>10000</v>
      </c>
      <c r="G2970" s="13">
        <v>45707</v>
      </c>
      <c r="H2970" s="13">
        <v>45758</v>
      </c>
      <c r="I2970">
        <v>5700</v>
      </c>
      <c r="J2970">
        <v>4300</v>
      </c>
      <c r="K2970">
        <v>10000</v>
      </c>
      <c r="N2970">
        <v>9.5238095238095237</v>
      </c>
      <c r="O2970">
        <v>0</v>
      </c>
      <c r="P2970">
        <v>100</v>
      </c>
      <c r="Q2970">
        <v>0</v>
      </c>
      <c r="R2970">
        <v>0</v>
      </c>
      <c r="S2970">
        <v>0</v>
      </c>
      <c r="T2970">
        <v>100</v>
      </c>
      <c r="W2970" t="s">
        <v>681</v>
      </c>
    </row>
    <row r="2971" spans="1:23" x14ac:dyDescent="0.25">
      <c r="A2971" t="s">
        <v>3408</v>
      </c>
      <c r="B2971" t="str">
        <f t="shared" ref="B2971:B3034" si="47">MID(A2971,1,12)</f>
        <v>GA1200002374</v>
      </c>
      <c r="C2971" t="s">
        <v>227</v>
      </c>
      <c r="D2971" t="s">
        <v>77</v>
      </c>
      <c r="E2971" t="s">
        <v>82</v>
      </c>
      <c r="F2971">
        <v>25000</v>
      </c>
      <c r="G2971" s="13">
        <v>45707</v>
      </c>
      <c r="H2971" s="13">
        <v>45891</v>
      </c>
      <c r="I2971">
        <v>15000</v>
      </c>
      <c r="J2971">
        <v>10000</v>
      </c>
      <c r="K2971">
        <v>25000</v>
      </c>
      <c r="N2971">
        <v>14.285714285714285</v>
      </c>
      <c r="O2971">
        <v>6.6673999999999998</v>
      </c>
      <c r="P2971">
        <v>100</v>
      </c>
      <c r="Q2971">
        <v>6.45</v>
      </c>
      <c r="R2971">
        <v>6.45</v>
      </c>
      <c r="S2971">
        <v>6.45</v>
      </c>
      <c r="T2971">
        <v>96.739166999999995</v>
      </c>
      <c r="W2971" t="s">
        <v>875</v>
      </c>
    </row>
    <row r="2972" spans="1:23" x14ac:dyDescent="0.25">
      <c r="A2972" t="s">
        <v>3409</v>
      </c>
      <c r="B2972" t="str">
        <f t="shared" si="47"/>
        <v>GA1300000773</v>
      </c>
      <c r="C2972" t="s">
        <v>227</v>
      </c>
      <c r="D2972" t="s">
        <v>77</v>
      </c>
      <c r="E2972" t="s">
        <v>287</v>
      </c>
      <c r="F2972">
        <v>30000</v>
      </c>
      <c r="G2972" s="13">
        <v>45707</v>
      </c>
      <c r="H2972" s="13">
        <v>46073</v>
      </c>
      <c r="I2972">
        <v>15073</v>
      </c>
      <c r="J2972">
        <v>8150</v>
      </c>
      <c r="K2972">
        <v>23223</v>
      </c>
      <c r="N2972">
        <v>14.285714285714285</v>
      </c>
      <c r="O2972">
        <v>6.9572000000000003</v>
      </c>
      <c r="P2972">
        <v>77.41</v>
      </c>
      <c r="Q2972">
        <v>6.5</v>
      </c>
      <c r="R2972">
        <v>6.5</v>
      </c>
      <c r="S2972">
        <v>6.5</v>
      </c>
      <c r="T2972">
        <v>93.427778000000004</v>
      </c>
      <c r="W2972" t="s">
        <v>875</v>
      </c>
    </row>
    <row r="2973" spans="1:23" x14ac:dyDescent="0.25">
      <c r="A2973" t="s">
        <v>3410</v>
      </c>
      <c r="B2973" t="str">
        <f t="shared" si="47"/>
        <v>CM1200001921</v>
      </c>
      <c r="C2973" t="s">
        <v>225</v>
      </c>
      <c r="D2973" t="s">
        <v>77</v>
      </c>
      <c r="E2973" t="s">
        <v>82</v>
      </c>
      <c r="F2973">
        <v>20000</v>
      </c>
      <c r="G2973" s="13">
        <v>45712</v>
      </c>
      <c r="H2973" s="13">
        <v>45896</v>
      </c>
      <c r="I2973">
        <v>16000</v>
      </c>
      <c r="J2973">
        <v>4000</v>
      </c>
      <c r="K2973">
        <v>20000</v>
      </c>
      <c r="N2973">
        <v>36.363636363636367</v>
      </c>
      <c r="O2973">
        <v>6.6269999999999998</v>
      </c>
      <c r="P2973">
        <v>111.745</v>
      </c>
      <c r="Q2973">
        <v>6.6</v>
      </c>
      <c r="R2973">
        <v>6</v>
      </c>
      <c r="S2973">
        <v>6.8</v>
      </c>
      <c r="T2973">
        <v>96.758307000000002</v>
      </c>
      <c r="W2973" t="s">
        <v>497</v>
      </c>
    </row>
    <row r="2974" spans="1:23" x14ac:dyDescent="0.25">
      <c r="A2974" t="s">
        <v>3411</v>
      </c>
      <c r="B2974" t="str">
        <f t="shared" si="47"/>
        <v>GQ1300001468</v>
      </c>
      <c r="C2974" t="s">
        <v>528</v>
      </c>
      <c r="D2974" t="s">
        <v>77</v>
      </c>
      <c r="E2974" t="s">
        <v>287</v>
      </c>
      <c r="F2974">
        <v>15000</v>
      </c>
      <c r="G2974" s="13">
        <v>45713</v>
      </c>
      <c r="H2974" s="13">
        <v>46079</v>
      </c>
      <c r="I2974">
        <v>7080</v>
      </c>
      <c r="J2974">
        <v>7920</v>
      </c>
      <c r="K2974">
        <v>15000</v>
      </c>
      <c r="N2974">
        <v>30.76923076923077</v>
      </c>
      <c r="O2974">
        <v>7.0054999999999996</v>
      </c>
      <c r="P2974">
        <v>119.72</v>
      </c>
      <c r="Q2974">
        <v>6.65</v>
      </c>
      <c r="R2974">
        <v>6.5</v>
      </c>
      <c r="S2974">
        <v>7</v>
      </c>
      <c r="T2974">
        <v>93.385176000000001</v>
      </c>
      <c r="W2974" t="s">
        <v>497</v>
      </c>
    </row>
    <row r="2975" spans="1:23" x14ac:dyDescent="0.25">
      <c r="A2975" t="s">
        <v>3412</v>
      </c>
      <c r="B2975" t="str">
        <f t="shared" si="47"/>
        <v>CG1200001481</v>
      </c>
      <c r="C2975" t="s">
        <v>229</v>
      </c>
      <c r="D2975" t="s">
        <v>77</v>
      </c>
      <c r="E2975" t="s">
        <v>82</v>
      </c>
      <c r="G2975" s="13">
        <v>45713</v>
      </c>
      <c r="H2975" s="13">
        <v>45897</v>
      </c>
      <c r="J2975">
        <v>0</v>
      </c>
      <c r="N2975">
        <v>0</v>
      </c>
      <c r="W2975" t="s">
        <v>497</v>
      </c>
    </row>
    <row r="2976" spans="1:23" x14ac:dyDescent="0.25">
      <c r="A2976" t="s">
        <v>3413</v>
      </c>
      <c r="B2976" t="str">
        <f t="shared" si="47"/>
        <v>CG1300000821</v>
      </c>
      <c r="C2976" t="s">
        <v>229</v>
      </c>
      <c r="D2976" t="s">
        <v>77</v>
      </c>
      <c r="E2976" t="s">
        <v>287</v>
      </c>
      <c r="F2976">
        <v>10000</v>
      </c>
      <c r="G2976" s="13">
        <v>45713</v>
      </c>
      <c r="H2976" s="13">
        <v>46079</v>
      </c>
      <c r="J2976">
        <v>0</v>
      </c>
      <c r="N2976">
        <v>0</v>
      </c>
      <c r="W2976" t="s">
        <v>497</v>
      </c>
    </row>
    <row r="2977" spans="1:23" x14ac:dyDescent="0.25">
      <c r="A2977" t="s">
        <v>3414</v>
      </c>
      <c r="B2977" t="str">
        <f t="shared" si="47"/>
        <v>GA1200002382</v>
      </c>
      <c r="C2977" t="s">
        <v>227</v>
      </c>
      <c r="D2977" t="s">
        <v>77</v>
      </c>
      <c r="E2977" t="s">
        <v>82</v>
      </c>
      <c r="F2977">
        <v>7500</v>
      </c>
      <c r="G2977" s="13">
        <v>45714</v>
      </c>
      <c r="H2977" s="13">
        <v>45898</v>
      </c>
      <c r="I2977">
        <v>1295</v>
      </c>
      <c r="J2977">
        <v>512</v>
      </c>
      <c r="K2977">
        <v>1807</v>
      </c>
      <c r="N2977">
        <v>28.571428571428569</v>
      </c>
      <c r="O2977">
        <v>6.6108000000000002</v>
      </c>
      <c r="P2977">
        <v>111.4667</v>
      </c>
      <c r="Q2977">
        <v>6.5</v>
      </c>
      <c r="R2977">
        <v>6.3</v>
      </c>
      <c r="S2977">
        <v>6.75</v>
      </c>
      <c r="T2977">
        <v>96.765940999999998</v>
      </c>
      <c r="W2977" t="s">
        <v>497</v>
      </c>
    </row>
    <row r="2978" spans="1:23" x14ac:dyDescent="0.25">
      <c r="A2978" t="s">
        <v>3415</v>
      </c>
      <c r="B2978" t="str">
        <f t="shared" si="47"/>
        <v>TD1200002046</v>
      </c>
      <c r="C2978" t="s">
        <v>237</v>
      </c>
      <c r="D2978" t="s">
        <v>77</v>
      </c>
      <c r="E2978" t="s">
        <v>82</v>
      </c>
      <c r="G2978" s="13">
        <v>45714</v>
      </c>
      <c r="H2978" s="13"/>
      <c r="J2978">
        <v>0</v>
      </c>
      <c r="N2978">
        <v>0</v>
      </c>
      <c r="W2978" t="s">
        <v>497</v>
      </c>
    </row>
    <row r="2979" spans="1:23" x14ac:dyDescent="0.25">
      <c r="A2979" t="s">
        <v>3416</v>
      </c>
      <c r="B2979" t="str">
        <f t="shared" si="47"/>
        <v>CM1200001939</v>
      </c>
      <c r="C2979" t="s">
        <v>225</v>
      </c>
      <c r="D2979" t="s">
        <v>77</v>
      </c>
      <c r="E2979" t="s">
        <v>82</v>
      </c>
      <c r="F2979">
        <v>35000</v>
      </c>
      <c r="G2979" s="13">
        <v>45719</v>
      </c>
      <c r="H2979" s="13">
        <v>45903</v>
      </c>
      <c r="I2979">
        <v>32000</v>
      </c>
      <c r="J2979">
        <v>3000</v>
      </c>
      <c r="K2979">
        <v>35000</v>
      </c>
      <c r="N2979">
        <v>27.27272727272727</v>
      </c>
      <c r="O2979">
        <v>6.9946000000000002</v>
      </c>
      <c r="P2979">
        <v>108.4629</v>
      </c>
      <c r="Q2979">
        <v>6.85</v>
      </c>
      <c r="R2979">
        <v>6.5</v>
      </c>
      <c r="S2979">
        <v>6.85</v>
      </c>
      <c r="T2979">
        <v>96.584615999999997</v>
      </c>
      <c r="W2979" t="s">
        <v>497</v>
      </c>
    </row>
    <row r="2980" spans="1:23" x14ac:dyDescent="0.25">
      <c r="A2980" t="s">
        <v>3417</v>
      </c>
      <c r="B2980" t="str">
        <f t="shared" si="47"/>
        <v>CM1300000815</v>
      </c>
      <c r="C2980" t="s">
        <v>225</v>
      </c>
      <c r="D2980" t="s">
        <v>77</v>
      </c>
      <c r="E2980" t="s">
        <v>287</v>
      </c>
      <c r="F2980">
        <v>35000</v>
      </c>
      <c r="G2980" s="13">
        <v>45719</v>
      </c>
      <c r="H2980" s="13">
        <v>46085</v>
      </c>
      <c r="I2980">
        <v>15600</v>
      </c>
      <c r="J2980">
        <v>0</v>
      </c>
      <c r="K2980">
        <v>15600</v>
      </c>
      <c r="N2980">
        <v>18.181818181818183</v>
      </c>
      <c r="O2980">
        <v>7.3909000000000002</v>
      </c>
      <c r="P2980">
        <v>44.571399999999997</v>
      </c>
      <c r="Q2980">
        <v>6.95</v>
      </c>
      <c r="R2980">
        <v>6.5</v>
      </c>
      <c r="S2980">
        <v>6.95</v>
      </c>
      <c r="T2980">
        <v>93.046608000000006</v>
      </c>
      <c r="W2980" t="s">
        <v>497</v>
      </c>
    </row>
    <row r="2981" spans="1:23" x14ac:dyDescent="0.25">
      <c r="A2981" t="s">
        <v>3418</v>
      </c>
      <c r="B2981" t="str">
        <f t="shared" si="47"/>
        <v>CG1200001481</v>
      </c>
      <c r="C2981" t="s">
        <v>229</v>
      </c>
      <c r="D2981" t="s">
        <v>77</v>
      </c>
      <c r="E2981" t="s">
        <v>82</v>
      </c>
      <c r="F2981">
        <v>25000</v>
      </c>
      <c r="G2981" s="13">
        <v>45720</v>
      </c>
      <c r="H2981" s="13">
        <v>45897</v>
      </c>
      <c r="I2981">
        <v>526</v>
      </c>
      <c r="J2981">
        <v>9949</v>
      </c>
      <c r="K2981">
        <v>10475</v>
      </c>
      <c r="N2981">
        <v>37.5</v>
      </c>
      <c r="O2981">
        <v>6.7157999999999998</v>
      </c>
      <c r="P2981">
        <v>41.9</v>
      </c>
      <c r="Q2981">
        <v>6.75</v>
      </c>
      <c r="R2981">
        <v>6.2</v>
      </c>
      <c r="S2981">
        <v>6.75</v>
      </c>
      <c r="T2981">
        <v>96.838595999999995</v>
      </c>
      <c r="W2981" t="s">
        <v>497</v>
      </c>
    </row>
    <row r="2982" spans="1:23" x14ac:dyDescent="0.25">
      <c r="A2982" t="s">
        <v>3419</v>
      </c>
      <c r="B2982" t="str">
        <f t="shared" si="47"/>
        <v>CG1100001037</v>
      </c>
      <c r="C2982" t="s">
        <v>229</v>
      </c>
      <c r="D2982" t="s">
        <v>77</v>
      </c>
      <c r="E2982" t="s">
        <v>78</v>
      </c>
      <c r="F2982">
        <v>25000</v>
      </c>
      <c r="G2982" s="13">
        <v>45720</v>
      </c>
      <c r="H2982" s="13">
        <v>45813</v>
      </c>
      <c r="I2982">
        <v>12917</v>
      </c>
      <c r="J2982">
        <v>12083</v>
      </c>
      <c r="K2982">
        <v>25000</v>
      </c>
      <c r="N2982">
        <v>25</v>
      </c>
      <c r="O2982">
        <v>6.7606000000000002</v>
      </c>
      <c r="P2982">
        <v>148.50399999999999</v>
      </c>
      <c r="Q2982">
        <v>7</v>
      </c>
      <c r="R2982">
        <v>6.3</v>
      </c>
      <c r="S2982">
        <v>7</v>
      </c>
      <c r="T2982">
        <v>98.319795999999997</v>
      </c>
      <c r="W2982" t="s">
        <v>497</v>
      </c>
    </row>
    <row r="2983" spans="1:23" x14ac:dyDescent="0.25">
      <c r="A2983" t="s">
        <v>3420</v>
      </c>
      <c r="B2983" t="str">
        <f t="shared" si="47"/>
        <v>CG1100001037</v>
      </c>
      <c r="C2983" t="s">
        <v>229</v>
      </c>
      <c r="D2983" t="s">
        <v>77</v>
      </c>
      <c r="E2983" t="s">
        <v>78</v>
      </c>
      <c r="F2983">
        <v>12126</v>
      </c>
      <c r="G2983" s="13">
        <v>45720</v>
      </c>
      <c r="H2983" s="13">
        <v>45813</v>
      </c>
      <c r="I2983">
        <v>7133</v>
      </c>
      <c r="J2983">
        <v>0</v>
      </c>
      <c r="K2983">
        <v>7133</v>
      </c>
      <c r="N2983">
        <v>4.1666666666666661</v>
      </c>
      <c r="O2983">
        <v>6.7606000000000002</v>
      </c>
      <c r="P2983">
        <v>58.823999999999998</v>
      </c>
      <c r="Q2983">
        <v>6.7606000000000002</v>
      </c>
      <c r="R2983">
        <v>6.7606000000000002</v>
      </c>
      <c r="S2983">
        <v>6.7606000000000002</v>
      </c>
      <c r="T2983">
        <v>98.319795999999997</v>
      </c>
      <c r="W2983" t="s">
        <v>497</v>
      </c>
    </row>
    <row r="2984" spans="1:23" x14ac:dyDescent="0.25">
      <c r="A2984" t="s">
        <v>3421</v>
      </c>
      <c r="B2984" t="str">
        <f t="shared" si="47"/>
        <v>GA1100001930</v>
      </c>
      <c r="C2984" t="s">
        <v>227</v>
      </c>
      <c r="D2984" t="s">
        <v>77</v>
      </c>
      <c r="E2984" t="s">
        <v>78</v>
      </c>
      <c r="F2984">
        <v>7500</v>
      </c>
      <c r="G2984" s="13">
        <v>45721</v>
      </c>
      <c r="H2984" s="13">
        <v>45814</v>
      </c>
      <c r="I2984">
        <v>2100</v>
      </c>
      <c r="J2984">
        <v>2279</v>
      </c>
      <c r="K2984">
        <v>4379</v>
      </c>
      <c r="N2984">
        <v>33.333333333333329</v>
      </c>
      <c r="O2984">
        <v>6.4217000000000004</v>
      </c>
      <c r="P2984">
        <v>58.386699999999998</v>
      </c>
      <c r="Q2984">
        <v>6.49</v>
      </c>
      <c r="R2984">
        <v>5.9</v>
      </c>
      <c r="S2984">
        <v>6.49</v>
      </c>
      <c r="T2984">
        <v>98.402676</v>
      </c>
      <c r="W2984" t="s">
        <v>497</v>
      </c>
    </row>
    <row r="2985" spans="1:23" x14ac:dyDescent="0.25">
      <c r="A2985" t="s">
        <v>3422</v>
      </c>
      <c r="B2985" t="str">
        <f t="shared" si="47"/>
        <v>CM1200001947</v>
      </c>
      <c r="C2985" t="s">
        <v>225</v>
      </c>
      <c r="D2985" t="s">
        <v>77</v>
      </c>
      <c r="E2985" t="s">
        <v>82</v>
      </c>
      <c r="F2985">
        <v>25000</v>
      </c>
      <c r="G2985" s="13">
        <v>45726</v>
      </c>
      <c r="H2985" s="13">
        <v>45910</v>
      </c>
      <c r="I2985">
        <v>23000</v>
      </c>
      <c r="J2985">
        <v>0</v>
      </c>
      <c r="K2985">
        <v>23000</v>
      </c>
      <c r="N2985">
        <v>22.727272727272727</v>
      </c>
      <c r="O2985">
        <v>6.9827000000000004</v>
      </c>
      <c r="P2985">
        <v>92.42</v>
      </c>
      <c r="Q2985">
        <v>6.8</v>
      </c>
      <c r="R2985">
        <v>6.5</v>
      </c>
      <c r="S2985">
        <v>6.85</v>
      </c>
      <c r="T2985">
        <v>96.590220000000002</v>
      </c>
      <c r="W2985" t="s">
        <v>497</v>
      </c>
    </row>
    <row r="2986" spans="1:23" x14ac:dyDescent="0.25">
      <c r="A2986" t="s">
        <v>3423</v>
      </c>
      <c r="B2986" t="str">
        <f t="shared" si="47"/>
        <v>GQ1300001476</v>
      </c>
      <c r="C2986" t="s">
        <v>528</v>
      </c>
      <c r="D2986" t="s">
        <v>77</v>
      </c>
      <c r="E2986" t="s">
        <v>287</v>
      </c>
      <c r="F2986">
        <v>15000</v>
      </c>
      <c r="G2986" s="13">
        <v>45727</v>
      </c>
      <c r="H2986" s="13">
        <v>46093</v>
      </c>
      <c r="I2986">
        <v>5000</v>
      </c>
      <c r="J2986">
        <v>5448</v>
      </c>
      <c r="K2986">
        <v>10448</v>
      </c>
      <c r="N2986">
        <v>38.461538461538467</v>
      </c>
      <c r="O2986">
        <v>7.0359999999999996</v>
      </c>
      <c r="P2986">
        <v>69.726699999999994</v>
      </c>
      <c r="Q2986">
        <v>6.75</v>
      </c>
      <c r="R2986">
        <v>6.49</v>
      </c>
      <c r="S2986">
        <v>7</v>
      </c>
      <c r="T2986">
        <v>93.358335999999994</v>
      </c>
      <c r="W2986" t="s">
        <v>497</v>
      </c>
    </row>
    <row r="2987" spans="1:23" x14ac:dyDescent="0.25">
      <c r="A2987" t="s">
        <v>3424</v>
      </c>
      <c r="B2987" t="str">
        <f t="shared" si="47"/>
        <v>GA1100001948</v>
      </c>
      <c r="C2987" t="s">
        <v>227</v>
      </c>
      <c r="D2987" t="s">
        <v>77</v>
      </c>
      <c r="E2987" t="s">
        <v>78</v>
      </c>
      <c r="F2987">
        <v>7500</v>
      </c>
      <c r="G2987" s="13">
        <v>45728</v>
      </c>
      <c r="H2987" s="13">
        <v>45821</v>
      </c>
      <c r="I2987">
        <v>2578</v>
      </c>
      <c r="J2987">
        <v>4922</v>
      </c>
      <c r="K2987">
        <v>7500</v>
      </c>
      <c r="N2987">
        <v>38.095238095238095</v>
      </c>
      <c r="O2987">
        <v>6.5712999999999999</v>
      </c>
      <c r="P2987">
        <v>101.12</v>
      </c>
      <c r="Q2987">
        <v>6.5</v>
      </c>
      <c r="R2987">
        <v>6</v>
      </c>
      <c r="S2987">
        <v>6.5</v>
      </c>
      <c r="T2987">
        <v>98.366061000000002</v>
      </c>
      <c r="W2987" t="s">
        <v>497</v>
      </c>
    </row>
    <row r="2988" spans="1:23" x14ac:dyDescent="0.25">
      <c r="A2988" t="s">
        <v>3425</v>
      </c>
      <c r="B2988" t="str">
        <f t="shared" si="47"/>
        <v>CG1100001045</v>
      </c>
      <c r="C2988" t="s">
        <v>229</v>
      </c>
      <c r="D2988" t="s">
        <v>77</v>
      </c>
      <c r="E2988" t="s">
        <v>78</v>
      </c>
      <c r="F2988">
        <v>35000</v>
      </c>
      <c r="G2988" s="13">
        <v>45734</v>
      </c>
      <c r="H2988" s="13">
        <v>45827</v>
      </c>
      <c r="I2988">
        <v>10017</v>
      </c>
      <c r="J2988">
        <v>15010</v>
      </c>
      <c r="K2988">
        <v>25027</v>
      </c>
      <c r="N2988">
        <v>12.5</v>
      </c>
      <c r="O2988">
        <v>7.1254999999999997</v>
      </c>
      <c r="P2988">
        <v>71.505700000000004</v>
      </c>
      <c r="Q2988">
        <v>7</v>
      </c>
      <c r="R2988">
        <v>6.3</v>
      </c>
      <c r="S2988">
        <v>7</v>
      </c>
      <c r="T2988">
        <v>98.230711999999997</v>
      </c>
      <c r="W2988" t="s">
        <v>497</v>
      </c>
    </row>
    <row r="2989" spans="1:23" x14ac:dyDescent="0.25">
      <c r="A2989" t="s">
        <v>3311</v>
      </c>
      <c r="B2989" t="str">
        <f t="shared" si="47"/>
        <v>CG1200001440</v>
      </c>
      <c r="C2989" t="s">
        <v>229</v>
      </c>
      <c r="D2989" t="s">
        <v>77</v>
      </c>
      <c r="E2989" t="s">
        <v>82</v>
      </c>
      <c r="F2989">
        <v>11750</v>
      </c>
      <c r="G2989" s="13">
        <v>45734</v>
      </c>
      <c r="H2989" s="13">
        <v>45764</v>
      </c>
      <c r="I2989">
        <v>11175</v>
      </c>
      <c r="J2989">
        <v>0</v>
      </c>
      <c r="K2989">
        <v>11175</v>
      </c>
      <c r="N2989">
        <v>8.3333333333333321</v>
      </c>
      <c r="O2989">
        <v>0</v>
      </c>
      <c r="P2989">
        <v>95.106399999999994</v>
      </c>
      <c r="Q2989">
        <v>0</v>
      </c>
      <c r="R2989">
        <v>0</v>
      </c>
      <c r="S2989">
        <v>0</v>
      </c>
      <c r="T2989">
        <v>100</v>
      </c>
      <c r="W2989" t="s">
        <v>681</v>
      </c>
    </row>
    <row r="2990" spans="1:23" x14ac:dyDescent="0.25">
      <c r="A2990" t="s">
        <v>3426</v>
      </c>
      <c r="B2990" t="str">
        <f t="shared" si="47"/>
        <v>CG1200001499</v>
      </c>
      <c r="C2990" t="s">
        <v>229</v>
      </c>
      <c r="D2990" t="s">
        <v>77</v>
      </c>
      <c r="E2990" t="s">
        <v>82</v>
      </c>
      <c r="F2990">
        <v>25000</v>
      </c>
      <c r="G2990" s="13">
        <v>45734</v>
      </c>
      <c r="H2990" s="13">
        <v>45918</v>
      </c>
      <c r="I2990">
        <v>10000</v>
      </c>
      <c r="J2990">
        <v>5576</v>
      </c>
      <c r="K2990">
        <v>15576</v>
      </c>
      <c r="N2990">
        <v>16.666666666666664</v>
      </c>
      <c r="O2990">
        <v>7.1684999999999999</v>
      </c>
      <c r="P2990">
        <v>62.304000000000002</v>
      </c>
      <c r="Q2990">
        <v>7</v>
      </c>
      <c r="R2990">
        <v>6.3</v>
      </c>
      <c r="S2990">
        <v>7</v>
      </c>
      <c r="T2990">
        <v>96.502664999999993</v>
      </c>
      <c r="W2990" t="s">
        <v>497</v>
      </c>
    </row>
    <row r="2991" spans="1:23" x14ac:dyDescent="0.25">
      <c r="A2991" t="s">
        <v>3427</v>
      </c>
      <c r="B2991" t="str">
        <f t="shared" si="47"/>
        <v>GA1200002390</v>
      </c>
      <c r="C2991" t="s">
        <v>227</v>
      </c>
      <c r="D2991" t="s">
        <v>77</v>
      </c>
      <c r="E2991" t="s">
        <v>82</v>
      </c>
      <c r="F2991">
        <v>7500</v>
      </c>
      <c r="G2991" s="13">
        <v>45735</v>
      </c>
      <c r="H2991" s="13">
        <v>45919</v>
      </c>
      <c r="I2991">
        <v>1165</v>
      </c>
      <c r="J2991">
        <v>181</v>
      </c>
      <c r="K2991">
        <v>1346</v>
      </c>
      <c r="N2991">
        <v>33.333333333333329</v>
      </c>
      <c r="O2991">
        <v>6.5301</v>
      </c>
      <c r="P2991">
        <v>59.346699999999998</v>
      </c>
      <c r="Q2991">
        <v>6.5</v>
      </c>
      <c r="R2991">
        <v>6.1</v>
      </c>
      <c r="S2991">
        <v>6.8</v>
      </c>
      <c r="T2991">
        <v>96.804182999999995</v>
      </c>
      <c r="W2991" t="s">
        <v>497</v>
      </c>
    </row>
    <row r="2992" spans="1:23" x14ac:dyDescent="0.25">
      <c r="A2992" t="s">
        <v>3428</v>
      </c>
      <c r="B2992" t="str">
        <f t="shared" si="47"/>
        <v>GA1200002408</v>
      </c>
      <c r="C2992" t="s">
        <v>227</v>
      </c>
      <c r="D2992" t="s">
        <v>77</v>
      </c>
      <c r="E2992" t="s">
        <v>82</v>
      </c>
      <c r="F2992">
        <v>20000</v>
      </c>
      <c r="G2992" s="13">
        <v>45735</v>
      </c>
      <c r="H2992" s="13">
        <v>45919</v>
      </c>
      <c r="I2992">
        <v>20000</v>
      </c>
      <c r="J2992">
        <v>0</v>
      </c>
      <c r="K2992">
        <v>20000</v>
      </c>
      <c r="N2992">
        <v>4.7619047619047619</v>
      </c>
      <c r="O2992">
        <v>6.7209000000000003</v>
      </c>
      <c r="P2992">
        <v>100</v>
      </c>
      <c r="Q2992">
        <v>6.5</v>
      </c>
      <c r="R2992">
        <v>6.5</v>
      </c>
      <c r="S2992">
        <v>6.5</v>
      </c>
      <c r="T2992">
        <v>96.713888999999995</v>
      </c>
      <c r="W2992" t="s">
        <v>497</v>
      </c>
    </row>
    <row r="2993" spans="1:23" x14ac:dyDescent="0.25">
      <c r="A2993" t="s">
        <v>3429</v>
      </c>
      <c r="B2993" t="str">
        <f t="shared" si="47"/>
        <v>GA1300000781</v>
      </c>
      <c r="C2993" t="s">
        <v>227</v>
      </c>
      <c r="D2993" t="s">
        <v>77</v>
      </c>
      <c r="E2993" t="s">
        <v>287</v>
      </c>
      <c r="F2993">
        <v>10000</v>
      </c>
      <c r="G2993" s="13">
        <v>45735</v>
      </c>
      <c r="H2993" s="13">
        <v>46101</v>
      </c>
      <c r="I2993">
        <v>10000</v>
      </c>
      <c r="J2993">
        <v>0</v>
      </c>
      <c r="K2993">
        <v>10000</v>
      </c>
      <c r="N2993">
        <v>14.285714285714285</v>
      </c>
      <c r="O2993">
        <v>6.9572000000000003</v>
      </c>
      <c r="P2993">
        <v>115.1</v>
      </c>
      <c r="Q2993">
        <v>6.5</v>
      </c>
      <c r="R2993">
        <v>6.5</v>
      </c>
      <c r="S2993">
        <v>6.5</v>
      </c>
      <c r="T2993">
        <v>93.427778000000004</v>
      </c>
      <c r="W2993" t="s">
        <v>497</v>
      </c>
    </row>
    <row r="2994" spans="1:23" x14ac:dyDescent="0.25">
      <c r="A2994" t="s">
        <v>3430</v>
      </c>
      <c r="B2994" t="str">
        <f t="shared" si="47"/>
        <v>TD1200002053</v>
      </c>
      <c r="C2994" t="s">
        <v>237</v>
      </c>
      <c r="D2994" t="s">
        <v>77</v>
      </c>
      <c r="E2994" t="s">
        <v>82</v>
      </c>
      <c r="F2994">
        <v>25000</v>
      </c>
      <c r="G2994" s="13">
        <v>45735</v>
      </c>
      <c r="H2994" s="13">
        <v>45919</v>
      </c>
      <c r="I2994">
        <v>871</v>
      </c>
      <c r="J2994">
        <v>13569</v>
      </c>
      <c r="K2994">
        <v>14440</v>
      </c>
      <c r="N2994">
        <v>25</v>
      </c>
      <c r="O2994">
        <v>6.8296000000000001</v>
      </c>
      <c r="P2994">
        <v>57.76</v>
      </c>
      <c r="Q2994">
        <v>6.75</v>
      </c>
      <c r="R2994">
        <v>6.5</v>
      </c>
      <c r="S2994">
        <v>6.75</v>
      </c>
      <c r="T2994">
        <v>96.662502000000003</v>
      </c>
      <c r="W2994" t="s">
        <v>497</v>
      </c>
    </row>
    <row r="2995" spans="1:23" x14ac:dyDescent="0.25">
      <c r="A2995" t="s">
        <v>3431</v>
      </c>
      <c r="B2995" t="str">
        <f t="shared" si="47"/>
        <v>CM1200001954</v>
      </c>
      <c r="C2995" t="s">
        <v>225</v>
      </c>
      <c r="D2995" t="s">
        <v>77</v>
      </c>
      <c r="E2995" t="s">
        <v>82</v>
      </c>
      <c r="F2995">
        <v>30000</v>
      </c>
      <c r="G2995" s="13">
        <v>45740</v>
      </c>
      <c r="H2995" s="13">
        <v>45924</v>
      </c>
      <c r="I2995">
        <v>10043</v>
      </c>
      <c r="J2995">
        <v>2150</v>
      </c>
      <c r="K2995">
        <v>12193</v>
      </c>
      <c r="N2995">
        <v>27.27272727272727</v>
      </c>
      <c r="O2995">
        <v>6.9175000000000004</v>
      </c>
      <c r="P2995">
        <v>40.643300000000004</v>
      </c>
      <c r="Q2995">
        <v>6.8</v>
      </c>
      <c r="R2995">
        <v>6</v>
      </c>
      <c r="S2995">
        <v>6.8</v>
      </c>
      <c r="T2995">
        <v>96.620992000000001</v>
      </c>
      <c r="W2995" t="s">
        <v>497</v>
      </c>
    </row>
    <row r="2996" spans="1:23" x14ac:dyDescent="0.25">
      <c r="A2996" t="s">
        <v>3432</v>
      </c>
      <c r="B2996" t="str">
        <f t="shared" si="47"/>
        <v>CG1100001052</v>
      </c>
      <c r="C2996" t="s">
        <v>229</v>
      </c>
      <c r="D2996" t="s">
        <v>77</v>
      </c>
      <c r="E2996" t="s">
        <v>78</v>
      </c>
      <c r="F2996">
        <v>35000</v>
      </c>
      <c r="G2996" s="13">
        <v>45741</v>
      </c>
      <c r="H2996" s="13">
        <v>45834</v>
      </c>
      <c r="I2996">
        <v>16650</v>
      </c>
      <c r="J2996">
        <v>2119</v>
      </c>
      <c r="K2996">
        <v>18769</v>
      </c>
      <c r="N2996">
        <v>20.833333333333336</v>
      </c>
      <c r="O2996">
        <v>7.0648999999999997</v>
      </c>
      <c r="P2996">
        <v>53.625700000000002</v>
      </c>
      <c r="Q2996">
        <v>7</v>
      </c>
      <c r="R2996">
        <v>6</v>
      </c>
      <c r="S2996">
        <v>7</v>
      </c>
      <c r="T2996">
        <v>98.245485000000002</v>
      </c>
      <c r="W2996" t="s">
        <v>497</v>
      </c>
    </row>
    <row r="2997" spans="1:23" x14ac:dyDescent="0.25">
      <c r="A2997" t="s">
        <v>3433</v>
      </c>
      <c r="B2997" t="str">
        <f t="shared" si="47"/>
        <v>CG1200001507</v>
      </c>
      <c r="C2997" t="s">
        <v>229</v>
      </c>
      <c r="D2997" t="s">
        <v>77</v>
      </c>
      <c r="E2997" t="s">
        <v>82</v>
      </c>
      <c r="F2997">
        <v>25000</v>
      </c>
      <c r="G2997" s="13">
        <v>45741</v>
      </c>
      <c r="H2997" s="13">
        <v>45925</v>
      </c>
      <c r="I2997">
        <v>2220</v>
      </c>
      <c r="J2997">
        <v>97</v>
      </c>
      <c r="K2997">
        <v>2317</v>
      </c>
      <c r="N2997">
        <v>20.833333333333336</v>
      </c>
      <c r="O2997">
        <v>6.9725000000000001</v>
      </c>
      <c r="P2997">
        <v>9.2680000000000007</v>
      </c>
      <c r="Q2997">
        <v>6.75</v>
      </c>
      <c r="R2997">
        <v>6.5</v>
      </c>
      <c r="S2997">
        <v>6.75</v>
      </c>
      <c r="T2997">
        <v>96.595016999999999</v>
      </c>
      <c r="W2997" t="s">
        <v>497</v>
      </c>
    </row>
    <row r="2998" spans="1:23" x14ac:dyDescent="0.25">
      <c r="A2998" t="s">
        <v>3434</v>
      </c>
      <c r="B2998" t="str">
        <f t="shared" si="47"/>
        <v>GQ1300001484</v>
      </c>
      <c r="C2998" t="s">
        <v>528</v>
      </c>
      <c r="D2998" t="s">
        <v>77</v>
      </c>
      <c r="E2998" t="s">
        <v>287</v>
      </c>
      <c r="F2998">
        <v>15000</v>
      </c>
      <c r="G2998" s="13">
        <v>45741</v>
      </c>
      <c r="H2998" s="13">
        <v>46107</v>
      </c>
      <c r="I2998">
        <v>9240</v>
      </c>
      <c r="J2998">
        <v>5750</v>
      </c>
      <c r="K2998">
        <v>14990</v>
      </c>
      <c r="N2998">
        <v>30.76923076923077</v>
      </c>
      <c r="O2998">
        <v>7.2106000000000003</v>
      </c>
      <c r="P2998">
        <v>99.933300000000003</v>
      </c>
      <c r="Q2998">
        <v>7</v>
      </c>
      <c r="R2998">
        <v>6.5</v>
      </c>
      <c r="S2998">
        <v>7</v>
      </c>
      <c r="T2998">
        <v>93.204678999999999</v>
      </c>
      <c r="W2998" t="s">
        <v>497</v>
      </c>
    </row>
    <row r="2999" spans="1:23" x14ac:dyDescent="0.25">
      <c r="A2999" t="s">
        <v>3435</v>
      </c>
      <c r="B2999" t="str">
        <f t="shared" si="47"/>
        <v>GA1200002416</v>
      </c>
      <c r="C2999" t="s">
        <v>227</v>
      </c>
      <c r="D2999" t="s">
        <v>77</v>
      </c>
      <c r="E2999" t="s">
        <v>82</v>
      </c>
      <c r="F2999">
        <v>10000</v>
      </c>
      <c r="G2999" s="13">
        <v>45742</v>
      </c>
      <c r="H2999" s="13">
        <v>45926</v>
      </c>
      <c r="I2999">
        <v>662</v>
      </c>
      <c r="J2999">
        <v>5680</v>
      </c>
      <c r="K2999">
        <v>6342</v>
      </c>
      <c r="N2999">
        <v>23.809523809523807</v>
      </c>
      <c r="O2999">
        <v>6.7146999999999997</v>
      </c>
      <c r="P2999">
        <v>63.42</v>
      </c>
      <c r="Q2999">
        <v>6.5</v>
      </c>
      <c r="R2999">
        <v>6.2</v>
      </c>
      <c r="S2999">
        <v>6.5</v>
      </c>
      <c r="T2999">
        <v>96.716806000000005</v>
      </c>
      <c r="W2999" t="s">
        <v>497</v>
      </c>
    </row>
    <row r="3000" spans="1:23" x14ac:dyDescent="0.25">
      <c r="A3000" t="s">
        <v>3436</v>
      </c>
      <c r="B3000" t="str">
        <f t="shared" si="47"/>
        <v>GA1300000799</v>
      </c>
      <c r="C3000" t="s">
        <v>227</v>
      </c>
      <c r="D3000" t="s">
        <v>77</v>
      </c>
      <c r="E3000" t="s">
        <v>287</v>
      </c>
      <c r="F3000">
        <v>20000</v>
      </c>
      <c r="G3000" s="13">
        <v>45742</v>
      </c>
      <c r="H3000" s="13">
        <v>46107</v>
      </c>
      <c r="I3000">
        <v>13380</v>
      </c>
      <c r="J3000">
        <v>338</v>
      </c>
      <c r="K3000">
        <v>13718</v>
      </c>
      <c r="N3000">
        <v>19.047619047619047</v>
      </c>
      <c r="O3000">
        <v>7.2439999999999998</v>
      </c>
      <c r="P3000">
        <v>68.59</v>
      </c>
      <c r="Q3000">
        <v>6.75</v>
      </c>
      <c r="R3000">
        <v>6.5</v>
      </c>
      <c r="S3000">
        <v>6.8</v>
      </c>
      <c r="T3000">
        <v>93.175374000000005</v>
      </c>
      <c r="W3000" t="s">
        <v>497</v>
      </c>
    </row>
    <row r="3001" spans="1:23" x14ac:dyDescent="0.25">
      <c r="A3001" t="s">
        <v>3437</v>
      </c>
      <c r="B3001" t="str">
        <f t="shared" si="47"/>
        <v>CM1200001962</v>
      </c>
      <c r="C3001" t="s">
        <v>225</v>
      </c>
      <c r="D3001" t="s">
        <v>77</v>
      </c>
      <c r="E3001" t="s">
        <v>82</v>
      </c>
      <c r="F3001">
        <v>10000</v>
      </c>
      <c r="G3001" s="13">
        <v>45747</v>
      </c>
      <c r="H3001" s="13">
        <v>45931</v>
      </c>
      <c r="I3001">
        <v>9480</v>
      </c>
      <c r="J3001">
        <v>0</v>
      </c>
      <c r="K3001">
        <v>9480</v>
      </c>
      <c r="N3001">
        <v>18.181818181818183</v>
      </c>
      <c r="O3001">
        <v>6.65</v>
      </c>
      <c r="P3001">
        <v>114.8</v>
      </c>
      <c r="Q3001">
        <v>6.65</v>
      </c>
      <c r="R3001">
        <v>5.65</v>
      </c>
      <c r="S3001">
        <v>6.7</v>
      </c>
      <c r="T3001">
        <v>96.741219999999998</v>
      </c>
      <c r="W3001" t="s">
        <v>497</v>
      </c>
    </row>
    <row r="3002" spans="1:23" x14ac:dyDescent="0.25">
      <c r="A3002" t="s">
        <v>3438</v>
      </c>
      <c r="B3002" t="str">
        <f t="shared" si="47"/>
        <v>CM1300000823</v>
      </c>
      <c r="C3002" t="s">
        <v>225</v>
      </c>
      <c r="D3002" t="s">
        <v>77</v>
      </c>
      <c r="E3002" t="s">
        <v>287</v>
      </c>
      <c r="F3002">
        <v>10000</v>
      </c>
      <c r="G3002" s="13">
        <v>45747</v>
      </c>
      <c r="H3002" s="13">
        <v>46113</v>
      </c>
      <c r="I3002">
        <v>7506</v>
      </c>
      <c r="J3002">
        <v>0</v>
      </c>
      <c r="K3002">
        <v>7506</v>
      </c>
      <c r="N3002">
        <v>13.636363636363635</v>
      </c>
      <c r="O3002">
        <v>7.2077999999999998</v>
      </c>
      <c r="P3002">
        <v>75.16</v>
      </c>
      <c r="Q3002">
        <v>6.8</v>
      </c>
      <c r="R3002">
        <v>6.15</v>
      </c>
      <c r="S3002">
        <v>7</v>
      </c>
      <c r="T3002">
        <v>93.207194999999999</v>
      </c>
      <c r="W3002" t="s">
        <v>497</v>
      </c>
    </row>
    <row r="3003" spans="1:23" x14ac:dyDescent="0.25">
      <c r="A3003" t="s">
        <v>3439</v>
      </c>
      <c r="B3003" t="str">
        <f t="shared" si="47"/>
        <v>CG1200001515</v>
      </c>
      <c r="C3003" t="s">
        <v>229</v>
      </c>
      <c r="D3003" t="s">
        <v>77</v>
      </c>
      <c r="E3003" t="s">
        <v>82</v>
      </c>
      <c r="F3003">
        <v>15000</v>
      </c>
      <c r="G3003" s="13">
        <v>45748</v>
      </c>
      <c r="H3003" s="13">
        <v>45932</v>
      </c>
      <c r="I3003">
        <v>1360</v>
      </c>
      <c r="J3003">
        <v>700</v>
      </c>
      <c r="K3003">
        <v>2060</v>
      </c>
      <c r="N3003">
        <v>12.5</v>
      </c>
      <c r="O3003">
        <v>6.9001000000000001</v>
      </c>
      <c r="P3003">
        <v>13.7333</v>
      </c>
      <c r="Q3003">
        <v>6.75</v>
      </c>
      <c r="R3003">
        <v>6.5</v>
      </c>
      <c r="S3003">
        <v>6.75</v>
      </c>
      <c r="T3003">
        <v>96.629183999999995</v>
      </c>
      <c r="W3003" t="s">
        <v>497</v>
      </c>
    </row>
    <row r="3004" spans="1:23" x14ac:dyDescent="0.25">
      <c r="A3004" t="s">
        <v>3440</v>
      </c>
      <c r="B3004" t="str">
        <f t="shared" si="47"/>
        <v>CG1300000839</v>
      </c>
      <c r="C3004" t="s">
        <v>229</v>
      </c>
      <c r="D3004" t="s">
        <v>77</v>
      </c>
      <c r="E3004" t="s">
        <v>287</v>
      </c>
      <c r="G3004" s="13">
        <v>45748</v>
      </c>
      <c r="H3004" s="13"/>
      <c r="J3004">
        <v>0</v>
      </c>
      <c r="N3004">
        <v>0</v>
      </c>
      <c r="T3004" t="s">
        <v>1418</v>
      </c>
      <c r="W3004" t="s">
        <v>497</v>
      </c>
    </row>
    <row r="3005" spans="1:23" x14ac:dyDescent="0.25">
      <c r="A3005" t="s">
        <v>3441</v>
      </c>
      <c r="B3005" t="str">
        <f t="shared" si="47"/>
        <v>GA1100001955</v>
      </c>
      <c r="C3005" t="s">
        <v>227</v>
      </c>
      <c r="D3005" t="s">
        <v>77</v>
      </c>
      <c r="E3005" t="s">
        <v>78</v>
      </c>
      <c r="G3005" s="13">
        <v>45749</v>
      </c>
      <c r="H3005" s="13"/>
      <c r="J3005">
        <v>0</v>
      </c>
      <c r="N3005">
        <v>0</v>
      </c>
      <c r="T3005" t="s">
        <v>1418</v>
      </c>
      <c r="W3005" t="s">
        <v>497</v>
      </c>
    </row>
    <row r="3006" spans="1:23" x14ac:dyDescent="0.25">
      <c r="A3006" t="s">
        <v>3442</v>
      </c>
      <c r="B3006" t="str">
        <f t="shared" si="47"/>
        <v>GA1300000799</v>
      </c>
      <c r="C3006" t="s">
        <v>227</v>
      </c>
      <c r="D3006" t="s">
        <v>77</v>
      </c>
      <c r="E3006" t="s">
        <v>287</v>
      </c>
      <c r="F3006">
        <v>8000</v>
      </c>
      <c r="G3006" s="13">
        <v>45749</v>
      </c>
      <c r="H3006" s="13">
        <v>46108</v>
      </c>
      <c r="I3006">
        <v>7000</v>
      </c>
      <c r="J3006">
        <v>0</v>
      </c>
      <c r="K3006">
        <v>7000</v>
      </c>
      <c r="N3006">
        <v>9.5238095238095237</v>
      </c>
      <c r="O3006">
        <v>7.2439999999999998</v>
      </c>
      <c r="P3006">
        <v>87.625</v>
      </c>
      <c r="Q3006">
        <v>6.75</v>
      </c>
      <c r="R3006">
        <v>6.5</v>
      </c>
      <c r="S3006">
        <v>7</v>
      </c>
      <c r="T3006">
        <v>93.306250000000006</v>
      </c>
      <c r="W3006" t="s">
        <v>497</v>
      </c>
    </row>
    <row r="3007" spans="1:23" x14ac:dyDescent="0.25">
      <c r="A3007" t="s">
        <v>3443</v>
      </c>
      <c r="B3007" t="str">
        <f t="shared" si="47"/>
        <v>CM1300000831</v>
      </c>
      <c r="C3007" t="s">
        <v>225</v>
      </c>
      <c r="D3007" t="s">
        <v>77</v>
      </c>
      <c r="E3007" t="s">
        <v>287</v>
      </c>
      <c r="F3007">
        <v>25000</v>
      </c>
      <c r="G3007" s="13">
        <v>45754</v>
      </c>
      <c r="H3007" s="13">
        <v>46119</v>
      </c>
      <c r="I3007">
        <v>22512</v>
      </c>
      <c r="J3007">
        <v>0</v>
      </c>
      <c r="K3007">
        <v>22512</v>
      </c>
      <c r="N3007">
        <v>13.636363636363635</v>
      </c>
      <c r="O3007">
        <v>7.2606999999999999</v>
      </c>
      <c r="P3007">
        <v>90.048000000000002</v>
      </c>
      <c r="Q3007">
        <v>7</v>
      </c>
      <c r="R3007">
        <v>5.5</v>
      </c>
      <c r="S3007">
        <v>7</v>
      </c>
      <c r="T3007">
        <v>93.160762000000005</v>
      </c>
      <c r="W3007" t="s">
        <v>497</v>
      </c>
    </row>
    <row r="3008" spans="1:23" x14ac:dyDescent="0.25">
      <c r="A3008" t="s">
        <v>3444</v>
      </c>
      <c r="B3008" t="str">
        <f t="shared" si="47"/>
        <v>CG1100001060</v>
      </c>
      <c r="C3008" t="s">
        <v>229</v>
      </c>
      <c r="D3008" t="s">
        <v>77</v>
      </c>
      <c r="E3008" t="s">
        <v>78</v>
      </c>
      <c r="G3008" s="13">
        <v>45755</v>
      </c>
      <c r="H3008" s="13"/>
      <c r="J3008">
        <v>0</v>
      </c>
      <c r="N3008">
        <v>0</v>
      </c>
      <c r="T3008" t="s">
        <v>1418</v>
      </c>
      <c r="W3008" t="s">
        <v>497</v>
      </c>
    </row>
    <row r="3009" spans="1:23" x14ac:dyDescent="0.25">
      <c r="A3009" t="s">
        <v>3445</v>
      </c>
      <c r="B3009" t="str">
        <f t="shared" si="47"/>
        <v>CG1200001523</v>
      </c>
      <c r="C3009" t="s">
        <v>229</v>
      </c>
      <c r="D3009" t="s">
        <v>77</v>
      </c>
      <c r="E3009" t="s">
        <v>82</v>
      </c>
      <c r="F3009">
        <v>16000</v>
      </c>
      <c r="G3009" s="13">
        <v>45755</v>
      </c>
      <c r="H3009" s="13">
        <v>45939</v>
      </c>
      <c r="I3009">
        <v>4212</v>
      </c>
      <c r="J3009">
        <v>0</v>
      </c>
      <c r="K3009">
        <v>4212</v>
      </c>
      <c r="N3009">
        <v>8.3333333333333321</v>
      </c>
      <c r="O3009">
        <v>6.9778000000000002</v>
      </c>
      <c r="P3009">
        <v>8.875</v>
      </c>
      <c r="Q3009">
        <v>6.74</v>
      </c>
      <c r="R3009">
        <v>6.74</v>
      </c>
      <c r="S3009">
        <v>8</v>
      </c>
      <c r="T3009">
        <v>96.592556000000002</v>
      </c>
      <c r="W3009" t="s">
        <v>497</v>
      </c>
    </row>
    <row r="3010" spans="1:23" x14ac:dyDescent="0.25">
      <c r="A3010" t="s">
        <v>3446</v>
      </c>
      <c r="B3010" t="str">
        <f t="shared" si="47"/>
        <v>GA1300000807</v>
      </c>
      <c r="C3010" t="s">
        <v>227</v>
      </c>
      <c r="D3010" t="s">
        <v>77</v>
      </c>
      <c r="E3010" t="s">
        <v>287</v>
      </c>
      <c r="F3010">
        <v>8500</v>
      </c>
      <c r="G3010" s="13">
        <v>45756</v>
      </c>
      <c r="H3010" s="13">
        <v>46122</v>
      </c>
      <c r="I3010">
        <v>3015</v>
      </c>
      <c r="J3010">
        <v>270</v>
      </c>
      <c r="K3010">
        <v>3285</v>
      </c>
      <c r="N3010">
        <v>19.047619047619047</v>
      </c>
      <c r="O3010">
        <v>6.9572000000000003</v>
      </c>
      <c r="P3010">
        <v>46.988199999999999</v>
      </c>
      <c r="Q3010">
        <v>6.5</v>
      </c>
      <c r="R3010">
        <v>6.5</v>
      </c>
      <c r="S3010">
        <v>6.7</v>
      </c>
      <c r="T3010">
        <v>93.427778000000004</v>
      </c>
      <c r="W3010" t="s">
        <v>497</v>
      </c>
    </row>
    <row r="3011" spans="1:23" x14ac:dyDescent="0.25">
      <c r="A3011" t="s">
        <v>3447</v>
      </c>
      <c r="B3011" t="str">
        <f t="shared" si="47"/>
        <v>TD1300000759</v>
      </c>
      <c r="C3011" t="s">
        <v>237</v>
      </c>
      <c r="D3011" t="s">
        <v>77</v>
      </c>
      <c r="E3011" t="s">
        <v>287</v>
      </c>
      <c r="F3011">
        <v>15000</v>
      </c>
      <c r="G3011" s="13">
        <v>45756</v>
      </c>
      <c r="H3011" s="13">
        <v>46122</v>
      </c>
      <c r="I3011">
        <v>0</v>
      </c>
      <c r="J3011">
        <v>15000</v>
      </c>
      <c r="K3011">
        <v>15000</v>
      </c>
      <c r="N3011">
        <v>16.666666666666664</v>
      </c>
      <c r="O3011">
        <v>6.9572000000000003</v>
      </c>
      <c r="P3011">
        <v>100.18</v>
      </c>
      <c r="Q3011">
        <v>6.5</v>
      </c>
      <c r="R3011">
        <v>6.5</v>
      </c>
      <c r="S3011">
        <v>6.5</v>
      </c>
      <c r="T3011">
        <v>93.427778000000004</v>
      </c>
      <c r="W3011" t="s">
        <v>497</v>
      </c>
    </row>
    <row r="3012" spans="1:23" x14ac:dyDescent="0.25">
      <c r="A3012" t="s">
        <v>3448</v>
      </c>
      <c r="B3012" t="str">
        <f t="shared" si="47"/>
        <v>CG1100001078</v>
      </c>
      <c r="C3012" t="s">
        <v>229</v>
      </c>
      <c r="D3012" t="s">
        <v>77</v>
      </c>
      <c r="E3012" t="s">
        <v>78</v>
      </c>
      <c r="F3012">
        <v>45000</v>
      </c>
      <c r="G3012" s="13">
        <v>45762</v>
      </c>
      <c r="H3012" s="13">
        <v>45855</v>
      </c>
      <c r="I3012">
        <v>8500</v>
      </c>
      <c r="J3012">
        <v>24227</v>
      </c>
      <c r="K3012">
        <v>32727</v>
      </c>
      <c r="N3012">
        <v>16.666666666666664</v>
      </c>
      <c r="O3012">
        <v>6.9802999999999997</v>
      </c>
      <c r="P3012">
        <v>72.726699999999994</v>
      </c>
      <c r="Q3012">
        <v>7</v>
      </c>
      <c r="R3012">
        <v>6</v>
      </c>
      <c r="S3012">
        <v>7</v>
      </c>
      <c r="T3012">
        <v>98.299128999999994</v>
      </c>
      <c r="W3012" t="s">
        <v>497</v>
      </c>
    </row>
    <row r="3013" spans="1:23" x14ac:dyDescent="0.25">
      <c r="A3013" t="s">
        <v>3449</v>
      </c>
      <c r="B3013" t="str">
        <f t="shared" si="47"/>
        <v>CG1200001531</v>
      </c>
      <c r="C3013" t="s">
        <v>229</v>
      </c>
      <c r="D3013" t="s">
        <v>77</v>
      </c>
      <c r="E3013" t="s">
        <v>82</v>
      </c>
      <c r="F3013">
        <v>60000</v>
      </c>
      <c r="G3013" s="13">
        <v>45762</v>
      </c>
      <c r="H3013" s="13">
        <v>45946</v>
      </c>
      <c r="I3013">
        <v>15295</v>
      </c>
      <c r="J3013">
        <v>19110</v>
      </c>
      <c r="K3013">
        <v>34405</v>
      </c>
      <c r="N3013">
        <v>25</v>
      </c>
      <c r="O3013">
        <v>6.9695</v>
      </c>
      <c r="P3013">
        <v>57.341700000000003</v>
      </c>
      <c r="Q3013">
        <v>7</v>
      </c>
      <c r="R3013">
        <v>6</v>
      </c>
      <c r="S3013">
        <v>7</v>
      </c>
      <c r="T3013">
        <v>96.596469999999997</v>
      </c>
      <c r="W3013" t="s">
        <v>497</v>
      </c>
    </row>
    <row r="3014" spans="1:23" x14ac:dyDescent="0.25">
      <c r="A3014" t="s">
        <v>3450</v>
      </c>
      <c r="B3014" t="str">
        <f t="shared" si="47"/>
        <v>CG1300000847</v>
      </c>
      <c r="C3014" t="s">
        <v>229</v>
      </c>
      <c r="D3014" t="s">
        <v>77</v>
      </c>
      <c r="E3014" t="s">
        <v>287</v>
      </c>
      <c r="F3014">
        <v>35000</v>
      </c>
      <c r="G3014" s="13">
        <v>45762</v>
      </c>
      <c r="H3014" s="13">
        <v>46128</v>
      </c>
      <c r="I3014">
        <v>10180</v>
      </c>
      <c r="J3014">
        <v>929</v>
      </c>
      <c r="K3014">
        <v>11109</v>
      </c>
      <c r="N3014">
        <v>16.666666666666664</v>
      </c>
      <c r="O3014">
        <v>7.5195999999999996</v>
      </c>
      <c r="P3014">
        <v>31.74</v>
      </c>
      <c r="Q3014">
        <v>7</v>
      </c>
      <c r="R3014">
        <v>6.5</v>
      </c>
      <c r="S3014">
        <v>7</v>
      </c>
      <c r="T3014">
        <v>92.934123</v>
      </c>
      <c r="W3014" t="s">
        <v>497</v>
      </c>
    </row>
    <row r="3015" spans="1:23" x14ac:dyDescent="0.25">
      <c r="A3015" t="s">
        <v>3451</v>
      </c>
      <c r="B3015" t="str">
        <f t="shared" si="47"/>
        <v>GA1200002424</v>
      </c>
      <c r="C3015" t="s">
        <v>227</v>
      </c>
      <c r="D3015" t="s">
        <v>77</v>
      </c>
      <c r="E3015" t="s">
        <v>82</v>
      </c>
      <c r="G3015" s="13">
        <v>45763</v>
      </c>
      <c r="H3015" s="13"/>
      <c r="J3015">
        <v>0</v>
      </c>
      <c r="N3015">
        <v>0</v>
      </c>
      <c r="T3015" t="s">
        <v>1418</v>
      </c>
      <c r="W3015" t="s">
        <v>497</v>
      </c>
    </row>
    <row r="3016" spans="1:23" x14ac:dyDescent="0.25">
      <c r="A3016" t="s">
        <v>3452</v>
      </c>
      <c r="B3016" t="str">
        <f t="shared" si="47"/>
        <v>CM1100001146</v>
      </c>
      <c r="C3016" t="s">
        <v>225</v>
      </c>
      <c r="D3016" t="s">
        <v>77</v>
      </c>
      <c r="E3016" t="s">
        <v>78</v>
      </c>
      <c r="F3016">
        <v>10000</v>
      </c>
      <c r="G3016" s="13">
        <v>45768</v>
      </c>
      <c r="H3016" s="13">
        <v>45861</v>
      </c>
      <c r="I3016">
        <v>10000</v>
      </c>
      <c r="J3016">
        <v>0</v>
      </c>
      <c r="K3016">
        <v>10000</v>
      </c>
      <c r="N3016">
        <v>22.727272727272727</v>
      </c>
      <c r="O3016">
        <v>6.4466000000000001</v>
      </c>
      <c r="P3016">
        <v>212.45</v>
      </c>
      <c r="Q3016">
        <v>6.4</v>
      </c>
      <c r="R3016">
        <v>6</v>
      </c>
      <c r="S3016">
        <v>6.6</v>
      </c>
      <c r="T3016">
        <v>98.39658</v>
      </c>
      <c r="W3016" t="s">
        <v>497</v>
      </c>
    </row>
    <row r="3017" spans="1:23" x14ac:dyDescent="0.25">
      <c r="A3017" t="s">
        <v>3453</v>
      </c>
      <c r="B3017" t="str">
        <f t="shared" si="47"/>
        <v>CM1300000849</v>
      </c>
      <c r="C3017" t="s">
        <v>225</v>
      </c>
      <c r="D3017" t="s">
        <v>77</v>
      </c>
      <c r="E3017" t="s">
        <v>287</v>
      </c>
      <c r="F3017">
        <v>15000</v>
      </c>
      <c r="G3017" s="13">
        <v>45768</v>
      </c>
      <c r="H3017" s="13">
        <v>46134</v>
      </c>
      <c r="I3017">
        <v>15000</v>
      </c>
      <c r="J3017">
        <v>0</v>
      </c>
      <c r="K3017">
        <v>15000</v>
      </c>
      <c r="N3017">
        <v>13.636363636363635</v>
      </c>
      <c r="O3017">
        <v>7.3297999999999996</v>
      </c>
      <c r="P3017">
        <v>11.62</v>
      </c>
      <c r="Q3017">
        <v>6.9</v>
      </c>
      <c r="R3017">
        <v>6.35</v>
      </c>
      <c r="S3017">
        <v>6.9</v>
      </c>
      <c r="T3017">
        <v>93.100150999999997</v>
      </c>
      <c r="W3017" t="s">
        <v>497</v>
      </c>
    </row>
    <row r="3018" spans="1:23" x14ac:dyDescent="0.25">
      <c r="A3018" t="s">
        <v>3454</v>
      </c>
      <c r="B3018" t="str">
        <f t="shared" si="47"/>
        <v>CG1100001086</v>
      </c>
      <c r="C3018" t="s">
        <v>229</v>
      </c>
      <c r="D3018" t="s">
        <v>77</v>
      </c>
      <c r="E3018" t="s">
        <v>78</v>
      </c>
      <c r="F3018">
        <v>25000</v>
      </c>
      <c r="G3018" s="13">
        <v>45769</v>
      </c>
      <c r="H3018" s="13">
        <v>45862</v>
      </c>
      <c r="I3018">
        <v>7000</v>
      </c>
      <c r="J3018">
        <v>12000</v>
      </c>
      <c r="K3018">
        <v>19000</v>
      </c>
      <c r="N3018">
        <v>8.3333333333333321</v>
      </c>
      <c r="O3018">
        <v>6.6086</v>
      </c>
      <c r="P3018">
        <v>76</v>
      </c>
      <c r="Q3018">
        <v>6.5</v>
      </c>
      <c r="R3018">
        <v>6.5</v>
      </c>
      <c r="S3018">
        <v>6.5</v>
      </c>
      <c r="T3018">
        <v>98.356943999999999</v>
      </c>
      <c r="W3018" t="s">
        <v>497</v>
      </c>
    </row>
    <row r="3019" spans="1:23" x14ac:dyDescent="0.25">
      <c r="A3019" t="s">
        <v>3455</v>
      </c>
      <c r="B3019" t="str">
        <f t="shared" si="47"/>
        <v>CG1200001549</v>
      </c>
      <c r="C3019" t="s">
        <v>229</v>
      </c>
      <c r="D3019" t="s">
        <v>77</v>
      </c>
      <c r="E3019" t="s">
        <v>82</v>
      </c>
      <c r="F3019">
        <v>35000</v>
      </c>
      <c r="G3019" s="13">
        <v>45769</v>
      </c>
      <c r="H3019" s="13">
        <v>45953</v>
      </c>
      <c r="I3019">
        <v>1100</v>
      </c>
      <c r="J3019">
        <v>604</v>
      </c>
      <c r="K3019">
        <v>1704</v>
      </c>
      <c r="N3019">
        <v>8.3333333333333321</v>
      </c>
      <c r="O3019">
        <v>6.8865999999999996</v>
      </c>
      <c r="P3019">
        <v>4.8685999999999998</v>
      </c>
      <c r="Q3019">
        <v>6.74</v>
      </c>
      <c r="R3019">
        <v>6.5</v>
      </c>
      <c r="S3019">
        <v>6.74</v>
      </c>
      <c r="T3019">
        <v>96.635563000000005</v>
      </c>
      <c r="W3019" t="s">
        <v>497</v>
      </c>
    </row>
    <row r="3020" spans="1:23" x14ac:dyDescent="0.25">
      <c r="A3020" t="s">
        <v>3456</v>
      </c>
      <c r="B3020" t="str">
        <f t="shared" si="47"/>
        <v>GQ1200000172</v>
      </c>
      <c r="C3020" t="s">
        <v>528</v>
      </c>
      <c r="D3020" t="s">
        <v>77</v>
      </c>
      <c r="E3020" t="s">
        <v>82</v>
      </c>
      <c r="F3020">
        <v>15000</v>
      </c>
      <c r="G3020" s="13">
        <v>45769</v>
      </c>
      <c r="H3020" s="13">
        <v>45953</v>
      </c>
      <c r="I3020">
        <v>13945</v>
      </c>
      <c r="J3020">
        <v>1055</v>
      </c>
      <c r="K3020">
        <v>15000</v>
      </c>
      <c r="N3020">
        <v>23.076923076923077</v>
      </c>
      <c r="O3020">
        <v>6.7629000000000001</v>
      </c>
      <c r="P3020">
        <v>107.0333</v>
      </c>
      <c r="Q3020">
        <v>6.6</v>
      </c>
      <c r="R3020">
        <v>5.4</v>
      </c>
      <c r="S3020">
        <v>6.6</v>
      </c>
      <c r="T3020">
        <v>96.694021000000006</v>
      </c>
      <c r="W3020" t="s">
        <v>497</v>
      </c>
    </row>
    <row r="3021" spans="1:23" x14ac:dyDescent="0.25">
      <c r="A3021" t="s">
        <v>3457</v>
      </c>
      <c r="B3021" t="str">
        <f t="shared" si="47"/>
        <v>GA1100001963</v>
      </c>
      <c r="C3021" t="s">
        <v>227</v>
      </c>
      <c r="D3021" t="s">
        <v>77</v>
      </c>
      <c r="E3021" t="s">
        <v>78</v>
      </c>
      <c r="F3021">
        <v>7500</v>
      </c>
      <c r="G3021" s="13">
        <v>45770</v>
      </c>
      <c r="H3021" s="13">
        <v>45863</v>
      </c>
      <c r="I3021">
        <v>5284</v>
      </c>
      <c r="J3021">
        <v>2216</v>
      </c>
      <c r="K3021">
        <v>7500</v>
      </c>
      <c r="N3021">
        <v>23.809523809523807</v>
      </c>
      <c r="O3021">
        <v>6.5872999999999999</v>
      </c>
      <c r="P3021">
        <v>145.82669999999999</v>
      </c>
      <c r="Q3021">
        <v>6.5</v>
      </c>
      <c r="R3021">
        <v>6</v>
      </c>
      <c r="S3021">
        <v>6.5</v>
      </c>
      <c r="T3021">
        <v>98.362156999999996</v>
      </c>
      <c r="W3021" t="s">
        <v>497</v>
      </c>
    </row>
    <row r="3022" spans="1:23" x14ac:dyDescent="0.25">
      <c r="A3022" t="s">
        <v>3458</v>
      </c>
      <c r="B3022" t="str">
        <f t="shared" si="47"/>
        <v>TD1200002061</v>
      </c>
      <c r="C3022" t="s">
        <v>237</v>
      </c>
      <c r="D3022" t="s">
        <v>77</v>
      </c>
      <c r="E3022" t="s">
        <v>82</v>
      </c>
      <c r="F3022">
        <v>25000</v>
      </c>
      <c r="G3022" s="13">
        <v>45770</v>
      </c>
      <c r="H3022" s="13">
        <v>45954</v>
      </c>
      <c r="I3022">
        <v>6000</v>
      </c>
      <c r="J3022">
        <v>13602</v>
      </c>
      <c r="K3022">
        <v>19602</v>
      </c>
      <c r="N3022">
        <v>25</v>
      </c>
      <c r="O3022">
        <v>6.8026999999999997</v>
      </c>
      <c r="P3022">
        <v>78.408000000000001</v>
      </c>
      <c r="Q3022">
        <v>6.75</v>
      </c>
      <c r="R3022">
        <v>6.5</v>
      </c>
      <c r="S3022">
        <v>6.75</v>
      </c>
      <c r="T3022">
        <v>96.975201999999996</v>
      </c>
      <c r="W3022" t="s">
        <v>497</v>
      </c>
    </row>
    <row r="3023" spans="1:23" x14ac:dyDescent="0.25">
      <c r="A3023" t="s">
        <v>3459</v>
      </c>
      <c r="B3023" t="str">
        <f t="shared" si="47"/>
        <v>CM1300000856</v>
      </c>
      <c r="C3023" t="s">
        <v>225</v>
      </c>
      <c r="D3023" t="s">
        <v>77</v>
      </c>
      <c r="E3023" t="s">
        <v>287</v>
      </c>
      <c r="F3023">
        <v>15000</v>
      </c>
      <c r="G3023" s="13">
        <v>45775</v>
      </c>
      <c r="H3023" s="13">
        <v>46141</v>
      </c>
      <c r="I3023">
        <v>10620</v>
      </c>
      <c r="J3023">
        <v>0</v>
      </c>
      <c r="K3023">
        <v>10620</v>
      </c>
      <c r="N3023">
        <v>18.181818181818183</v>
      </c>
      <c r="O3023">
        <v>7.2518000000000002</v>
      </c>
      <c r="P3023">
        <v>70.8</v>
      </c>
      <c r="Q3023">
        <v>6.9</v>
      </c>
      <c r="R3023">
        <v>6.5</v>
      </c>
      <c r="S3023">
        <v>6.9</v>
      </c>
      <c r="T3023">
        <v>93.168526</v>
      </c>
      <c r="W3023" t="s">
        <v>497</v>
      </c>
    </row>
    <row r="3024" spans="1:23" x14ac:dyDescent="0.25">
      <c r="A3024" t="s">
        <v>3460</v>
      </c>
      <c r="B3024" t="str">
        <f t="shared" si="47"/>
        <v>CG1100001094</v>
      </c>
      <c r="C3024" t="s">
        <v>229</v>
      </c>
      <c r="D3024" t="s">
        <v>77</v>
      </c>
      <c r="E3024" t="s">
        <v>78</v>
      </c>
      <c r="F3024">
        <v>35000</v>
      </c>
      <c r="G3024" s="13">
        <v>45776</v>
      </c>
      <c r="H3024" s="13">
        <v>45869</v>
      </c>
      <c r="I3024">
        <v>13080</v>
      </c>
      <c r="J3024">
        <v>5054</v>
      </c>
      <c r="K3024">
        <v>18134</v>
      </c>
      <c r="N3024">
        <v>29.166666666666668</v>
      </c>
      <c r="O3024">
        <v>6.6066000000000003</v>
      </c>
      <c r="P3024">
        <v>51.811399999999999</v>
      </c>
      <c r="Q3024">
        <v>6.5</v>
      </c>
      <c r="R3024">
        <v>6</v>
      </c>
      <c r="S3024">
        <v>6.5</v>
      </c>
      <c r="T3024">
        <v>98.357440999999994</v>
      </c>
      <c r="W3024" t="s">
        <v>497</v>
      </c>
    </row>
    <row r="3025" spans="1:23" x14ac:dyDescent="0.25">
      <c r="A3025" t="s">
        <v>3461</v>
      </c>
      <c r="B3025" t="str">
        <f t="shared" si="47"/>
        <v>CG1200001556</v>
      </c>
      <c r="C3025" t="s">
        <v>229</v>
      </c>
      <c r="D3025" t="s">
        <v>77</v>
      </c>
      <c r="E3025" t="s">
        <v>82</v>
      </c>
      <c r="F3025">
        <v>30000</v>
      </c>
      <c r="G3025" s="13">
        <v>45776</v>
      </c>
      <c r="H3025" s="13">
        <v>45960</v>
      </c>
      <c r="I3025">
        <v>440</v>
      </c>
      <c r="J3025">
        <v>20100</v>
      </c>
      <c r="K3025">
        <v>20540</v>
      </c>
      <c r="N3025">
        <v>12.5</v>
      </c>
      <c r="O3025">
        <v>6.9280999999999997</v>
      </c>
      <c r="P3025">
        <v>34.736699999999999</v>
      </c>
      <c r="Q3025">
        <v>6.75</v>
      </c>
      <c r="R3025">
        <v>6.45</v>
      </c>
      <c r="S3025">
        <v>6.75</v>
      </c>
      <c r="T3025">
        <v>96.615977000000001</v>
      </c>
      <c r="W3025" t="s">
        <v>497</v>
      </c>
    </row>
    <row r="3026" spans="1:23" x14ac:dyDescent="0.25">
      <c r="A3026" t="s">
        <v>3462</v>
      </c>
      <c r="B3026" t="str">
        <f t="shared" si="47"/>
        <v>GA1200002432</v>
      </c>
      <c r="C3026" t="s">
        <v>227</v>
      </c>
      <c r="D3026" t="s">
        <v>77</v>
      </c>
      <c r="E3026" t="s">
        <v>82</v>
      </c>
      <c r="F3026">
        <v>7500</v>
      </c>
      <c r="G3026" s="13">
        <v>45777</v>
      </c>
      <c r="H3026" s="13">
        <v>45961</v>
      </c>
      <c r="I3026">
        <v>25</v>
      </c>
      <c r="J3026">
        <v>2459</v>
      </c>
      <c r="K3026">
        <v>2484</v>
      </c>
      <c r="N3026">
        <v>38.095238095238095</v>
      </c>
      <c r="O3026">
        <v>6.6737000000000002</v>
      </c>
      <c r="P3026">
        <v>39.253300000000003</v>
      </c>
      <c r="Q3026">
        <v>6.5</v>
      </c>
      <c r="R3026">
        <v>6</v>
      </c>
      <c r="S3026">
        <v>6.75</v>
      </c>
      <c r="T3026">
        <v>96.736175000000003</v>
      </c>
      <c r="W3026" t="s">
        <v>497</v>
      </c>
    </row>
    <row r="3027" spans="1:23" x14ac:dyDescent="0.25">
      <c r="A3027" t="s">
        <v>3463</v>
      </c>
      <c r="B3027" t="str">
        <f t="shared" si="47"/>
        <v>GA1300000823</v>
      </c>
      <c r="C3027" t="s">
        <v>227</v>
      </c>
      <c r="D3027" t="s">
        <v>77</v>
      </c>
      <c r="E3027" t="s">
        <v>287</v>
      </c>
      <c r="G3027" s="13">
        <v>45777</v>
      </c>
      <c r="H3027" s="13"/>
      <c r="J3027">
        <v>0</v>
      </c>
      <c r="N3027">
        <v>0</v>
      </c>
      <c r="T3027" t="s">
        <v>1418</v>
      </c>
      <c r="W3027" t="s">
        <v>497</v>
      </c>
    </row>
    <row r="3028" spans="1:23" x14ac:dyDescent="0.25">
      <c r="A3028" t="s">
        <v>3464</v>
      </c>
      <c r="B3028" t="str">
        <f t="shared" si="47"/>
        <v>TD1200002079</v>
      </c>
      <c r="C3028" t="s">
        <v>237</v>
      </c>
      <c r="D3028" t="s">
        <v>77</v>
      </c>
      <c r="E3028" t="s">
        <v>82</v>
      </c>
      <c r="G3028" s="13">
        <v>45777</v>
      </c>
      <c r="H3028" s="13"/>
      <c r="J3028">
        <v>0</v>
      </c>
      <c r="N3028">
        <v>0</v>
      </c>
      <c r="T3028" t="s">
        <v>1418</v>
      </c>
      <c r="W3028" t="s">
        <v>497</v>
      </c>
    </row>
    <row r="3029" spans="1:23" x14ac:dyDescent="0.25">
      <c r="A3029" t="s">
        <v>3465</v>
      </c>
      <c r="B3029" t="str">
        <f t="shared" si="47"/>
        <v>CM1200001970</v>
      </c>
      <c r="C3029" t="s">
        <v>225</v>
      </c>
      <c r="D3029" t="s">
        <v>77</v>
      </c>
      <c r="E3029" t="s">
        <v>82</v>
      </c>
      <c r="F3029">
        <v>15000</v>
      </c>
      <c r="G3029" s="13">
        <v>45782</v>
      </c>
      <c r="H3029" s="13">
        <v>45966</v>
      </c>
      <c r="I3029">
        <v>10450</v>
      </c>
      <c r="J3029">
        <v>0</v>
      </c>
      <c r="K3029">
        <v>10450</v>
      </c>
      <c r="N3029">
        <v>27.27272727272727</v>
      </c>
      <c r="O3029">
        <v>6.7209000000000003</v>
      </c>
      <c r="P3029">
        <v>137.4</v>
      </c>
      <c r="Q3029">
        <v>6.6</v>
      </c>
      <c r="R3029">
        <v>6.4</v>
      </c>
      <c r="S3029">
        <v>7</v>
      </c>
      <c r="T3029">
        <v>96.713888999999995</v>
      </c>
      <c r="W3029" t="s">
        <v>497</v>
      </c>
    </row>
    <row r="3030" spans="1:23" x14ac:dyDescent="0.25">
      <c r="A3030" t="s">
        <v>3466</v>
      </c>
      <c r="B3030" t="str">
        <f t="shared" si="47"/>
        <v>CG1100001102</v>
      </c>
      <c r="C3030" t="s">
        <v>229</v>
      </c>
      <c r="D3030" t="s">
        <v>77</v>
      </c>
      <c r="E3030" t="s">
        <v>78</v>
      </c>
      <c r="F3030">
        <v>30000</v>
      </c>
      <c r="G3030" s="13">
        <v>45783</v>
      </c>
      <c r="H3030" s="13">
        <v>45876</v>
      </c>
      <c r="I3030">
        <v>2500</v>
      </c>
      <c r="J3030">
        <v>15</v>
      </c>
      <c r="K3030">
        <v>2515</v>
      </c>
      <c r="N3030">
        <v>8.3333333333333321</v>
      </c>
      <c r="O3030">
        <v>6.6079999999999997</v>
      </c>
      <c r="P3030">
        <v>8.3833000000000002</v>
      </c>
      <c r="Q3030">
        <v>6.5</v>
      </c>
      <c r="R3030">
        <v>6.4</v>
      </c>
      <c r="S3030">
        <v>6.5</v>
      </c>
      <c r="T3030">
        <v>98.357095000000001</v>
      </c>
      <c r="W3030" t="s">
        <v>497</v>
      </c>
    </row>
    <row r="3031" spans="1:23" x14ac:dyDescent="0.25">
      <c r="A3031" t="s">
        <v>3467</v>
      </c>
      <c r="B3031" t="str">
        <f t="shared" si="47"/>
        <v>CG1200001564</v>
      </c>
      <c r="C3031" t="s">
        <v>229</v>
      </c>
      <c r="D3031" t="s">
        <v>77</v>
      </c>
      <c r="E3031" t="s">
        <v>82</v>
      </c>
      <c r="F3031">
        <v>20000</v>
      </c>
      <c r="G3031" s="13">
        <v>45783</v>
      </c>
      <c r="H3031" s="13">
        <v>45967</v>
      </c>
      <c r="I3031">
        <v>1500</v>
      </c>
      <c r="J3031">
        <v>182</v>
      </c>
      <c r="K3031">
        <v>1682</v>
      </c>
      <c r="N3031">
        <v>16.666666666666664</v>
      </c>
      <c r="O3031">
        <v>6.9625000000000004</v>
      </c>
      <c r="P3031">
        <v>8.41</v>
      </c>
      <c r="Q3031">
        <v>6.75</v>
      </c>
      <c r="R3031">
        <v>6.3</v>
      </c>
      <c r="S3031">
        <v>6.75</v>
      </c>
      <c r="T3031">
        <v>96.579747999999995</v>
      </c>
      <c r="W3031" t="s">
        <v>497</v>
      </c>
    </row>
    <row r="3032" spans="1:23" x14ac:dyDescent="0.25">
      <c r="A3032" t="s">
        <v>3468</v>
      </c>
      <c r="B3032" t="str">
        <f t="shared" si="47"/>
        <v>GQ1300001492</v>
      </c>
      <c r="C3032" t="s">
        <v>528</v>
      </c>
      <c r="D3032" t="s">
        <v>77</v>
      </c>
      <c r="E3032" t="s">
        <v>287</v>
      </c>
      <c r="F3032">
        <v>20000</v>
      </c>
      <c r="G3032" s="13">
        <v>45783</v>
      </c>
      <c r="H3032" s="13">
        <v>46149</v>
      </c>
      <c r="I3032">
        <v>5931</v>
      </c>
      <c r="J3032">
        <v>137</v>
      </c>
      <c r="K3032">
        <v>6068</v>
      </c>
      <c r="N3032">
        <v>15.384615384615385</v>
      </c>
      <c r="O3032">
        <v>7.5209000000000001</v>
      </c>
      <c r="P3032">
        <v>30.34</v>
      </c>
      <c r="Q3032">
        <v>7</v>
      </c>
      <c r="R3032">
        <v>6.5</v>
      </c>
      <c r="S3032">
        <v>7</v>
      </c>
      <c r="T3032">
        <v>92.932978000000006</v>
      </c>
      <c r="W3032" t="s">
        <v>497</v>
      </c>
    </row>
    <row r="3033" spans="1:23" x14ac:dyDescent="0.25">
      <c r="A3033" t="s">
        <v>3469</v>
      </c>
      <c r="B3033" t="str">
        <f t="shared" si="47"/>
        <v>GA1200002440</v>
      </c>
      <c r="C3033" t="s">
        <v>227</v>
      </c>
      <c r="D3033" t="s">
        <v>77</v>
      </c>
      <c r="E3033" t="s">
        <v>82</v>
      </c>
      <c r="F3033">
        <v>7500</v>
      </c>
      <c r="G3033" s="13">
        <v>45784</v>
      </c>
      <c r="H3033" s="13">
        <v>45968</v>
      </c>
      <c r="I3033">
        <v>6784</v>
      </c>
      <c r="J3033">
        <v>716</v>
      </c>
      <c r="K3033">
        <v>7500</v>
      </c>
      <c r="N3033">
        <v>28.571428571428569</v>
      </c>
      <c r="O3033">
        <v>6.6925999999999997</v>
      </c>
      <c r="P3033">
        <v>108.69329999999999</v>
      </c>
      <c r="Q3033">
        <v>6.5</v>
      </c>
      <c r="R3033">
        <v>6</v>
      </c>
      <c r="S3033">
        <v>6.5</v>
      </c>
      <c r="T3033">
        <v>96.727236000000005</v>
      </c>
      <c r="W3033" t="s">
        <v>497</v>
      </c>
    </row>
    <row r="3034" spans="1:23" x14ac:dyDescent="0.25">
      <c r="A3034" t="s">
        <v>3470</v>
      </c>
      <c r="B3034" t="str">
        <f t="shared" si="47"/>
        <v>CM1200001988</v>
      </c>
      <c r="C3034" t="s">
        <v>225</v>
      </c>
      <c r="D3034" t="s">
        <v>77</v>
      </c>
      <c r="E3034" t="s">
        <v>82</v>
      </c>
      <c r="F3034">
        <v>20000</v>
      </c>
      <c r="G3034" s="13">
        <v>45789</v>
      </c>
      <c r="H3034" s="13">
        <v>45973</v>
      </c>
      <c r="I3034">
        <v>18583</v>
      </c>
      <c r="J3034">
        <v>0</v>
      </c>
      <c r="K3034">
        <v>18583</v>
      </c>
      <c r="N3034">
        <v>22.727272727272727</v>
      </c>
      <c r="O3034">
        <v>6.8244999999999996</v>
      </c>
      <c r="P3034">
        <v>92.965000000000003</v>
      </c>
      <c r="Q3034">
        <v>6.7</v>
      </c>
      <c r="R3034">
        <v>6.4</v>
      </c>
      <c r="S3034">
        <v>7</v>
      </c>
      <c r="T3034">
        <v>96.664918999999998</v>
      </c>
      <c r="W3034" t="s">
        <v>497</v>
      </c>
    </row>
    <row r="3035" spans="1:23" x14ac:dyDescent="0.25">
      <c r="A3035" t="s">
        <v>3471</v>
      </c>
      <c r="B3035" t="str">
        <f t="shared" ref="B3035:B3098" si="48">MID(A3035,1,12)</f>
        <v>CM1300000864</v>
      </c>
      <c r="C3035" t="s">
        <v>225</v>
      </c>
      <c r="D3035" t="s">
        <v>77</v>
      </c>
      <c r="E3035" t="s">
        <v>287</v>
      </c>
      <c r="F3035">
        <v>15000</v>
      </c>
      <c r="G3035" s="13">
        <v>45789</v>
      </c>
      <c r="H3035" s="13">
        <v>46155</v>
      </c>
      <c r="I3035">
        <v>15000</v>
      </c>
      <c r="J3035">
        <v>0</v>
      </c>
      <c r="K3035">
        <v>15000</v>
      </c>
      <c r="N3035">
        <v>27.27272727272727</v>
      </c>
      <c r="O3035">
        <v>7.2347999999999999</v>
      </c>
      <c r="P3035">
        <v>172.06</v>
      </c>
      <c r="Q3035">
        <v>6.75</v>
      </c>
      <c r="R3035">
        <v>6.55</v>
      </c>
      <c r="S3035">
        <v>6.9</v>
      </c>
      <c r="T3035">
        <v>93.183425999999997</v>
      </c>
      <c r="W3035" t="s">
        <v>497</v>
      </c>
    </row>
    <row r="3036" spans="1:23" x14ac:dyDescent="0.25">
      <c r="A3036" t="s">
        <v>3472</v>
      </c>
      <c r="B3036" t="str">
        <f t="shared" si="48"/>
        <v>CG1100001110</v>
      </c>
      <c r="C3036" t="s">
        <v>229</v>
      </c>
      <c r="D3036" t="s">
        <v>77</v>
      </c>
      <c r="E3036" t="s">
        <v>78</v>
      </c>
      <c r="F3036">
        <v>35000</v>
      </c>
      <c r="G3036" s="13">
        <v>45790</v>
      </c>
      <c r="H3036" s="13">
        <v>45883</v>
      </c>
      <c r="I3036">
        <v>15000</v>
      </c>
      <c r="J3036">
        <v>10050</v>
      </c>
      <c r="K3036">
        <v>25050</v>
      </c>
      <c r="N3036">
        <v>16.666666666666664</v>
      </c>
      <c r="O3036">
        <v>7.0223000000000004</v>
      </c>
      <c r="P3036">
        <v>71.571399999999997</v>
      </c>
      <c r="Q3036">
        <v>7</v>
      </c>
      <c r="R3036">
        <v>6.5</v>
      </c>
      <c r="S3036">
        <v>7</v>
      </c>
      <c r="T3036">
        <v>98.255883999999995</v>
      </c>
      <c r="W3036" t="s">
        <v>497</v>
      </c>
    </row>
    <row r="3037" spans="1:23" x14ac:dyDescent="0.25">
      <c r="A3037" t="s">
        <v>3473</v>
      </c>
      <c r="B3037" t="str">
        <f t="shared" si="48"/>
        <v>CG1300000854</v>
      </c>
      <c r="C3037" t="s">
        <v>229</v>
      </c>
      <c r="D3037" t="s">
        <v>77</v>
      </c>
      <c r="E3037" t="s">
        <v>287</v>
      </c>
      <c r="F3037">
        <v>15000</v>
      </c>
      <c r="G3037" s="13">
        <v>45790</v>
      </c>
      <c r="H3037" s="13">
        <v>46156</v>
      </c>
      <c r="I3037">
        <v>2000</v>
      </c>
      <c r="J3037">
        <v>1395</v>
      </c>
      <c r="K3037">
        <v>3395</v>
      </c>
      <c r="N3037">
        <v>12.5</v>
      </c>
      <c r="O3037">
        <v>7.3498999999999999</v>
      </c>
      <c r="P3037">
        <v>22.633330000000001</v>
      </c>
      <c r="Q3037">
        <v>7</v>
      </c>
      <c r="R3037">
        <v>6.55</v>
      </c>
      <c r="S3037">
        <v>7</v>
      </c>
      <c r="T3037">
        <v>93.082526000000001</v>
      </c>
      <c r="W3037" t="s">
        <v>497</v>
      </c>
    </row>
    <row r="3038" spans="1:23" x14ac:dyDescent="0.25">
      <c r="A3038" t="s">
        <v>3474</v>
      </c>
      <c r="B3038" t="str">
        <f t="shared" si="48"/>
        <v>GA1100001971</v>
      </c>
      <c r="C3038" t="s">
        <v>227</v>
      </c>
      <c r="D3038" t="s">
        <v>77</v>
      </c>
      <c r="E3038" t="s">
        <v>78</v>
      </c>
      <c r="F3038">
        <v>7500</v>
      </c>
      <c r="G3038" s="13">
        <v>45791</v>
      </c>
      <c r="H3038" s="13">
        <v>45884</v>
      </c>
      <c r="I3038">
        <v>0</v>
      </c>
      <c r="J3038">
        <v>4258</v>
      </c>
      <c r="K3038">
        <v>4258</v>
      </c>
      <c r="N3038">
        <v>14.285714285714285</v>
      </c>
      <c r="O3038">
        <v>6.5782999999999996</v>
      </c>
      <c r="P3038">
        <v>56.773299999999999</v>
      </c>
      <c r="Q3038">
        <v>6.5</v>
      </c>
      <c r="R3038">
        <v>6.2</v>
      </c>
      <c r="S3038">
        <v>6.5</v>
      </c>
      <c r="T3038">
        <v>98.364358999999993</v>
      </c>
      <c r="W3038" t="s">
        <v>497</v>
      </c>
    </row>
    <row r="3039" spans="1:23" x14ac:dyDescent="0.25">
      <c r="A3039" t="s">
        <v>3475</v>
      </c>
      <c r="B3039" t="str">
        <f t="shared" si="48"/>
        <v>GA1300000823</v>
      </c>
      <c r="C3039" t="s">
        <v>227</v>
      </c>
      <c r="D3039" t="s">
        <v>77</v>
      </c>
      <c r="E3039" t="s">
        <v>287</v>
      </c>
      <c r="F3039">
        <v>15000</v>
      </c>
      <c r="G3039" s="13">
        <v>45791</v>
      </c>
      <c r="H3039" s="13">
        <v>46143</v>
      </c>
      <c r="I3039">
        <v>8500</v>
      </c>
      <c r="J3039">
        <v>0</v>
      </c>
      <c r="K3039">
        <v>8500</v>
      </c>
      <c r="N3039">
        <v>9.5238095238095237</v>
      </c>
      <c r="O3039">
        <v>7.2241</v>
      </c>
      <c r="P3039">
        <v>56.666699999999999</v>
      </c>
      <c r="Q3039">
        <v>6.75</v>
      </c>
      <c r="R3039">
        <v>6.75</v>
      </c>
      <c r="S3039">
        <v>6.75</v>
      </c>
      <c r="T3039">
        <v>93.4375</v>
      </c>
      <c r="W3039" t="s">
        <v>497</v>
      </c>
    </row>
    <row r="3040" spans="1:23" x14ac:dyDescent="0.25">
      <c r="A3040" t="s">
        <v>3476</v>
      </c>
      <c r="B3040" t="str">
        <f t="shared" si="48"/>
        <v>CM1200001996</v>
      </c>
      <c r="C3040" t="s">
        <v>225</v>
      </c>
      <c r="D3040" t="s">
        <v>77</v>
      </c>
      <c r="E3040" t="s">
        <v>82</v>
      </c>
      <c r="F3040">
        <v>20000</v>
      </c>
      <c r="G3040" s="13">
        <v>45796</v>
      </c>
      <c r="H3040" s="13">
        <v>45980</v>
      </c>
      <c r="I3040">
        <v>14340</v>
      </c>
      <c r="J3040">
        <v>0</v>
      </c>
      <c r="K3040">
        <v>14340</v>
      </c>
      <c r="N3040">
        <v>9.0909090909090917</v>
      </c>
      <c r="O3040">
        <v>7.0445000000000002</v>
      </c>
      <c r="P3040">
        <v>71.7</v>
      </c>
      <c r="Q3040">
        <v>6.85</v>
      </c>
      <c r="R3040">
        <v>6.6</v>
      </c>
      <c r="S3040">
        <v>6.85</v>
      </c>
      <c r="T3040">
        <v>96.561093999999997</v>
      </c>
      <c r="W3040" t="s">
        <v>497</v>
      </c>
    </row>
    <row r="3041" spans="1:23" x14ac:dyDescent="0.25">
      <c r="A3041" t="s">
        <v>3477</v>
      </c>
      <c r="B3041" t="str">
        <f t="shared" si="48"/>
        <v>CM1300000872</v>
      </c>
      <c r="C3041" t="s">
        <v>225</v>
      </c>
      <c r="D3041" t="s">
        <v>77</v>
      </c>
      <c r="E3041" t="s">
        <v>287</v>
      </c>
      <c r="F3041">
        <v>20000</v>
      </c>
      <c r="G3041" s="13">
        <v>45796</v>
      </c>
      <c r="H3041" s="13">
        <v>46162</v>
      </c>
      <c r="I3041">
        <v>17557</v>
      </c>
      <c r="J3041">
        <v>0</v>
      </c>
      <c r="K3041">
        <v>17557</v>
      </c>
      <c r="N3041">
        <v>9.0909090909090917</v>
      </c>
      <c r="O3041">
        <v>7.2443999999999997</v>
      </c>
      <c r="P3041">
        <v>112.785</v>
      </c>
      <c r="Q3041">
        <v>6.95</v>
      </c>
      <c r="R3041">
        <v>6.5</v>
      </c>
      <c r="S3041">
        <v>7</v>
      </c>
      <c r="T3041">
        <v>93.174999999999997</v>
      </c>
      <c r="W3041" t="s">
        <v>497</v>
      </c>
    </row>
    <row r="3042" spans="1:23" x14ac:dyDescent="0.25">
      <c r="A3042" t="s">
        <v>3478</v>
      </c>
      <c r="B3042" t="str">
        <f t="shared" si="48"/>
        <v>CG1100001128</v>
      </c>
      <c r="C3042" t="s">
        <v>229</v>
      </c>
      <c r="D3042" t="s">
        <v>77</v>
      </c>
      <c r="E3042" t="s">
        <v>78</v>
      </c>
      <c r="F3042">
        <v>20000</v>
      </c>
      <c r="G3042" s="13">
        <v>45797</v>
      </c>
      <c r="H3042" s="13">
        <v>45890</v>
      </c>
      <c r="I3042">
        <v>5000</v>
      </c>
      <c r="J3042">
        <v>10000</v>
      </c>
      <c r="K3042">
        <v>15000</v>
      </c>
      <c r="N3042">
        <v>12.5</v>
      </c>
      <c r="O3042">
        <v>6.7119999999999997</v>
      </c>
      <c r="P3042">
        <v>75</v>
      </c>
      <c r="Q3042">
        <v>7</v>
      </c>
      <c r="R3042">
        <v>6.5</v>
      </c>
      <c r="S3042">
        <v>7</v>
      </c>
      <c r="T3042">
        <v>98.331666999999996</v>
      </c>
      <c r="W3042" t="s">
        <v>497</v>
      </c>
    </row>
    <row r="3043" spans="1:23" x14ac:dyDescent="0.25">
      <c r="A3043" t="s">
        <v>3479</v>
      </c>
      <c r="B3043" t="str">
        <f t="shared" si="48"/>
        <v>GQ1300001500</v>
      </c>
      <c r="C3043" t="s">
        <v>528</v>
      </c>
      <c r="D3043" t="s">
        <v>77</v>
      </c>
      <c r="E3043" t="s">
        <v>287</v>
      </c>
      <c r="F3043">
        <v>15000</v>
      </c>
      <c r="G3043" s="13">
        <v>45797</v>
      </c>
      <c r="H3043" s="13">
        <v>46163</v>
      </c>
      <c r="I3043">
        <v>9349</v>
      </c>
      <c r="J3043">
        <v>86</v>
      </c>
      <c r="K3043">
        <v>9435</v>
      </c>
      <c r="N3043">
        <v>38.461538461538467</v>
      </c>
      <c r="O3043">
        <v>7.1684000000000001</v>
      </c>
      <c r="P3043">
        <v>62.9</v>
      </c>
      <c r="Q3043">
        <v>7</v>
      </c>
      <c r="R3043">
        <v>6</v>
      </c>
      <c r="S3043">
        <v>7</v>
      </c>
      <c r="T3043">
        <v>93.241791000000006</v>
      </c>
      <c r="W3043" t="s">
        <v>497</v>
      </c>
    </row>
    <row r="3044" spans="1:23" x14ac:dyDescent="0.25">
      <c r="A3044" t="s">
        <v>3480</v>
      </c>
      <c r="B3044" t="str">
        <f t="shared" si="48"/>
        <v>GA1200002457</v>
      </c>
      <c r="C3044" t="s">
        <v>227</v>
      </c>
      <c r="D3044" t="s">
        <v>77</v>
      </c>
      <c r="E3044" t="s">
        <v>82</v>
      </c>
      <c r="G3044" s="13">
        <v>45798</v>
      </c>
      <c r="H3044" s="13"/>
      <c r="J3044">
        <v>0</v>
      </c>
      <c r="N3044">
        <v>0</v>
      </c>
      <c r="T3044" t="s">
        <v>1418</v>
      </c>
      <c r="W3044" t="s">
        <v>497</v>
      </c>
    </row>
    <row r="3045" spans="1:23" x14ac:dyDescent="0.25">
      <c r="A3045" t="s">
        <v>3481</v>
      </c>
      <c r="B3045" t="str">
        <f t="shared" si="48"/>
        <v>CM1200002002</v>
      </c>
      <c r="C3045" t="s">
        <v>225</v>
      </c>
      <c r="D3045" t="s">
        <v>77</v>
      </c>
      <c r="E3045" t="s">
        <v>82</v>
      </c>
      <c r="F3045">
        <v>20000</v>
      </c>
      <c r="G3045" s="13">
        <v>45803</v>
      </c>
      <c r="H3045" s="13">
        <v>45987</v>
      </c>
      <c r="I3045">
        <v>3245</v>
      </c>
      <c r="J3045">
        <v>2500</v>
      </c>
      <c r="K3045">
        <v>5745</v>
      </c>
      <c r="N3045">
        <v>18.181818181818183</v>
      </c>
      <c r="O3045">
        <v>6.7173999999999996</v>
      </c>
      <c r="P3045">
        <v>56.76</v>
      </c>
      <c r="Q3045">
        <v>6.6</v>
      </c>
      <c r="R3045">
        <v>6.4</v>
      </c>
      <c r="S3045">
        <v>6.85</v>
      </c>
      <c r="T3045">
        <v>96.715517000000006</v>
      </c>
      <c r="W3045" t="s">
        <v>497</v>
      </c>
    </row>
    <row r="3046" spans="1:23" x14ac:dyDescent="0.25">
      <c r="A3046" t="s">
        <v>3482</v>
      </c>
      <c r="B3046" t="str">
        <f t="shared" si="48"/>
        <v>CM1300000880</v>
      </c>
      <c r="C3046" t="s">
        <v>225</v>
      </c>
      <c r="D3046" t="s">
        <v>77</v>
      </c>
      <c r="E3046" t="s">
        <v>287</v>
      </c>
      <c r="F3046">
        <v>20000</v>
      </c>
      <c r="G3046" s="13">
        <v>45803</v>
      </c>
      <c r="H3046" s="13">
        <v>46169</v>
      </c>
      <c r="I3046">
        <v>15499</v>
      </c>
      <c r="J3046">
        <v>0</v>
      </c>
      <c r="K3046">
        <v>15499</v>
      </c>
      <c r="N3046">
        <v>13.636363636363635</v>
      </c>
      <c r="O3046">
        <v>7.1868999999999996</v>
      </c>
      <c r="P3046">
        <v>77.77</v>
      </c>
      <c r="Q3046">
        <v>6.7</v>
      </c>
      <c r="R3046">
        <v>6.7</v>
      </c>
      <c r="S3046">
        <v>6.8</v>
      </c>
      <c r="T3046">
        <v>93.225555999999997</v>
      </c>
      <c r="W3046" t="s">
        <v>497</v>
      </c>
    </row>
    <row r="3047" spans="1:23" x14ac:dyDescent="0.25">
      <c r="A3047" t="s">
        <v>3483</v>
      </c>
      <c r="B3047" t="str">
        <f t="shared" si="48"/>
        <v>CG1100001094</v>
      </c>
      <c r="C3047" t="s">
        <v>229</v>
      </c>
      <c r="D3047" t="s">
        <v>77</v>
      </c>
      <c r="E3047" t="s">
        <v>78</v>
      </c>
      <c r="F3047">
        <v>7970</v>
      </c>
      <c r="G3047" s="13">
        <v>45804</v>
      </c>
      <c r="H3047" s="13">
        <v>45869</v>
      </c>
      <c r="I3047">
        <v>7970</v>
      </c>
      <c r="J3047">
        <v>0</v>
      </c>
      <c r="K3047">
        <v>7970</v>
      </c>
      <c r="N3047">
        <v>4.1666666666666661</v>
      </c>
      <c r="O3047">
        <v>0</v>
      </c>
      <c r="P3047">
        <v>100</v>
      </c>
      <c r="Q3047">
        <v>0</v>
      </c>
      <c r="R3047">
        <v>0</v>
      </c>
      <c r="S3047">
        <v>0</v>
      </c>
      <c r="T3047">
        <v>100</v>
      </c>
      <c r="W3047" t="s">
        <v>681</v>
      </c>
    </row>
    <row r="3048" spans="1:23" x14ac:dyDescent="0.25">
      <c r="A3048" t="s">
        <v>3484</v>
      </c>
      <c r="B3048" t="str">
        <f t="shared" si="48"/>
        <v>CG1100001136</v>
      </c>
      <c r="C3048" t="s">
        <v>229</v>
      </c>
      <c r="D3048" t="s">
        <v>77</v>
      </c>
      <c r="E3048" t="s">
        <v>78</v>
      </c>
      <c r="F3048">
        <v>40000</v>
      </c>
      <c r="G3048" s="13">
        <v>45804</v>
      </c>
      <c r="H3048" s="13">
        <v>45897</v>
      </c>
      <c r="I3048">
        <v>2086</v>
      </c>
      <c r="J3048">
        <v>13220</v>
      </c>
      <c r="K3048">
        <v>15306</v>
      </c>
      <c r="N3048">
        <v>25</v>
      </c>
      <c r="O3048">
        <v>6.6695000000000002</v>
      </c>
      <c r="P3048">
        <v>38.265000000000001</v>
      </c>
      <c r="Q3048">
        <v>6.6</v>
      </c>
      <c r="R3048">
        <v>6</v>
      </c>
      <c r="S3048">
        <v>6.6</v>
      </c>
      <c r="T3048">
        <v>98.342048000000005</v>
      </c>
      <c r="W3048" t="s">
        <v>497</v>
      </c>
    </row>
    <row r="3049" spans="1:23" x14ac:dyDescent="0.25">
      <c r="A3049" t="s">
        <v>3485</v>
      </c>
      <c r="B3049" t="str">
        <f t="shared" si="48"/>
        <v>CG1200001572</v>
      </c>
      <c r="C3049" t="s">
        <v>229</v>
      </c>
      <c r="D3049" t="s">
        <v>77</v>
      </c>
      <c r="E3049" t="s">
        <v>82</v>
      </c>
      <c r="F3049">
        <v>16000</v>
      </c>
      <c r="G3049" s="13">
        <v>45804</v>
      </c>
      <c r="H3049" s="13">
        <v>45988</v>
      </c>
      <c r="I3049">
        <v>16000</v>
      </c>
      <c r="J3049">
        <v>0</v>
      </c>
      <c r="K3049">
        <v>16000</v>
      </c>
      <c r="N3049">
        <v>4.1666666666666661</v>
      </c>
      <c r="O3049">
        <v>6.9885000000000002</v>
      </c>
      <c r="P3049">
        <v>100</v>
      </c>
      <c r="Q3049">
        <v>6.75</v>
      </c>
      <c r="R3049">
        <v>6.75</v>
      </c>
      <c r="S3049">
        <v>6.75</v>
      </c>
      <c r="T3049">
        <v>96.587500000000006</v>
      </c>
      <c r="W3049" t="s">
        <v>497</v>
      </c>
    </row>
    <row r="3050" spans="1:23" x14ac:dyDescent="0.25">
      <c r="A3050" t="s">
        <v>3486</v>
      </c>
      <c r="B3050" t="str">
        <f t="shared" si="48"/>
        <v>CG1200001473</v>
      </c>
      <c r="C3050" t="s">
        <v>229</v>
      </c>
      <c r="D3050" t="s">
        <v>77</v>
      </c>
      <c r="E3050" t="s">
        <v>82</v>
      </c>
      <c r="F3050">
        <v>1000</v>
      </c>
      <c r="G3050" s="13">
        <v>45804</v>
      </c>
      <c r="H3050" s="13">
        <v>45862</v>
      </c>
      <c r="I3050">
        <v>1000</v>
      </c>
      <c r="J3050">
        <v>0</v>
      </c>
      <c r="K3050">
        <v>1000</v>
      </c>
      <c r="N3050">
        <v>4.1666666666666661</v>
      </c>
      <c r="O3050">
        <v>0</v>
      </c>
      <c r="P3050">
        <v>100</v>
      </c>
      <c r="Q3050">
        <v>0</v>
      </c>
      <c r="R3050">
        <v>0</v>
      </c>
      <c r="S3050">
        <v>0</v>
      </c>
      <c r="T3050">
        <v>100</v>
      </c>
      <c r="W3050" t="s">
        <v>681</v>
      </c>
    </row>
    <row r="3051" spans="1:23" x14ac:dyDescent="0.25">
      <c r="A3051" t="s">
        <v>3487</v>
      </c>
      <c r="B3051" t="str">
        <f t="shared" si="48"/>
        <v>CG1300000573</v>
      </c>
      <c r="C3051" t="s">
        <v>229</v>
      </c>
      <c r="D3051" t="s">
        <v>77</v>
      </c>
      <c r="E3051" t="s">
        <v>287</v>
      </c>
      <c r="F3051">
        <v>1000</v>
      </c>
      <c r="G3051" s="13">
        <v>45804</v>
      </c>
      <c r="H3051" s="13">
        <v>45890</v>
      </c>
      <c r="I3051">
        <v>973</v>
      </c>
      <c r="J3051">
        <v>0</v>
      </c>
      <c r="K3051">
        <v>973</v>
      </c>
      <c r="N3051">
        <v>4.1666666666666661</v>
      </c>
      <c r="O3051">
        <v>0</v>
      </c>
      <c r="P3051">
        <v>97.3</v>
      </c>
      <c r="Q3051">
        <v>0</v>
      </c>
      <c r="R3051">
        <v>0</v>
      </c>
      <c r="S3051">
        <v>0</v>
      </c>
      <c r="T3051">
        <v>100</v>
      </c>
      <c r="W3051" t="s">
        <v>681</v>
      </c>
    </row>
    <row r="3052" spans="1:23" x14ac:dyDescent="0.25">
      <c r="A3052" t="s">
        <v>3488</v>
      </c>
      <c r="B3052" t="str">
        <f t="shared" si="48"/>
        <v>CG1300000623</v>
      </c>
      <c r="C3052" t="s">
        <v>229</v>
      </c>
      <c r="D3052" t="s">
        <v>77</v>
      </c>
      <c r="E3052" t="s">
        <v>287</v>
      </c>
      <c r="F3052">
        <v>24978</v>
      </c>
      <c r="G3052" s="13">
        <v>45804</v>
      </c>
      <c r="H3052" s="13">
        <v>45946</v>
      </c>
      <c r="I3052">
        <v>24578</v>
      </c>
      <c r="J3052">
        <v>0</v>
      </c>
      <c r="K3052">
        <v>24578</v>
      </c>
      <c r="N3052">
        <v>4.1666666666666661</v>
      </c>
      <c r="O3052">
        <v>0</v>
      </c>
      <c r="P3052">
        <v>99.599599999999995</v>
      </c>
      <c r="Q3052">
        <v>0</v>
      </c>
      <c r="R3052">
        <v>0</v>
      </c>
      <c r="S3052">
        <v>0</v>
      </c>
      <c r="T3052">
        <v>100</v>
      </c>
      <c r="W3052" t="s">
        <v>681</v>
      </c>
    </row>
    <row r="3053" spans="1:23" x14ac:dyDescent="0.25">
      <c r="A3053" t="s">
        <v>3489</v>
      </c>
      <c r="B3053" t="str">
        <f t="shared" si="48"/>
        <v>CG1300000862</v>
      </c>
      <c r="C3053" t="s">
        <v>229</v>
      </c>
      <c r="D3053" t="s">
        <v>77</v>
      </c>
      <c r="E3053" t="s">
        <v>287</v>
      </c>
      <c r="F3053">
        <v>20148</v>
      </c>
      <c r="G3053" s="13">
        <v>45804</v>
      </c>
      <c r="H3053" s="13">
        <v>46170</v>
      </c>
      <c r="I3053">
        <v>19688</v>
      </c>
      <c r="J3053">
        <v>460</v>
      </c>
      <c r="K3053">
        <v>20148</v>
      </c>
      <c r="N3053">
        <v>8.3333333333333321</v>
      </c>
      <c r="O3053">
        <v>7.5305</v>
      </c>
      <c r="P3053">
        <v>102.2831</v>
      </c>
      <c r="Q3053">
        <v>7</v>
      </c>
      <c r="R3053">
        <v>6.9</v>
      </c>
      <c r="S3053">
        <v>7</v>
      </c>
      <c r="T3053">
        <v>92.924499999999995</v>
      </c>
      <c r="W3053" t="s">
        <v>497</v>
      </c>
    </row>
    <row r="3054" spans="1:23" x14ac:dyDescent="0.25">
      <c r="A3054" t="s">
        <v>3490</v>
      </c>
      <c r="B3054" t="str">
        <f t="shared" si="48"/>
        <v>CG1300000870</v>
      </c>
      <c r="C3054" t="s">
        <v>229</v>
      </c>
      <c r="D3054" t="s">
        <v>77</v>
      </c>
      <c r="E3054" t="s">
        <v>287</v>
      </c>
      <c r="F3054">
        <v>10000</v>
      </c>
      <c r="G3054" s="13">
        <v>45804</v>
      </c>
      <c r="H3054" s="13">
        <v>46170</v>
      </c>
      <c r="I3054">
        <v>3052</v>
      </c>
      <c r="J3054">
        <v>3259</v>
      </c>
      <c r="K3054">
        <v>6311</v>
      </c>
      <c r="N3054">
        <v>25</v>
      </c>
      <c r="O3054">
        <v>7.5228999999999999</v>
      </c>
      <c r="P3054">
        <v>63.11</v>
      </c>
      <c r="Q3054">
        <v>7</v>
      </c>
      <c r="R3054">
        <v>6.5</v>
      </c>
      <c r="S3054">
        <v>7</v>
      </c>
      <c r="T3054">
        <v>92.931100000000001</v>
      </c>
      <c r="W3054" t="s">
        <v>497</v>
      </c>
    </row>
    <row r="3055" spans="1:23" x14ac:dyDescent="0.25">
      <c r="A3055" t="s">
        <v>3491</v>
      </c>
      <c r="B3055" t="str">
        <f t="shared" si="48"/>
        <v>GA1200002465</v>
      </c>
      <c r="C3055" t="s">
        <v>227</v>
      </c>
      <c r="D3055" t="s">
        <v>77</v>
      </c>
      <c r="E3055" t="s">
        <v>82</v>
      </c>
      <c r="F3055">
        <v>12000</v>
      </c>
      <c r="G3055" s="13">
        <v>45805</v>
      </c>
      <c r="H3055" s="13">
        <v>45989</v>
      </c>
      <c r="I3055">
        <v>5110</v>
      </c>
      <c r="J3055">
        <v>1758</v>
      </c>
      <c r="K3055">
        <v>6868</v>
      </c>
      <c r="N3055">
        <v>33.333333333333329</v>
      </c>
      <c r="O3055">
        <v>6.6973000000000003</v>
      </c>
      <c r="P3055">
        <v>57.2333</v>
      </c>
      <c r="Q3055">
        <v>6.5</v>
      </c>
      <c r="R3055">
        <v>6</v>
      </c>
      <c r="S3055">
        <v>6.5</v>
      </c>
      <c r="T3055">
        <v>96.724999999999994</v>
      </c>
      <c r="W3055" t="s">
        <v>497</v>
      </c>
    </row>
    <row r="3056" spans="1:23" x14ac:dyDescent="0.25">
      <c r="A3056" t="s">
        <v>3492</v>
      </c>
      <c r="B3056" t="str">
        <f t="shared" si="48"/>
        <v>CM1100001153</v>
      </c>
      <c r="C3056" t="s">
        <v>225</v>
      </c>
      <c r="D3056" t="s">
        <v>77</v>
      </c>
      <c r="E3056" t="s">
        <v>78</v>
      </c>
      <c r="F3056">
        <v>20000</v>
      </c>
      <c r="G3056" s="13">
        <v>45810</v>
      </c>
      <c r="H3056" s="13">
        <v>45903</v>
      </c>
      <c r="I3056">
        <v>19000</v>
      </c>
      <c r="J3056">
        <v>1000</v>
      </c>
      <c r="K3056">
        <v>20000</v>
      </c>
      <c r="N3056">
        <v>22.727272727272727</v>
      </c>
      <c r="O3056">
        <v>6.3193999999999999</v>
      </c>
      <c r="P3056">
        <v>180</v>
      </c>
      <c r="Q3056">
        <v>6.5</v>
      </c>
      <c r="R3056">
        <v>6.1</v>
      </c>
      <c r="S3056">
        <v>6.5</v>
      </c>
      <c r="T3056">
        <v>98.427722000000003</v>
      </c>
      <c r="W3056" t="s">
        <v>497</v>
      </c>
    </row>
    <row r="3057" spans="1:23" x14ac:dyDescent="0.25">
      <c r="A3057" t="s">
        <v>3493</v>
      </c>
      <c r="B3057" t="str">
        <f t="shared" si="48"/>
        <v>CM1200002010</v>
      </c>
      <c r="C3057" t="s">
        <v>225</v>
      </c>
      <c r="D3057" t="s">
        <v>77</v>
      </c>
      <c r="E3057" t="s">
        <v>82</v>
      </c>
      <c r="F3057">
        <v>30000</v>
      </c>
      <c r="G3057" s="13">
        <v>45810</v>
      </c>
      <c r="H3057" s="13">
        <v>45994</v>
      </c>
      <c r="I3057">
        <v>28100</v>
      </c>
      <c r="J3057">
        <v>1555</v>
      </c>
      <c r="K3057">
        <v>29655</v>
      </c>
      <c r="N3057">
        <v>22.727272727272727</v>
      </c>
      <c r="O3057">
        <v>6.8010000000000002</v>
      </c>
      <c r="P3057">
        <v>115.6</v>
      </c>
      <c r="Q3057">
        <v>6.65</v>
      </c>
      <c r="R3057">
        <v>6.25</v>
      </c>
      <c r="S3057">
        <v>6.85</v>
      </c>
      <c r="T3057">
        <v>96.676021000000006</v>
      </c>
      <c r="W3057" t="s">
        <v>497</v>
      </c>
    </row>
    <row r="3058" spans="1:23" x14ac:dyDescent="0.25">
      <c r="A3058" t="s">
        <v>3494</v>
      </c>
      <c r="B3058" t="str">
        <f t="shared" si="48"/>
        <v>CM1300000898</v>
      </c>
      <c r="C3058" t="s">
        <v>225</v>
      </c>
      <c r="D3058" t="s">
        <v>77</v>
      </c>
      <c r="E3058" t="s">
        <v>287</v>
      </c>
      <c r="F3058">
        <v>25000</v>
      </c>
      <c r="G3058" s="13">
        <v>45810</v>
      </c>
      <c r="H3058" s="13">
        <v>46176</v>
      </c>
      <c r="I3058">
        <v>9068</v>
      </c>
      <c r="J3058">
        <v>0</v>
      </c>
      <c r="K3058">
        <v>9068</v>
      </c>
      <c r="N3058">
        <v>27.27272727272727</v>
      </c>
      <c r="O3058">
        <v>7.2998000000000003</v>
      </c>
      <c r="P3058">
        <v>56.271999999999998</v>
      </c>
      <c r="Q3058">
        <v>6.8</v>
      </c>
      <c r="R3058">
        <v>6.25</v>
      </c>
      <c r="S3058">
        <v>6.85</v>
      </c>
      <c r="T3058">
        <v>93.126407</v>
      </c>
      <c r="W3058" t="s">
        <v>497</v>
      </c>
    </row>
    <row r="3059" spans="1:23" x14ac:dyDescent="0.25">
      <c r="A3059" t="s">
        <v>3495</v>
      </c>
      <c r="B3059" t="str">
        <f t="shared" si="48"/>
        <v>CG1100001144</v>
      </c>
      <c r="C3059" t="s">
        <v>229</v>
      </c>
      <c r="D3059" t="s">
        <v>77</v>
      </c>
      <c r="E3059" t="s">
        <v>78</v>
      </c>
      <c r="F3059">
        <v>40000</v>
      </c>
      <c r="G3059" s="13">
        <v>45811</v>
      </c>
      <c r="H3059" s="13">
        <v>45904</v>
      </c>
      <c r="I3059">
        <v>19000</v>
      </c>
      <c r="J3059">
        <v>17327</v>
      </c>
      <c r="K3059">
        <v>36327</v>
      </c>
      <c r="N3059">
        <v>16.666666666666664</v>
      </c>
      <c r="O3059">
        <v>6.6936</v>
      </c>
      <c r="P3059">
        <v>90.817499999999995</v>
      </c>
      <c r="Q3059">
        <v>7</v>
      </c>
      <c r="R3059">
        <v>6.4</v>
      </c>
      <c r="S3059">
        <v>7</v>
      </c>
      <c r="T3059">
        <v>98.336146999999997</v>
      </c>
      <c r="W3059" t="s">
        <v>497</v>
      </c>
    </row>
    <row r="3060" spans="1:23" x14ac:dyDescent="0.25">
      <c r="A3060" t="s">
        <v>3496</v>
      </c>
      <c r="B3060" t="str">
        <f t="shared" si="48"/>
        <v>GA1100001989</v>
      </c>
      <c r="C3060" t="s">
        <v>227</v>
      </c>
      <c r="D3060" t="s">
        <v>77</v>
      </c>
      <c r="E3060" t="s">
        <v>78</v>
      </c>
      <c r="F3060">
        <v>8500</v>
      </c>
      <c r="G3060" s="13">
        <v>45812</v>
      </c>
      <c r="H3060" s="13">
        <v>45905</v>
      </c>
      <c r="J3060">
        <v>0</v>
      </c>
      <c r="N3060">
        <v>0</v>
      </c>
      <c r="T3060" t="s">
        <v>1418</v>
      </c>
      <c r="W3060" t="s">
        <v>497</v>
      </c>
    </row>
    <row r="3061" spans="1:23" x14ac:dyDescent="0.25">
      <c r="A3061" t="s">
        <v>3497</v>
      </c>
      <c r="B3061" t="str">
        <f t="shared" si="48"/>
        <v>TD1200002087</v>
      </c>
      <c r="C3061" t="s">
        <v>237</v>
      </c>
      <c r="D3061" t="s">
        <v>77</v>
      </c>
      <c r="E3061" t="s">
        <v>82</v>
      </c>
      <c r="F3061">
        <v>10000</v>
      </c>
      <c r="G3061" s="13">
        <v>45812</v>
      </c>
      <c r="H3061" s="13">
        <v>45996</v>
      </c>
      <c r="J3061">
        <v>0</v>
      </c>
      <c r="N3061">
        <v>0</v>
      </c>
      <c r="T3061" t="s">
        <v>1418</v>
      </c>
      <c r="W3061" t="s">
        <v>497</v>
      </c>
    </row>
    <row r="3062" spans="1:23" x14ac:dyDescent="0.25">
      <c r="A3062" t="s">
        <v>3498</v>
      </c>
      <c r="B3062" t="str">
        <f t="shared" si="48"/>
        <v>CM1200002028</v>
      </c>
      <c r="C3062" t="s">
        <v>225</v>
      </c>
      <c r="D3062" t="s">
        <v>77</v>
      </c>
      <c r="E3062" t="s">
        <v>82</v>
      </c>
      <c r="F3062">
        <v>20000</v>
      </c>
      <c r="G3062" s="13">
        <v>45817</v>
      </c>
      <c r="H3062" s="13">
        <v>46001</v>
      </c>
      <c r="I3062">
        <v>20000</v>
      </c>
      <c r="J3062">
        <v>0</v>
      </c>
      <c r="K3062">
        <v>20000</v>
      </c>
      <c r="N3062">
        <v>27.27272727272727</v>
      </c>
      <c r="O3062">
        <v>6.8792999999999997</v>
      </c>
      <c r="P3062">
        <v>214.77500000000001</v>
      </c>
      <c r="Q3062">
        <v>6.65</v>
      </c>
      <c r="R3062">
        <v>6</v>
      </c>
      <c r="S3062">
        <v>6.75</v>
      </c>
      <c r="T3062">
        <v>96.639009999999999</v>
      </c>
      <c r="W3062" t="s">
        <v>497</v>
      </c>
    </row>
    <row r="3063" spans="1:23" x14ac:dyDescent="0.25">
      <c r="A3063" t="s">
        <v>3499</v>
      </c>
      <c r="B3063" t="str">
        <f t="shared" si="48"/>
        <v>CM1300000906</v>
      </c>
      <c r="C3063" t="s">
        <v>225</v>
      </c>
      <c r="D3063" t="s">
        <v>77</v>
      </c>
      <c r="E3063" t="s">
        <v>287</v>
      </c>
      <c r="F3063">
        <v>25000</v>
      </c>
      <c r="G3063" s="13">
        <v>45817</v>
      </c>
      <c r="H3063" s="13">
        <v>46183</v>
      </c>
      <c r="I3063">
        <v>24808</v>
      </c>
      <c r="J3063">
        <v>0</v>
      </c>
      <c r="K3063">
        <v>24808</v>
      </c>
      <c r="N3063">
        <v>27.27272727272727</v>
      </c>
      <c r="O3063">
        <v>7.3319999999999999</v>
      </c>
      <c r="P3063">
        <v>99.231999999999999</v>
      </c>
      <c r="Q3063">
        <v>6.9</v>
      </c>
      <c r="R3063">
        <v>6.25</v>
      </c>
      <c r="S3063">
        <v>6.9</v>
      </c>
      <c r="T3063">
        <v>93.098178000000004</v>
      </c>
      <c r="W3063" t="s">
        <v>497</v>
      </c>
    </row>
    <row r="3064" spans="1:23" x14ac:dyDescent="0.25">
      <c r="A3064" t="s">
        <v>3500</v>
      </c>
      <c r="B3064" t="str">
        <f t="shared" si="48"/>
        <v>CG1100001151</v>
      </c>
      <c r="C3064" t="s">
        <v>229</v>
      </c>
      <c r="D3064" t="s">
        <v>77</v>
      </c>
      <c r="E3064" t="s">
        <v>78</v>
      </c>
      <c r="F3064">
        <v>20000</v>
      </c>
      <c r="G3064" s="13">
        <v>45818</v>
      </c>
      <c r="H3064" s="13">
        <v>45911</v>
      </c>
      <c r="I3064">
        <v>5000</v>
      </c>
      <c r="J3064">
        <v>66</v>
      </c>
      <c r="K3064">
        <v>5066</v>
      </c>
      <c r="N3064">
        <v>12.5</v>
      </c>
      <c r="O3064">
        <v>7.1246</v>
      </c>
      <c r="P3064">
        <v>25.33</v>
      </c>
      <c r="Q3064">
        <v>7</v>
      </c>
      <c r="R3064">
        <v>6</v>
      </c>
      <c r="S3064">
        <v>7</v>
      </c>
      <c r="T3064">
        <v>98.230930000000001</v>
      </c>
      <c r="W3064" t="s">
        <v>497</v>
      </c>
    </row>
    <row r="3065" spans="1:23" x14ac:dyDescent="0.25">
      <c r="A3065" t="s">
        <v>3501</v>
      </c>
      <c r="B3065" t="str">
        <f t="shared" si="48"/>
        <v>CG1300000888</v>
      </c>
      <c r="C3065" t="s">
        <v>229</v>
      </c>
      <c r="D3065" t="s">
        <v>77</v>
      </c>
      <c r="E3065" t="s">
        <v>287</v>
      </c>
      <c r="F3065">
        <v>15000</v>
      </c>
      <c r="G3065" s="13">
        <v>45818</v>
      </c>
      <c r="H3065" s="13">
        <v>46184</v>
      </c>
      <c r="I3065">
        <v>0</v>
      </c>
      <c r="J3065">
        <v>5015</v>
      </c>
      <c r="K3065">
        <v>5015</v>
      </c>
      <c r="N3065">
        <v>12.5</v>
      </c>
      <c r="O3065">
        <v>7.5324</v>
      </c>
      <c r="P3065">
        <v>33.433300000000003</v>
      </c>
      <c r="Q3065">
        <v>7</v>
      </c>
      <c r="R3065">
        <v>6.5</v>
      </c>
      <c r="S3065">
        <v>7</v>
      </c>
      <c r="T3065">
        <v>92.922927999999999</v>
      </c>
      <c r="W3065" t="s">
        <v>497</v>
      </c>
    </row>
    <row r="3066" spans="1:23" x14ac:dyDescent="0.25">
      <c r="A3066" t="s">
        <v>3502</v>
      </c>
      <c r="B3066" t="str">
        <f t="shared" si="48"/>
        <v>GA1100001997</v>
      </c>
      <c r="C3066" t="s">
        <v>227</v>
      </c>
      <c r="D3066" t="s">
        <v>77</v>
      </c>
      <c r="E3066" t="s">
        <v>78</v>
      </c>
      <c r="F3066">
        <v>8500</v>
      </c>
      <c r="G3066" s="13">
        <v>45819</v>
      </c>
      <c r="H3066" s="13">
        <v>45912</v>
      </c>
      <c r="I3066">
        <v>3737</v>
      </c>
      <c r="J3066">
        <v>250</v>
      </c>
      <c r="K3066">
        <v>3987</v>
      </c>
      <c r="N3066">
        <v>23.809523809523807</v>
      </c>
      <c r="O3066">
        <v>6.5900999999999996</v>
      </c>
      <c r="P3066">
        <v>103.37649999999999</v>
      </c>
      <c r="Q3066">
        <v>6.5</v>
      </c>
      <c r="R3066">
        <v>6.25</v>
      </c>
      <c r="S3066">
        <v>6.8</v>
      </c>
      <c r="T3066">
        <v>98.361458999999996</v>
      </c>
      <c r="W3066" t="s">
        <v>497</v>
      </c>
    </row>
    <row r="3067" spans="1:23" x14ac:dyDescent="0.25">
      <c r="A3067" t="s">
        <v>3503</v>
      </c>
      <c r="B3067" t="str">
        <f t="shared" si="48"/>
        <v>CM1300000914</v>
      </c>
      <c r="C3067" t="s">
        <v>225</v>
      </c>
      <c r="D3067" t="s">
        <v>77</v>
      </c>
      <c r="E3067" t="s">
        <v>287</v>
      </c>
      <c r="F3067">
        <v>30000</v>
      </c>
      <c r="G3067" s="13">
        <v>45824</v>
      </c>
      <c r="H3067" s="13">
        <v>46190</v>
      </c>
      <c r="I3067">
        <v>27070</v>
      </c>
      <c r="J3067">
        <v>1000</v>
      </c>
      <c r="K3067">
        <v>28070</v>
      </c>
      <c r="N3067">
        <v>22.727272727272727</v>
      </c>
      <c r="O3067">
        <v>7.3257000000000003</v>
      </c>
      <c r="P3067">
        <v>98.566699999999997</v>
      </c>
      <c r="Q3067">
        <v>6.9</v>
      </c>
      <c r="R3067">
        <v>6.25</v>
      </c>
      <c r="S3067">
        <v>6.95</v>
      </c>
      <c r="T3067">
        <v>93.103723000000002</v>
      </c>
      <c r="W3067" t="s">
        <v>497</v>
      </c>
    </row>
    <row r="3068" spans="1:23" x14ac:dyDescent="0.25">
      <c r="A3068" t="s">
        <v>3504</v>
      </c>
      <c r="B3068" t="str">
        <f t="shared" si="48"/>
        <v>CG1100001169</v>
      </c>
      <c r="C3068" t="s">
        <v>229</v>
      </c>
      <c r="D3068" t="s">
        <v>77</v>
      </c>
      <c r="E3068" t="s">
        <v>78</v>
      </c>
      <c r="F3068">
        <v>35000</v>
      </c>
      <c r="G3068" s="13">
        <v>45825</v>
      </c>
      <c r="H3068" s="13">
        <v>45918</v>
      </c>
      <c r="I3068">
        <v>7420</v>
      </c>
      <c r="J3068">
        <v>17441</v>
      </c>
      <c r="K3068">
        <v>24861</v>
      </c>
      <c r="N3068">
        <v>29.166666666666668</v>
      </c>
      <c r="O3068">
        <v>6.9126000000000003</v>
      </c>
      <c r="P3068">
        <v>71.031400000000005</v>
      </c>
      <c r="Q3068">
        <v>7</v>
      </c>
      <c r="R3068">
        <v>5.9</v>
      </c>
      <c r="S3068">
        <v>7</v>
      </c>
      <c r="T3068">
        <v>98.282655000000005</v>
      </c>
      <c r="W3068" t="s">
        <v>497</v>
      </c>
    </row>
    <row r="3069" spans="1:23" x14ac:dyDescent="0.25">
      <c r="A3069" t="s">
        <v>3505</v>
      </c>
      <c r="B3069" t="str">
        <f t="shared" si="48"/>
        <v>CG1300000896</v>
      </c>
      <c r="C3069" t="s">
        <v>229</v>
      </c>
      <c r="D3069" t="s">
        <v>77</v>
      </c>
      <c r="E3069" t="s">
        <v>287</v>
      </c>
      <c r="F3069">
        <v>15000</v>
      </c>
      <c r="G3069" s="13">
        <v>45825</v>
      </c>
      <c r="H3069" s="13">
        <v>46191</v>
      </c>
      <c r="I3069">
        <v>0</v>
      </c>
      <c r="J3069">
        <v>1647</v>
      </c>
      <c r="K3069">
        <v>1647</v>
      </c>
      <c r="N3069">
        <v>12.5</v>
      </c>
      <c r="O3069">
        <v>7.2165999999999997</v>
      </c>
      <c r="P3069">
        <v>10.98</v>
      </c>
      <c r="Q3069">
        <v>6.8</v>
      </c>
      <c r="R3069">
        <v>6</v>
      </c>
      <c r="S3069">
        <v>6.8</v>
      </c>
      <c r="T3069">
        <v>93.199403000000004</v>
      </c>
      <c r="W3069" t="s">
        <v>497</v>
      </c>
    </row>
    <row r="3070" spans="1:23" x14ac:dyDescent="0.25">
      <c r="A3070" t="s">
        <v>3506</v>
      </c>
      <c r="B3070" t="str">
        <f t="shared" si="48"/>
        <v>GQ1300001518</v>
      </c>
      <c r="C3070" t="s">
        <v>528</v>
      </c>
      <c r="D3070" t="s">
        <v>77</v>
      </c>
      <c r="E3070" t="s">
        <v>287</v>
      </c>
      <c r="F3070">
        <v>15000</v>
      </c>
      <c r="G3070" s="13">
        <v>45825</v>
      </c>
      <c r="H3070" s="13">
        <v>46191</v>
      </c>
      <c r="I3070">
        <v>12613</v>
      </c>
      <c r="J3070">
        <v>828</v>
      </c>
      <c r="K3070">
        <v>13441</v>
      </c>
      <c r="N3070">
        <v>30.76923076923077</v>
      </c>
      <c r="O3070">
        <v>7.4851999999999999</v>
      </c>
      <c r="P3070">
        <v>89.606700000000004</v>
      </c>
      <c r="Q3070">
        <v>7</v>
      </c>
      <c r="R3070">
        <v>6.5</v>
      </c>
      <c r="S3070">
        <v>7</v>
      </c>
      <c r="T3070">
        <v>92.964161000000004</v>
      </c>
      <c r="W3070" t="s">
        <v>497</v>
      </c>
    </row>
    <row r="3071" spans="1:23" x14ac:dyDescent="0.25">
      <c r="A3071" t="s">
        <v>3507</v>
      </c>
      <c r="B3071" t="str">
        <f t="shared" si="48"/>
        <v>GA1200002473</v>
      </c>
      <c r="C3071" t="s">
        <v>227</v>
      </c>
      <c r="D3071" t="s">
        <v>77</v>
      </c>
      <c r="E3071" t="s">
        <v>82</v>
      </c>
      <c r="F3071">
        <v>8049</v>
      </c>
      <c r="G3071" s="13">
        <v>45826</v>
      </c>
      <c r="H3071" s="13">
        <v>46010</v>
      </c>
      <c r="I3071">
        <v>8049</v>
      </c>
      <c r="J3071">
        <v>0</v>
      </c>
      <c r="K3071">
        <v>8049</v>
      </c>
      <c r="N3071">
        <v>0</v>
      </c>
      <c r="P3071">
        <v>100</v>
      </c>
      <c r="T3071" t="s">
        <v>542</v>
      </c>
      <c r="W3071" t="s">
        <v>542</v>
      </c>
    </row>
    <row r="3072" spans="1:23" x14ac:dyDescent="0.25">
      <c r="A3072" t="s">
        <v>3508</v>
      </c>
      <c r="B3072" t="str">
        <f t="shared" si="48"/>
        <v>CG1100001177</v>
      </c>
      <c r="C3072" t="s">
        <v>229</v>
      </c>
      <c r="D3072" t="s">
        <v>77</v>
      </c>
      <c r="E3072" t="s">
        <v>78</v>
      </c>
      <c r="F3072">
        <v>35000</v>
      </c>
      <c r="G3072" s="13">
        <v>45832</v>
      </c>
      <c r="H3072" s="13">
        <v>45925</v>
      </c>
      <c r="I3072">
        <v>5480</v>
      </c>
      <c r="J3072">
        <v>24227</v>
      </c>
      <c r="K3072">
        <v>29707</v>
      </c>
      <c r="N3072">
        <v>37.5</v>
      </c>
      <c r="O3072">
        <v>6.7847</v>
      </c>
      <c r="P3072">
        <v>84.877099999999999</v>
      </c>
      <c r="Q3072">
        <v>7</v>
      </c>
      <c r="R3072">
        <v>6</v>
      </c>
      <c r="S3072">
        <v>7</v>
      </c>
      <c r="T3072">
        <v>98.313896</v>
      </c>
      <c r="W3072" t="s">
        <v>497</v>
      </c>
    </row>
    <row r="3073" spans="1:23" x14ac:dyDescent="0.25">
      <c r="A3073" t="s">
        <v>3509</v>
      </c>
      <c r="B3073" t="str">
        <f t="shared" si="48"/>
        <v>CG1300000904</v>
      </c>
      <c r="C3073" t="s">
        <v>229</v>
      </c>
      <c r="D3073" t="s">
        <v>77</v>
      </c>
      <c r="E3073" t="s">
        <v>287</v>
      </c>
      <c r="F3073">
        <v>20000</v>
      </c>
      <c r="G3073" s="13">
        <v>45832</v>
      </c>
      <c r="H3073" s="13">
        <v>46198</v>
      </c>
      <c r="I3073">
        <v>50</v>
      </c>
      <c r="J3073">
        <v>9460</v>
      </c>
      <c r="K3073">
        <v>9510</v>
      </c>
      <c r="N3073">
        <v>25</v>
      </c>
      <c r="O3073">
        <v>7.5263</v>
      </c>
      <c r="P3073">
        <v>47.55</v>
      </c>
      <c r="Q3073">
        <v>7</v>
      </c>
      <c r="R3073">
        <v>5.9</v>
      </c>
      <c r="S3073">
        <v>7</v>
      </c>
      <c r="T3073">
        <v>92.928218999999999</v>
      </c>
      <c r="W3073" t="s">
        <v>497</v>
      </c>
    </row>
    <row r="3074" spans="1:23" x14ac:dyDescent="0.25">
      <c r="A3074" t="s">
        <v>3510</v>
      </c>
      <c r="B3074" t="str">
        <f t="shared" si="48"/>
        <v>GA1200002481</v>
      </c>
      <c r="C3074" t="s">
        <v>227</v>
      </c>
      <c r="D3074" t="s">
        <v>77</v>
      </c>
      <c r="E3074" t="s">
        <v>82</v>
      </c>
      <c r="F3074">
        <v>7500</v>
      </c>
      <c r="G3074" s="13">
        <v>45833</v>
      </c>
      <c r="H3074" s="13">
        <v>46017</v>
      </c>
      <c r="I3074">
        <v>2748</v>
      </c>
      <c r="J3074">
        <v>3538</v>
      </c>
      <c r="K3074">
        <v>6286</v>
      </c>
      <c r="N3074">
        <v>33.333333333333329</v>
      </c>
      <c r="O3074">
        <v>6.6997999999999998</v>
      </c>
      <c r="P3074">
        <v>83.906700000000001</v>
      </c>
      <c r="Q3074">
        <v>6.5</v>
      </c>
      <c r="R3074">
        <v>5.8</v>
      </c>
      <c r="S3074">
        <v>7</v>
      </c>
      <c r="T3074">
        <v>96.723842000000005</v>
      </c>
      <c r="W3074" t="s">
        <v>497</v>
      </c>
    </row>
    <row r="3075" spans="1:23" x14ac:dyDescent="0.25">
      <c r="A3075" t="s">
        <v>3511</v>
      </c>
      <c r="B3075" t="str">
        <f t="shared" si="48"/>
        <v>TD1200002095</v>
      </c>
      <c r="C3075" t="s">
        <v>237</v>
      </c>
      <c r="D3075" t="s">
        <v>77</v>
      </c>
      <c r="E3075" t="s">
        <v>82</v>
      </c>
      <c r="F3075">
        <v>5000</v>
      </c>
      <c r="G3075" s="13">
        <v>45833</v>
      </c>
      <c r="H3075" s="13"/>
      <c r="J3075">
        <v>0</v>
      </c>
      <c r="N3075">
        <v>0</v>
      </c>
      <c r="T3075" t="s">
        <v>1418</v>
      </c>
      <c r="W3075" t="s">
        <v>497</v>
      </c>
    </row>
    <row r="3076" spans="1:23" x14ac:dyDescent="0.25">
      <c r="A3076" t="s">
        <v>3512</v>
      </c>
      <c r="B3076" t="str">
        <f t="shared" si="48"/>
        <v>CM1300000922</v>
      </c>
      <c r="C3076" t="s">
        <v>225</v>
      </c>
      <c r="D3076" t="s">
        <v>77</v>
      </c>
      <c r="E3076" t="s">
        <v>287</v>
      </c>
      <c r="F3076">
        <v>20000</v>
      </c>
      <c r="G3076" s="13">
        <v>45838</v>
      </c>
      <c r="H3076" s="13">
        <v>46204</v>
      </c>
      <c r="I3076">
        <v>8180</v>
      </c>
      <c r="J3076">
        <v>5000</v>
      </c>
      <c r="K3076">
        <v>13180</v>
      </c>
      <c r="N3076">
        <v>22.727272727272727</v>
      </c>
      <c r="O3076">
        <v>7.3006000000000002</v>
      </c>
      <c r="P3076">
        <v>205.9</v>
      </c>
      <c r="Q3076">
        <v>6.8</v>
      </c>
      <c r="R3076">
        <v>6.5</v>
      </c>
      <c r="S3076">
        <v>6.9</v>
      </c>
      <c r="T3076">
        <v>93.125699999999995</v>
      </c>
      <c r="W3076" t="s">
        <v>497</v>
      </c>
    </row>
    <row r="3077" spans="1:23" x14ac:dyDescent="0.25">
      <c r="A3077" t="s">
        <v>3513</v>
      </c>
      <c r="B3077" t="str">
        <f t="shared" si="48"/>
        <v>CG1200001580</v>
      </c>
      <c r="C3077" t="s">
        <v>229</v>
      </c>
      <c r="D3077" t="s">
        <v>77</v>
      </c>
      <c r="E3077" t="s">
        <v>82</v>
      </c>
      <c r="F3077">
        <v>25000</v>
      </c>
      <c r="G3077" s="13">
        <v>45839</v>
      </c>
      <c r="H3077" s="13">
        <v>46023</v>
      </c>
      <c r="I3077">
        <v>10550</v>
      </c>
      <c r="J3077">
        <v>13823</v>
      </c>
      <c r="K3077">
        <v>24373</v>
      </c>
      <c r="N3077">
        <v>33.333333333333329</v>
      </c>
      <c r="O3077">
        <v>7.2106000000000003</v>
      </c>
      <c r="P3077">
        <v>97.492000000000004</v>
      </c>
      <c r="Q3077">
        <v>7</v>
      </c>
      <c r="R3077">
        <v>6.5</v>
      </c>
      <c r="S3077">
        <v>7</v>
      </c>
      <c r="T3077">
        <v>96.482799999999997</v>
      </c>
      <c r="W3077" t="s">
        <v>497</v>
      </c>
    </row>
    <row r="3078" spans="1:23" x14ac:dyDescent="0.25">
      <c r="A3078" t="s">
        <v>3514</v>
      </c>
      <c r="B3078" t="str">
        <f t="shared" si="48"/>
        <v>CG1300000912</v>
      </c>
      <c r="C3078" t="s">
        <v>229</v>
      </c>
      <c r="D3078" t="s">
        <v>77</v>
      </c>
      <c r="E3078" t="s">
        <v>287</v>
      </c>
      <c r="F3078">
        <v>20000</v>
      </c>
      <c r="G3078" s="13">
        <v>45839</v>
      </c>
      <c r="H3078" s="13">
        <v>46205</v>
      </c>
      <c r="I3078">
        <v>3335</v>
      </c>
      <c r="J3078">
        <v>4258</v>
      </c>
      <c r="K3078">
        <v>7593</v>
      </c>
      <c r="N3078">
        <v>29.166666666666668</v>
      </c>
      <c r="O3078">
        <v>7.4497999999999998</v>
      </c>
      <c r="P3078">
        <v>37.965000000000003</v>
      </c>
      <c r="Q3078">
        <v>7</v>
      </c>
      <c r="R3078">
        <v>6.5</v>
      </c>
      <c r="S3078">
        <v>7</v>
      </c>
      <c r="T3078">
        <v>92.995099999999994</v>
      </c>
      <c r="W3078" t="s">
        <v>497</v>
      </c>
    </row>
    <row r="3079" spans="1:23" x14ac:dyDescent="0.25">
      <c r="A3079" t="s">
        <v>3515</v>
      </c>
      <c r="B3079" t="str">
        <f t="shared" si="48"/>
        <v>GA1300000849</v>
      </c>
      <c r="C3079" t="s">
        <v>227</v>
      </c>
      <c r="D3079" t="s">
        <v>77</v>
      </c>
      <c r="E3079" t="s">
        <v>287</v>
      </c>
      <c r="F3079">
        <v>30000</v>
      </c>
      <c r="G3079" s="13">
        <v>45840</v>
      </c>
      <c r="H3079" s="13">
        <v>46206</v>
      </c>
      <c r="I3079">
        <v>8498</v>
      </c>
      <c r="J3079">
        <v>21502</v>
      </c>
      <c r="K3079">
        <v>30000</v>
      </c>
      <c r="N3079">
        <v>23.809523809523807</v>
      </c>
      <c r="O3079">
        <v>6.9572000000000003</v>
      </c>
      <c r="P3079">
        <v>100.05</v>
      </c>
      <c r="Q3079">
        <v>6.5</v>
      </c>
      <c r="R3079">
        <v>6.5</v>
      </c>
      <c r="S3079">
        <v>6.75</v>
      </c>
      <c r="T3079">
        <v>93.427700000000002</v>
      </c>
      <c r="W3079" t="s">
        <v>497</v>
      </c>
    </row>
    <row r="3080" spans="1:23" x14ac:dyDescent="0.25">
      <c r="A3080" t="s">
        <v>3516</v>
      </c>
      <c r="B3080" t="str">
        <f t="shared" si="48"/>
        <v>CM1300000930</v>
      </c>
      <c r="C3080" t="s">
        <v>225</v>
      </c>
      <c r="D3080" t="s">
        <v>77</v>
      </c>
      <c r="E3080" t="s">
        <v>287</v>
      </c>
      <c r="F3080">
        <v>20000</v>
      </c>
      <c r="G3080" s="13">
        <v>45845</v>
      </c>
      <c r="H3080" s="13">
        <v>46211</v>
      </c>
      <c r="I3080">
        <v>14155</v>
      </c>
      <c r="J3080">
        <v>0</v>
      </c>
      <c r="K3080">
        <v>14155</v>
      </c>
      <c r="N3080">
        <v>18.181818181818183</v>
      </c>
      <c r="O3080">
        <v>7.2972999999999999</v>
      </c>
      <c r="P3080">
        <v>171.27500000000001</v>
      </c>
      <c r="Q3080">
        <v>6.8</v>
      </c>
      <c r="R3080">
        <v>6.25</v>
      </c>
      <c r="S3080">
        <v>6.9</v>
      </c>
      <c r="T3080">
        <v>93.128658999999999</v>
      </c>
      <c r="W3080" t="s">
        <v>497</v>
      </c>
    </row>
    <row r="3081" spans="1:23" x14ac:dyDescent="0.25">
      <c r="A3081" t="s">
        <v>3517</v>
      </c>
      <c r="B3081" t="str">
        <f t="shared" si="48"/>
        <v>CG1200001598</v>
      </c>
      <c r="C3081" t="s">
        <v>229</v>
      </c>
      <c r="D3081" t="s">
        <v>77</v>
      </c>
      <c r="E3081" t="s">
        <v>82</v>
      </c>
      <c r="F3081">
        <v>30000</v>
      </c>
      <c r="G3081" s="13">
        <v>45846</v>
      </c>
      <c r="H3081" s="13">
        <v>46030</v>
      </c>
      <c r="I3081">
        <v>0</v>
      </c>
      <c r="J3081">
        <v>1005</v>
      </c>
      <c r="K3081">
        <v>1005</v>
      </c>
      <c r="N3081">
        <v>8.3333333333333321</v>
      </c>
      <c r="O3081">
        <v>6.8273000000000001</v>
      </c>
      <c r="P3081">
        <v>3.35</v>
      </c>
      <c r="Q3081">
        <v>6.6</v>
      </c>
      <c r="R3081">
        <v>6.5</v>
      </c>
      <c r="S3081">
        <v>6.6</v>
      </c>
      <c r="T3081">
        <v>96.663584999999998</v>
      </c>
      <c r="W3081" t="s">
        <v>497</v>
      </c>
    </row>
    <row r="3082" spans="1:23" x14ac:dyDescent="0.25">
      <c r="A3082" t="s">
        <v>3518</v>
      </c>
      <c r="B3082" t="str">
        <f t="shared" si="48"/>
        <v>CG1300000920</v>
      </c>
      <c r="C3082" t="s">
        <v>229</v>
      </c>
      <c r="D3082" t="s">
        <v>77</v>
      </c>
      <c r="E3082" t="s">
        <v>287</v>
      </c>
      <c r="G3082" s="13">
        <v>45846</v>
      </c>
      <c r="H3082" s="13"/>
      <c r="J3082">
        <v>0</v>
      </c>
      <c r="N3082">
        <v>0</v>
      </c>
      <c r="T3082" t="s">
        <v>1418</v>
      </c>
      <c r="W3082" t="s">
        <v>497</v>
      </c>
    </row>
    <row r="3083" spans="1:23" x14ac:dyDescent="0.25">
      <c r="A3083" t="s">
        <v>3519</v>
      </c>
      <c r="B3083" t="str">
        <f t="shared" si="48"/>
        <v>GA1200002499</v>
      </c>
      <c r="C3083" t="s">
        <v>227</v>
      </c>
      <c r="D3083" t="s">
        <v>77</v>
      </c>
      <c r="E3083" t="s">
        <v>82</v>
      </c>
      <c r="F3083">
        <v>7500</v>
      </c>
      <c r="G3083" s="13">
        <v>45847</v>
      </c>
      <c r="H3083" s="13">
        <v>46031</v>
      </c>
      <c r="I3083">
        <v>3550</v>
      </c>
      <c r="J3083">
        <v>516</v>
      </c>
      <c r="K3083">
        <v>4066</v>
      </c>
      <c r="N3083">
        <v>28.571428571428569</v>
      </c>
      <c r="O3083">
        <v>6.7108999999999996</v>
      </c>
      <c r="P3083">
        <v>80.88</v>
      </c>
      <c r="Q3083">
        <v>6.5</v>
      </c>
      <c r="R3083">
        <v>6</v>
      </c>
      <c r="S3083">
        <v>6.6</v>
      </c>
      <c r="T3083">
        <v>96.718614000000002</v>
      </c>
      <c r="W3083" t="s">
        <v>497</v>
      </c>
    </row>
    <row r="3084" spans="1:23" x14ac:dyDescent="0.25">
      <c r="A3084" t="s">
        <v>3520</v>
      </c>
      <c r="B3084" t="str">
        <f t="shared" si="48"/>
        <v>CM1200002036</v>
      </c>
      <c r="C3084" t="s">
        <v>225</v>
      </c>
      <c r="D3084" t="s">
        <v>77</v>
      </c>
      <c r="E3084" t="s">
        <v>82</v>
      </c>
      <c r="F3084">
        <v>15000</v>
      </c>
      <c r="G3084" s="13">
        <v>45852</v>
      </c>
      <c r="H3084" s="13">
        <v>46036</v>
      </c>
      <c r="I3084">
        <v>6200</v>
      </c>
      <c r="J3084">
        <v>4000</v>
      </c>
      <c r="K3084">
        <v>10200</v>
      </c>
      <c r="N3084">
        <v>27.27272727272727</v>
      </c>
      <c r="O3084">
        <v>6.7072000000000003</v>
      </c>
      <c r="P3084">
        <v>164.73330000000001</v>
      </c>
      <c r="Q3084">
        <v>6.5</v>
      </c>
      <c r="R3084">
        <v>6.45</v>
      </c>
      <c r="S3084">
        <v>6.7</v>
      </c>
      <c r="T3084">
        <v>96.720331999999999</v>
      </c>
      <c r="W3084" t="s">
        <v>497</v>
      </c>
    </row>
    <row r="3085" spans="1:23" x14ac:dyDescent="0.25">
      <c r="A3085" t="s">
        <v>3521</v>
      </c>
      <c r="B3085" t="str">
        <f t="shared" si="48"/>
        <v>CG1100001185</v>
      </c>
      <c r="C3085" t="s">
        <v>229</v>
      </c>
      <c r="D3085" t="s">
        <v>77</v>
      </c>
      <c r="E3085" t="s">
        <v>78</v>
      </c>
      <c r="F3085">
        <v>20000</v>
      </c>
      <c r="G3085" s="13">
        <v>45853</v>
      </c>
      <c r="H3085" s="13">
        <v>45946</v>
      </c>
      <c r="I3085">
        <v>2000</v>
      </c>
      <c r="J3085">
        <v>18000</v>
      </c>
      <c r="K3085">
        <v>20000</v>
      </c>
      <c r="N3085">
        <v>16.666666666666664</v>
      </c>
      <c r="O3085">
        <v>6.7370999999999999</v>
      </c>
      <c r="P3085">
        <v>155.15</v>
      </c>
      <c r="Q3085">
        <v>7</v>
      </c>
      <c r="R3085">
        <v>6.5</v>
      </c>
      <c r="S3085">
        <v>7</v>
      </c>
      <c r="T3085">
        <v>98.325536999999997</v>
      </c>
      <c r="W3085" t="s">
        <v>497</v>
      </c>
    </row>
    <row r="3086" spans="1:23" x14ac:dyDescent="0.25">
      <c r="A3086" t="s">
        <v>3522</v>
      </c>
      <c r="B3086" t="str">
        <f t="shared" si="48"/>
        <v>CG1100001185</v>
      </c>
      <c r="C3086" t="s">
        <v>229</v>
      </c>
      <c r="D3086" t="s">
        <v>77</v>
      </c>
      <c r="E3086" t="s">
        <v>78</v>
      </c>
      <c r="F3086">
        <v>10000</v>
      </c>
      <c r="G3086" s="13">
        <v>45853</v>
      </c>
      <c r="H3086" s="13">
        <v>45946</v>
      </c>
      <c r="I3086">
        <v>0</v>
      </c>
      <c r="J3086">
        <v>10000</v>
      </c>
      <c r="K3086">
        <v>10000</v>
      </c>
      <c r="N3086">
        <v>16.666666666666664</v>
      </c>
      <c r="O3086">
        <v>6.7370999999999999</v>
      </c>
      <c r="P3086">
        <v>110.3</v>
      </c>
      <c r="Q3086">
        <v>6.6242000000000001</v>
      </c>
      <c r="R3086">
        <v>6.6242000000000001</v>
      </c>
      <c r="S3086">
        <v>6.6242000000000001</v>
      </c>
      <c r="T3086">
        <v>98.325536999999997</v>
      </c>
      <c r="W3086" t="s">
        <v>497</v>
      </c>
    </row>
    <row r="3087" spans="1:23" x14ac:dyDescent="0.25">
      <c r="A3087" t="s">
        <v>3523</v>
      </c>
      <c r="B3087" t="str">
        <f t="shared" si="48"/>
        <v>CG1200001606</v>
      </c>
      <c r="C3087" t="s">
        <v>229</v>
      </c>
      <c r="D3087" t="s">
        <v>77</v>
      </c>
      <c r="E3087" t="s">
        <v>82</v>
      </c>
      <c r="G3087" s="13">
        <v>45853</v>
      </c>
      <c r="H3087" s="13"/>
      <c r="J3087">
        <v>0</v>
      </c>
      <c r="N3087">
        <v>0</v>
      </c>
      <c r="T3087" t="s">
        <v>1418</v>
      </c>
      <c r="W3087" t="s">
        <v>497</v>
      </c>
    </row>
    <row r="3088" spans="1:23" x14ac:dyDescent="0.25">
      <c r="A3088" t="s">
        <v>3524</v>
      </c>
      <c r="B3088" t="str">
        <f t="shared" si="48"/>
        <v>CG1300000938</v>
      </c>
      <c r="C3088" t="s">
        <v>229</v>
      </c>
      <c r="D3088" t="s">
        <v>77</v>
      </c>
      <c r="E3088" t="s">
        <v>287</v>
      </c>
      <c r="F3088">
        <v>15000</v>
      </c>
      <c r="G3088" s="13">
        <v>45853</v>
      </c>
      <c r="H3088" s="13">
        <v>46219</v>
      </c>
      <c r="I3088">
        <v>100</v>
      </c>
      <c r="J3088">
        <v>2145</v>
      </c>
      <c r="K3088">
        <v>2245</v>
      </c>
      <c r="N3088">
        <v>20.833333333333336</v>
      </c>
      <c r="O3088">
        <v>7.3684000000000003</v>
      </c>
      <c r="P3088">
        <v>14.966699999999999</v>
      </c>
      <c r="Q3088">
        <v>7</v>
      </c>
      <c r="R3088">
        <v>6.8</v>
      </c>
      <c r="S3088">
        <v>7</v>
      </c>
      <c r="T3088">
        <v>93.066344999999998</v>
      </c>
      <c r="W3088" t="s">
        <v>497</v>
      </c>
    </row>
    <row r="3089" spans="1:23" x14ac:dyDescent="0.25">
      <c r="A3089" t="s">
        <v>3525</v>
      </c>
      <c r="B3089" t="str">
        <f t="shared" si="48"/>
        <v>GA1200002507</v>
      </c>
      <c r="C3089" t="s">
        <v>227</v>
      </c>
      <c r="D3089" t="s">
        <v>77</v>
      </c>
      <c r="E3089" t="s">
        <v>82</v>
      </c>
      <c r="F3089">
        <v>8500</v>
      </c>
      <c r="G3089" s="13">
        <v>45854</v>
      </c>
      <c r="H3089" s="13">
        <v>46038</v>
      </c>
      <c r="I3089">
        <v>4441</v>
      </c>
      <c r="J3089">
        <v>4059</v>
      </c>
      <c r="K3089">
        <v>8500</v>
      </c>
      <c r="N3089">
        <v>33.333333333333329</v>
      </c>
      <c r="O3089">
        <v>6.7122000000000002</v>
      </c>
      <c r="P3089">
        <v>125.91759999999999</v>
      </c>
      <c r="Q3089">
        <v>6.5</v>
      </c>
      <c r="R3089">
        <v>6</v>
      </c>
      <c r="S3089">
        <v>6.8</v>
      </c>
      <c r="T3089">
        <v>96.717993000000007</v>
      </c>
      <c r="W3089" t="s">
        <v>497</v>
      </c>
    </row>
    <row r="3090" spans="1:23" x14ac:dyDescent="0.25">
      <c r="A3090" t="s">
        <v>3526</v>
      </c>
      <c r="B3090" t="str">
        <f t="shared" si="48"/>
        <v>CM1300000948</v>
      </c>
      <c r="C3090" t="s">
        <v>225</v>
      </c>
      <c r="D3090" t="s">
        <v>77</v>
      </c>
      <c r="E3090" t="s">
        <v>287</v>
      </c>
      <c r="F3090">
        <v>20000</v>
      </c>
      <c r="G3090" s="13">
        <v>45859</v>
      </c>
      <c r="H3090" s="13">
        <v>46225</v>
      </c>
      <c r="I3090">
        <v>20000</v>
      </c>
      <c r="J3090">
        <v>0</v>
      </c>
      <c r="K3090">
        <v>20000</v>
      </c>
      <c r="N3090">
        <v>27.27272727272727</v>
      </c>
      <c r="O3090">
        <v>7.1685999999999996</v>
      </c>
      <c r="P3090">
        <v>200.55500000000001</v>
      </c>
      <c r="Q3090">
        <v>6.7</v>
      </c>
      <c r="R3090">
        <v>6</v>
      </c>
      <c r="S3090">
        <v>6.9</v>
      </c>
      <c r="T3090">
        <v>93.241658000000001</v>
      </c>
      <c r="W3090" t="s">
        <v>497</v>
      </c>
    </row>
    <row r="3091" spans="1:23" x14ac:dyDescent="0.25">
      <c r="A3091" t="s">
        <v>3527</v>
      </c>
      <c r="B3091" t="str">
        <f t="shared" si="48"/>
        <v>CG1100001193</v>
      </c>
      <c r="C3091" t="s">
        <v>229</v>
      </c>
      <c r="D3091" t="s">
        <v>77</v>
      </c>
      <c r="E3091" t="s">
        <v>78</v>
      </c>
      <c r="F3091">
        <v>25000</v>
      </c>
      <c r="G3091" s="13">
        <v>45860</v>
      </c>
      <c r="H3091" s="13">
        <v>45953</v>
      </c>
      <c r="I3091">
        <v>1855</v>
      </c>
      <c r="J3091">
        <v>23145</v>
      </c>
      <c r="K3091">
        <v>25000</v>
      </c>
      <c r="N3091">
        <v>20.833333333333336</v>
      </c>
      <c r="O3091">
        <v>6.6669</v>
      </c>
      <c r="P3091">
        <v>144.56800000000001</v>
      </c>
      <c r="Q3091">
        <v>7</v>
      </c>
      <c r="R3091">
        <v>6</v>
      </c>
      <c r="S3091">
        <v>7</v>
      </c>
      <c r="T3091">
        <v>98.342687999999995</v>
      </c>
      <c r="W3091" t="s">
        <v>497</v>
      </c>
    </row>
    <row r="3092" spans="1:23" x14ac:dyDescent="0.25">
      <c r="A3092" t="s">
        <v>3528</v>
      </c>
      <c r="B3092" t="str">
        <f t="shared" si="48"/>
        <v>CG1100001193</v>
      </c>
      <c r="C3092" t="s">
        <v>229</v>
      </c>
      <c r="D3092" t="s">
        <v>77</v>
      </c>
      <c r="E3092" t="s">
        <v>78</v>
      </c>
      <c r="F3092">
        <v>12500</v>
      </c>
      <c r="G3092" s="13">
        <v>45860</v>
      </c>
      <c r="H3092" s="13">
        <v>45953</v>
      </c>
      <c r="I3092">
        <v>9080</v>
      </c>
      <c r="J3092">
        <v>3420</v>
      </c>
      <c r="K3092">
        <v>12500</v>
      </c>
      <c r="N3092">
        <v>12.5</v>
      </c>
      <c r="O3092">
        <v>6.6669</v>
      </c>
      <c r="P3092">
        <v>116.408</v>
      </c>
      <c r="Q3092">
        <v>6.6669</v>
      </c>
      <c r="R3092">
        <v>6.6669</v>
      </c>
      <c r="S3092">
        <v>6.6669</v>
      </c>
      <c r="T3092">
        <v>98.342687999999995</v>
      </c>
      <c r="W3092" t="s">
        <v>497</v>
      </c>
    </row>
    <row r="3093" spans="1:23" x14ac:dyDescent="0.25">
      <c r="A3093" t="s">
        <v>3529</v>
      </c>
      <c r="B3093" t="str">
        <f t="shared" si="48"/>
        <v>CG1200001614</v>
      </c>
      <c r="C3093" t="s">
        <v>229</v>
      </c>
      <c r="D3093" t="s">
        <v>77</v>
      </c>
      <c r="E3093" t="s">
        <v>82</v>
      </c>
      <c r="F3093">
        <v>15000</v>
      </c>
      <c r="G3093" s="13">
        <v>45860</v>
      </c>
      <c r="H3093" s="13">
        <v>46044</v>
      </c>
      <c r="I3093">
        <v>0</v>
      </c>
      <c r="J3093">
        <v>7912</v>
      </c>
      <c r="K3093">
        <v>7912</v>
      </c>
      <c r="N3093">
        <v>20.833333333333336</v>
      </c>
      <c r="O3093">
        <v>7.0388000000000002</v>
      </c>
      <c r="P3093">
        <v>52.813299999999998</v>
      </c>
      <c r="Q3093">
        <v>6.8</v>
      </c>
      <c r="R3093">
        <v>6.2</v>
      </c>
      <c r="S3093">
        <v>7.5</v>
      </c>
      <c r="T3093">
        <v>96.563784999999996</v>
      </c>
      <c r="W3093" t="s">
        <v>497</v>
      </c>
    </row>
    <row r="3094" spans="1:23" x14ac:dyDescent="0.25">
      <c r="A3094" t="s">
        <v>3530</v>
      </c>
      <c r="B3094" t="str">
        <f t="shared" si="48"/>
        <v>CG1300000946</v>
      </c>
      <c r="C3094" t="s">
        <v>229</v>
      </c>
      <c r="D3094" t="s">
        <v>77</v>
      </c>
      <c r="E3094" t="s">
        <v>287</v>
      </c>
      <c r="F3094">
        <v>5000</v>
      </c>
      <c r="G3094" s="13">
        <v>45860</v>
      </c>
      <c r="H3094" s="13">
        <v>46226</v>
      </c>
      <c r="I3094">
        <v>0</v>
      </c>
      <c r="J3094">
        <v>501</v>
      </c>
      <c r="K3094">
        <v>501</v>
      </c>
      <c r="N3094">
        <v>12.5</v>
      </c>
      <c r="O3094">
        <v>7.1875999999999998</v>
      </c>
      <c r="P3094">
        <v>10.220000000000001</v>
      </c>
      <c r="Q3094">
        <v>7</v>
      </c>
      <c r="R3094">
        <v>6.7</v>
      </c>
      <c r="S3094">
        <v>7.5</v>
      </c>
      <c r="T3094">
        <v>93.224950000000007</v>
      </c>
      <c r="W3094" t="s">
        <v>497</v>
      </c>
    </row>
    <row r="3095" spans="1:23" x14ac:dyDescent="0.25">
      <c r="A3095" t="s">
        <v>3531</v>
      </c>
      <c r="B3095" t="str">
        <f t="shared" si="48"/>
        <v>GA1100002003</v>
      </c>
      <c r="C3095" t="s">
        <v>227</v>
      </c>
      <c r="D3095" t="s">
        <v>77</v>
      </c>
      <c r="E3095" t="s">
        <v>78</v>
      </c>
      <c r="F3095">
        <v>7500</v>
      </c>
      <c r="G3095" s="13">
        <v>45861</v>
      </c>
      <c r="H3095" s="13">
        <v>45954</v>
      </c>
      <c r="I3095">
        <v>5599</v>
      </c>
      <c r="J3095">
        <v>410</v>
      </c>
      <c r="K3095">
        <v>6009</v>
      </c>
      <c r="N3095">
        <v>28.571428571428569</v>
      </c>
      <c r="O3095">
        <v>6.5861999999999998</v>
      </c>
      <c r="P3095">
        <v>80.253299999999996</v>
      </c>
      <c r="Q3095">
        <v>6.5</v>
      </c>
      <c r="R3095">
        <v>6</v>
      </c>
      <c r="S3095">
        <v>7</v>
      </c>
      <c r="T3095">
        <v>98.362413000000004</v>
      </c>
      <c r="W3095" t="s">
        <v>497</v>
      </c>
    </row>
    <row r="3096" spans="1:23" x14ac:dyDescent="0.25">
      <c r="A3096" t="s">
        <v>3532</v>
      </c>
      <c r="B3096" t="str">
        <f t="shared" si="48"/>
        <v>CM1200002044</v>
      </c>
      <c r="C3096" t="s">
        <v>225</v>
      </c>
      <c r="D3096" t="s">
        <v>77</v>
      </c>
      <c r="E3096" t="s">
        <v>82</v>
      </c>
      <c r="F3096">
        <v>25000</v>
      </c>
      <c r="G3096" s="13">
        <v>45866</v>
      </c>
      <c r="H3096" s="13">
        <v>46050</v>
      </c>
      <c r="I3096">
        <v>1000</v>
      </c>
      <c r="J3096">
        <v>16075</v>
      </c>
      <c r="K3096">
        <v>17075</v>
      </c>
      <c r="N3096">
        <v>18.181818181818183</v>
      </c>
      <c r="O3096">
        <v>6.7929000000000004</v>
      </c>
      <c r="P3096">
        <v>68.3</v>
      </c>
      <c r="Q3096">
        <v>6.6</v>
      </c>
      <c r="R3096">
        <v>6.45</v>
      </c>
      <c r="S3096">
        <v>6.6</v>
      </c>
      <c r="T3096">
        <v>96.679839999999999</v>
      </c>
      <c r="W3096" t="s">
        <v>497</v>
      </c>
    </row>
    <row r="3097" spans="1:23" x14ac:dyDescent="0.25">
      <c r="A3097" t="s">
        <v>3533</v>
      </c>
      <c r="B3097" t="str">
        <f t="shared" si="48"/>
        <v>CM1300000955</v>
      </c>
      <c r="C3097" t="s">
        <v>225</v>
      </c>
      <c r="D3097" t="s">
        <v>77</v>
      </c>
      <c r="E3097" t="s">
        <v>287</v>
      </c>
      <c r="F3097">
        <v>25000</v>
      </c>
      <c r="G3097" s="13">
        <v>45859</v>
      </c>
      <c r="H3097" s="13">
        <v>46232</v>
      </c>
      <c r="I3097">
        <v>14070</v>
      </c>
      <c r="J3097">
        <v>4000</v>
      </c>
      <c r="K3097">
        <v>18070</v>
      </c>
      <c r="N3097">
        <v>27.27272727272727</v>
      </c>
      <c r="O3097">
        <v>7.2178000000000004</v>
      </c>
      <c r="P3097">
        <v>78.335999999999999</v>
      </c>
      <c r="Q3097">
        <v>6.8</v>
      </c>
      <c r="R3097">
        <v>6.5</v>
      </c>
      <c r="S3097">
        <v>7</v>
      </c>
      <c r="T3097">
        <v>93.198361000000006</v>
      </c>
      <c r="W3097" t="s">
        <v>497</v>
      </c>
    </row>
    <row r="3098" spans="1:23" x14ac:dyDescent="0.25">
      <c r="A3098" t="s">
        <v>3534</v>
      </c>
      <c r="B3098" t="str">
        <f t="shared" si="48"/>
        <v>GQ1300001526</v>
      </c>
      <c r="C3098" t="s">
        <v>528</v>
      </c>
      <c r="D3098" t="s">
        <v>77</v>
      </c>
      <c r="E3098" t="s">
        <v>287</v>
      </c>
      <c r="F3098">
        <v>20000</v>
      </c>
      <c r="G3098" s="13">
        <v>45867</v>
      </c>
      <c r="H3098" s="13">
        <v>46233</v>
      </c>
      <c r="I3098">
        <v>15800</v>
      </c>
      <c r="J3098">
        <v>30</v>
      </c>
      <c r="K3098">
        <v>15830</v>
      </c>
      <c r="N3098">
        <v>38.461538461538467</v>
      </c>
      <c r="O3098">
        <v>7.4123000000000001</v>
      </c>
      <c r="P3098">
        <v>79.150000000000006</v>
      </c>
      <c r="Q3098">
        <v>7</v>
      </c>
      <c r="R3098">
        <v>6.6</v>
      </c>
      <c r="S3098">
        <v>7</v>
      </c>
      <c r="T3098">
        <v>93.027906999999999</v>
      </c>
      <c r="W3098" t="s">
        <v>497</v>
      </c>
    </row>
    <row r="3099" spans="1:23" x14ac:dyDescent="0.25">
      <c r="A3099" t="s">
        <v>3535</v>
      </c>
      <c r="B3099" t="str">
        <f t="shared" ref="B3099:B3162" si="49">MID(A3099,1,12)</f>
        <v>CG1200001622</v>
      </c>
      <c r="C3099" t="s">
        <v>229</v>
      </c>
      <c r="D3099" t="s">
        <v>77</v>
      </c>
      <c r="E3099" t="s">
        <v>82</v>
      </c>
      <c r="F3099">
        <v>20000</v>
      </c>
      <c r="G3099" s="13">
        <v>45867</v>
      </c>
      <c r="H3099" s="13">
        <v>46051</v>
      </c>
      <c r="I3099">
        <v>0</v>
      </c>
      <c r="J3099">
        <v>760</v>
      </c>
      <c r="K3099">
        <v>760</v>
      </c>
      <c r="N3099">
        <v>8.3333333333333321</v>
      </c>
      <c r="O3099">
        <v>6.7332000000000001</v>
      </c>
      <c r="P3099">
        <v>3.8</v>
      </c>
      <c r="Q3099">
        <v>6.88</v>
      </c>
      <c r="R3099">
        <v>6.5</v>
      </c>
      <c r="S3099">
        <v>6.88</v>
      </c>
      <c r="T3099">
        <v>96.708034999999995</v>
      </c>
      <c r="W3099" t="s">
        <v>497</v>
      </c>
    </row>
    <row r="3100" spans="1:23" x14ac:dyDescent="0.25">
      <c r="A3100" t="s">
        <v>3536</v>
      </c>
      <c r="B3100" t="str">
        <f t="shared" si="49"/>
        <v>CG1300000953</v>
      </c>
      <c r="C3100" t="s">
        <v>229</v>
      </c>
      <c r="D3100" t="s">
        <v>77</v>
      </c>
      <c r="E3100" t="s">
        <v>287</v>
      </c>
      <c r="F3100">
        <v>20000</v>
      </c>
      <c r="G3100" s="13">
        <v>45867</v>
      </c>
      <c r="H3100" s="13">
        <v>46233</v>
      </c>
      <c r="I3100">
        <v>0</v>
      </c>
      <c r="J3100">
        <v>1236</v>
      </c>
      <c r="K3100">
        <v>1236</v>
      </c>
      <c r="N3100">
        <v>12.5</v>
      </c>
      <c r="O3100">
        <v>7</v>
      </c>
      <c r="P3100">
        <v>6.18</v>
      </c>
      <c r="Q3100">
        <v>7</v>
      </c>
      <c r="R3100">
        <v>6.5</v>
      </c>
      <c r="S3100">
        <v>7</v>
      </c>
      <c r="T3100">
        <v>93.234104000000002</v>
      </c>
      <c r="W3100" t="s">
        <v>497</v>
      </c>
    </row>
    <row r="3101" spans="1:23" x14ac:dyDescent="0.25">
      <c r="A3101" t="s">
        <v>3537</v>
      </c>
      <c r="B3101" t="str">
        <f t="shared" si="49"/>
        <v>GA1200002515</v>
      </c>
      <c r="C3101" t="s">
        <v>227</v>
      </c>
      <c r="D3101" t="s">
        <v>77</v>
      </c>
      <c r="E3101" t="s">
        <v>82</v>
      </c>
      <c r="G3101" s="13">
        <v>45868</v>
      </c>
      <c r="H3101" s="13"/>
      <c r="T3101" t="s">
        <v>1418</v>
      </c>
      <c r="W3101" t="s">
        <v>497</v>
      </c>
    </row>
    <row r="3102" spans="1:23" x14ac:dyDescent="0.25">
      <c r="A3102" t="s">
        <v>3538</v>
      </c>
      <c r="B3102" t="str">
        <f t="shared" si="49"/>
        <v>CM1300000963</v>
      </c>
      <c r="C3102" t="s">
        <v>225</v>
      </c>
      <c r="D3102" t="s">
        <v>77</v>
      </c>
      <c r="E3102" t="s">
        <v>287</v>
      </c>
      <c r="F3102">
        <v>20000</v>
      </c>
      <c r="G3102" s="13">
        <v>45873</v>
      </c>
      <c r="H3102" s="13">
        <v>46239</v>
      </c>
      <c r="I3102">
        <v>11153</v>
      </c>
      <c r="J3102">
        <v>0</v>
      </c>
      <c r="K3102">
        <v>11153</v>
      </c>
      <c r="N3102">
        <v>18.181818181818183</v>
      </c>
      <c r="O3102">
        <v>7.242</v>
      </c>
      <c r="P3102">
        <v>6.75</v>
      </c>
      <c r="Q3102">
        <v>6.75</v>
      </c>
      <c r="R3102">
        <v>6.5</v>
      </c>
      <c r="S3102">
        <v>6.85</v>
      </c>
      <c r="T3102">
        <v>93.177130000000005</v>
      </c>
      <c r="W3102" t="s">
        <v>497</v>
      </c>
    </row>
    <row r="3103" spans="1:23" x14ac:dyDescent="0.25">
      <c r="A3103" t="s">
        <v>3539</v>
      </c>
      <c r="B3103" t="str">
        <f t="shared" si="49"/>
        <v>CG1100001201</v>
      </c>
      <c r="C3103" t="s">
        <v>229</v>
      </c>
      <c r="D3103" t="s">
        <v>77</v>
      </c>
      <c r="E3103" t="s">
        <v>78</v>
      </c>
      <c r="F3103">
        <v>20000</v>
      </c>
      <c r="G3103" s="13">
        <v>45874</v>
      </c>
      <c r="H3103" s="13">
        <v>45967</v>
      </c>
      <c r="I3103">
        <v>2235</v>
      </c>
      <c r="J3103">
        <v>5355</v>
      </c>
      <c r="K3103">
        <v>7590</v>
      </c>
      <c r="N3103">
        <v>16.666666666666664</v>
      </c>
      <c r="O3103">
        <v>7.0225999999999997</v>
      </c>
      <c r="P3103">
        <v>37.950000000000003</v>
      </c>
      <c r="Q3103">
        <v>7</v>
      </c>
      <c r="R3103">
        <v>6.2</v>
      </c>
      <c r="S3103">
        <v>7</v>
      </c>
      <c r="T3103">
        <v>98.255799999999994</v>
      </c>
      <c r="W3103" t="s">
        <v>497</v>
      </c>
    </row>
    <row r="3104" spans="1:23" x14ac:dyDescent="0.25">
      <c r="A3104" t="s">
        <v>3540</v>
      </c>
      <c r="B3104" t="str">
        <f t="shared" si="49"/>
        <v>CG1200001630</v>
      </c>
      <c r="C3104" t="s">
        <v>229</v>
      </c>
      <c r="D3104" t="s">
        <v>77</v>
      </c>
      <c r="E3104" t="s">
        <v>82</v>
      </c>
      <c r="F3104">
        <v>10000</v>
      </c>
      <c r="G3104" s="13">
        <v>45874</v>
      </c>
      <c r="H3104" s="13">
        <v>46058</v>
      </c>
      <c r="I3104">
        <v>3310</v>
      </c>
      <c r="J3104">
        <v>0</v>
      </c>
      <c r="K3104">
        <v>3310</v>
      </c>
      <c r="N3104">
        <v>12.5</v>
      </c>
      <c r="O3104">
        <v>7.1722999999999999</v>
      </c>
      <c r="P3104">
        <v>33.1</v>
      </c>
      <c r="Q3104">
        <v>6.95</v>
      </c>
      <c r="R3104">
        <v>6.74</v>
      </c>
      <c r="S3104">
        <v>6.95</v>
      </c>
      <c r="T3104">
        <v>96.500883999999999</v>
      </c>
      <c r="W3104" t="s">
        <v>497</v>
      </c>
    </row>
    <row r="3105" spans="1:23" x14ac:dyDescent="0.25">
      <c r="A3105" t="s">
        <v>3541</v>
      </c>
      <c r="B3105" t="str">
        <f t="shared" si="49"/>
        <v>CG1300000961</v>
      </c>
      <c r="C3105" t="s">
        <v>229</v>
      </c>
      <c r="D3105" t="s">
        <v>77</v>
      </c>
      <c r="E3105" t="s">
        <v>287</v>
      </c>
      <c r="F3105">
        <v>10000</v>
      </c>
      <c r="G3105" s="13">
        <v>45874</v>
      </c>
      <c r="H3105" s="13">
        <v>46240</v>
      </c>
      <c r="I3105">
        <v>0</v>
      </c>
      <c r="J3105">
        <v>2107</v>
      </c>
      <c r="K3105">
        <v>2107</v>
      </c>
      <c r="N3105">
        <v>16.666666666666664</v>
      </c>
      <c r="O3105">
        <v>7.1849999999999996</v>
      </c>
      <c r="P3105">
        <v>21.07</v>
      </c>
      <c r="Q3105">
        <v>7</v>
      </c>
      <c r="R3105">
        <v>6.5</v>
      </c>
      <c r="S3105">
        <v>7</v>
      </c>
      <c r="T3105">
        <v>93.227187000000001</v>
      </c>
      <c r="W3105" t="s">
        <v>497</v>
      </c>
    </row>
    <row r="3106" spans="1:23" x14ac:dyDescent="0.25">
      <c r="A3106" t="s">
        <v>3542</v>
      </c>
      <c r="B3106" t="str">
        <f t="shared" si="49"/>
        <v>GA1200002523</v>
      </c>
      <c r="C3106" t="s">
        <v>227</v>
      </c>
      <c r="D3106" t="s">
        <v>77</v>
      </c>
      <c r="E3106" t="s">
        <v>82</v>
      </c>
      <c r="F3106">
        <v>8500</v>
      </c>
      <c r="G3106" s="13">
        <v>45875</v>
      </c>
      <c r="H3106" s="13">
        <v>46059</v>
      </c>
      <c r="I3106">
        <v>50</v>
      </c>
      <c r="J3106">
        <v>8450</v>
      </c>
      <c r="K3106">
        <v>8500</v>
      </c>
      <c r="N3106">
        <v>42.857142857142854</v>
      </c>
      <c r="O3106">
        <v>6.6566999999999998</v>
      </c>
      <c r="P3106">
        <v>139.29409999999999</v>
      </c>
      <c r="Q3106">
        <v>6.6</v>
      </c>
      <c r="R3106">
        <v>6</v>
      </c>
      <c r="S3106">
        <v>7</v>
      </c>
      <c r="T3106">
        <v>96.744258000000002</v>
      </c>
      <c r="W3106" t="s">
        <v>497</v>
      </c>
    </row>
    <row r="3107" spans="1:23" x14ac:dyDescent="0.25">
      <c r="A3107" t="s">
        <v>3543</v>
      </c>
      <c r="B3107" t="str">
        <f t="shared" si="49"/>
        <v>GA1300000856</v>
      </c>
      <c r="C3107" t="s">
        <v>227</v>
      </c>
      <c r="D3107" t="s">
        <v>77</v>
      </c>
      <c r="E3107" t="s">
        <v>287</v>
      </c>
      <c r="F3107">
        <v>15000</v>
      </c>
      <c r="G3107" s="13">
        <v>45875</v>
      </c>
      <c r="H3107" s="13">
        <v>46234</v>
      </c>
      <c r="I3107">
        <v>0</v>
      </c>
      <c r="J3107">
        <v>15000</v>
      </c>
      <c r="K3107">
        <v>15000</v>
      </c>
      <c r="N3107">
        <v>9.5238095238095237</v>
      </c>
      <c r="O3107">
        <v>6.9478</v>
      </c>
      <c r="P3107">
        <v>100.0667</v>
      </c>
      <c r="Q3107">
        <v>6.5</v>
      </c>
      <c r="R3107">
        <v>6.5</v>
      </c>
      <c r="S3107">
        <v>8</v>
      </c>
      <c r="T3107">
        <v>93.554167000000007</v>
      </c>
      <c r="W3107" t="s">
        <v>497</v>
      </c>
    </row>
    <row r="3108" spans="1:23" x14ac:dyDescent="0.25">
      <c r="A3108" t="s">
        <v>3544</v>
      </c>
      <c r="B3108" t="str">
        <f t="shared" si="49"/>
        <v>CM1300000971</v>
      </c>
      <c r="C3108" t="s">
        <v>225</v>
      </c>
      <c r="D3108" t="s">
        <v>77</v>
      </c>
      <c r="E3108" t="s">
        <v>287</v>
      </c>
      <c r="F3108">
        <v>25000</v>
      </c>
      <c r="G3108" s="13">
        <v>45880</v>
      </c>
      <c r="H3108" s="13">
        <v>46246</v>
      </c>
      <c r="I3108">
        <v>11125</v>
      </c>
      <c r="J3108">
        <v>10000</v>
      </c>
      <c r="K3108">
        <v>21125</v>
      </c>
      <c r="N3108">
        <v>31.818181818181817</v>
      </c>
      <c r="O3108">
        <v>7.1070000000000002</v>
      </c>
      <c r="P3108">
        <v>84.5</v>
      </c>
      <c r="Q3108">
        <v>6.75</v>
      </c>
      <c r="R3108">
        <v>6.5</v>
      </c>
      <c r="S3108">
        <v>6.75</v>
      </c>
      <c r="T3108">
        <v>93.295771000000002</v>
      </c>
      <c r="W3108" t="s">
        <v>497</v>
      </c>
    </row>
    <row r="3109" spans="1:23" x14ac:dyDescent="0.25">
      <c r="A3109" t="s">
        <v>3545</v>
      </c>
      <c r="B3109" t="str">
        <f t="shared" si="49"/>
        <v>CG1100001219</v>
      </c>
      <c r="C3109" t="s">
        <v>229</v>
      </c>
      <c r="D3109" t="s">
        <v>77</v>
      </c>
      <c r="E3109" t="s">
        <v>78</v>
      </c>
      <c r="F3109">
        <v>25000</v>
      </c>
      <c r="G3109" s="13">
        <v>45881</v>
      </c>
      <c r="H3109" s="13">
        <v>45974</v>
      </c>
      <c r="I3109">
        <v>13000</v>
      </c>
      <c r="J3109">
        <v>12000</v>
      </c>
      <c r="K3109">
        <v>25000</v>
      </c>
      <c r="N3109">
        <v>25</v>
      </c>
      <c r="O3109">
        <v>6.9848999999999997</v>
      </c>
      <c r="P3109">
        <v>144.06</v>
      </c>
      <c r="Q3109">
        <v>7</v>
      </c>
      <c r="R3109">
        <v>5.8</v>
      </c>
      <c r="S3109">
        <v>7.5</v>
      </c>
      <c r="T3109">
        <v>98.264994000000002</v>
      </c>
      <c r="W3109" t="s">
        <v>497</v>
      </c>
    </row>
    <row r="3110" spans="1:23" x14ac:dyDescent="0.25">
      <c r="A3110" t="s">
        <v>3546</v>
      </c>
      <c r="B3110" t="str">
        <f t="shared" si="49"/>
        <v>CG1100001219</v>
      </c>
      <c r="C3110" t="s">
        <v>229</v>
      </c>
      <c r="D3110" t="s">
        <v>77</v>
      </c>
      <c r="E3110" t="s">
        <v>78</v>
      </c>
      <c r="F3110">
        <v>11015</v>
      </c>
      <c r="G3110" s="13">
        <v>45881</v>
      </c>
      <c r="H3110" s="13">
        <v>45974</v>
      </c>
      <c r="I3110">
        <v>0</v>
      </c>
      <c r="J3110">
        <v>2002</v>
      </c>
      <c r="K3110">
        <v>2002</v>
      </c>
      <c r="N3110">
        <v>4.1666666666666661</v>
      </c>
      <c r="O3110">
        <v>6.9848999999999997</v>
      </c>
      <c r="P3110">
        <v>18.1752</v>
      </c>
      <c r="Q3110">
        <v>6.8638000000000003</v>
      </c>
      <c r="R3110">
        <v>6.8638000000000003</v>
      </c>
      <c r="S3110">
        <v>6.8638000000000003</v>
      </c>
      <c r="T3110">
        <v>98.264994000000002</v>
      </c>
      <c r="W3110" t="s">
        <v>497</v>
      </c>
    </row>
    <row r="3111" spans="1:23" x14ac:dyDescent="0.25">
      <c r="A3111" t="s">
        <v>3547</v>
      </c>
      <c r="B3111" t="str">
        <f t="shared" si="49"/>
        <v>CG1200001648</v>
      </c>
      <c r="C3111" t="s">
        <v>229</v>
      </c>
      <c r="D3111" t="s">
        <v>77</v>
      </c>
      <c r="E3111" t="s">
        <v>82</v>
      </c>
      <c r="F3111">
        <v>10000</v>
      </c>
      <c r="G3111" s="13">
        <v>45881</v>
      </c>
      <c r="H3111" s="13">
        <v>46065</v>
      </c>
      <c r="I3111">
        <v>2100</v>
      </c>
      <c r="J3111">
        <v>2139</v>
      </c>
      <c r="K3111">
        <v>4239</v>
      </c>
      <c r="N3111">
        <v>33.333333333333329</v>
      </c>
      <c r="O3111">
        <v>7.2007000000000003</v>
      </c>
      <c r="P3111">
        <v>42.39</v>
      </c>
      <c r="Q3111">
        <v>7</v>
      </c>
      <c r="R3111">
        <v>6</v>
      </c>
      <c r="S3111">
        <v>7</v>
      </c>
      <c r="T3111">
        <v>96.487527999999998</v>
      </c>
      <c r="W3111" t="s">
        <v>497</v>
      </c>
    </row>
    <row r="3112" spans="1:23" x14ac:dyDescent="0.25">
      <c r="A3112" t="s">
        <v>3548</v>
      </c>
      <c r="B3112" t="str">
        <f t="shared" si="49"/>
        <v>GQ1300001534</v>
      </c>
      <c r="C3112" t="s">
        <v>528</v>
      </c>
      <c r="D3112" t="s">
        <v>77</v>
      </c>
      <c r="E3112" t="s">
        <v>287</v>
      </c>
      <c r="G3112" s="13">
        <v>45881</v>
      </c>
      <c r="H3112" s="13"/>
      <c r="J3112">
        <v>0</v>
      </c>
      <c r="N3112">
        <v>0</v>
      </c>
      <c r="T3112" t="s">
        <v>1418</v>
      </c>
      <c r="W3112" t="s">
        <v>497</v>
      </c>
    </row>
    <row r="3113" spans="1:23" x14ac:dyDescent="0.25">
      <c r="A3113" t="s">
        <v>3549</v>
      </c>
      <c r="B3113" t="str">
        <f t="shared" si="49"/>
        <v>GA1100002011</v>
      </c>
      <c r="C3113" t="s">
        <v>227</v>
      </c>
      <c r="D3113" t="s">
        <v>77</v>
      </c>
      <c r="E3113" t="s">
        <v>78</v>
      </c>
      <c r="F3113">
        <v>10000</v>
      </c>
      <c r="G3113" s="13">
        <v>45881</v>
      </c>
      <c r="H3113" s="13">
        <v>45975</v>
      </c>
      <c r="I3113">
        <v>2050</v>
      </c>
      <c r="J3113">
        <v>3360</v>
      </c>
      <c r="K3113">
        <v>5410</v>
      </c>
      <c r="N3113">
        <v>28.571428571428569</v>
      </c>
      <c r="O3113">
        <v>6.5195999999999996</v>
      </c>
      <c r="P3113">
        <v>54.1</v>
      </c>
      <c r="Q3113">
        <v>6.5</v>
      </c>
      <c r="R3113">
        <v>5.8</v>
      </c>
      <c r="S3113">
        <v>6.5</v>
      </c>
      <c r="T3113">
        <v>98.378718000000006</v>
      </c>
      <c r="W3113" t="s">
        <v>497</v>
      </c>
    </row>
    <row r="3114" spans="1:23" x14ac:dyDescent="0.25">
      <c r="A3114" t="s">
        <v>3550</v>
      </c>
      <c r="B3114" t="str">
        <f t="shared" si="49"/>
        <v>GA1300000864</v>
      </c>
      <c r="C3114" t="s">
        <v>227</v>
      </c>
      <c r="D3114" t="s">
        <v>77</v>
      </c>
      <c r="E3114" t="s">
        <v>287</v>
      </c>
      <c r="F3114">
        <v>16000</v>
      </c>
      <c r="G3114" s="13">
        <v>45882</v>
      </c>
      <c r="H3114" s="13">
        <v>46248</v>
      </c>
      <c r="I3114">
        <v>2500</v>
      </c>
      <c r="J3114">
        <v>13500</v>
      </c>
      <c r="K3114">
        <v>16000</v>
      </c>
      <c r="N3114">
        <v>14.285714285714285</v>
      </c>
      <c r="O3114">
        <v>6.6003999999999996</v>
      </c>
      <c r="P3114">
        <v>100</v>
      </c>
      <c r="Q3114">
        <v>6.5</v>
      </c>
      <c r="R3114">
        <v>6</v>
      </c>
      <c r="S3114">
        <v>6.5</v>
      </c>
      <c r="T3114">
        <v>93.743750000000006</v>
      </c>
      <c r="W3114" t="s">
        <v>497</v>
      </c>
    </row>
    <row r="3115" spans="1:23" x14ac:dyDescent="0.25">
      <c r="A3115" t="s">
        <v>3551</v>
      </c>
      <c r="B3115" t="str">
        <f t="shared" si="49"/>
        <v>CM1200002051</v>
      </c>
      <c r="C3115" t="s">
        <v>225</v>
      </c>
      <c r="D3115" t="s">
        <v>77</v>
      </c>
      <c r="E3115" t="s">
        <v>82</v>
      </c>
      <c r="F3115">
        <v>25000</v>
      </c>
      <c r="G3115" s="13">
        <v>45887</v>
      </c>
      <c r="H3115" s="13">
        <v>46071</v>
      </c>
      <c r="I3115">
        <v>10000</v>
      </c>
      <c r="J3115">
        <v>100</v>
      </c>
      <c r="K3115">
        <v>10100</v>
      </c>
      <c r="N3115">
        <v>13.636363636363635</v>
      </c>
      <c r="O3115">
        <v>6.8807999999999998</v>
      </c>
      <c r="P3115">
        <v>40.44</v>
      </c>
      <c r="Q3115">
        <v>6.7</v>
      </c>
      <c r="R3115">
        <v>6.6</v>
      </c>
      <c r="S3115">
        <v>7.5</v>
      </c>
      <c r="T3115">
        <v>96.638306</v>
      </c>
      <c r="W3115" t="s">
        <v>497</v>
      </c>
    </row>
    <row r="3116" spans="1:23" x14ac:dyDescent="0.25">
      <c r="A3116" t="s">
        <v>3552</v>
      </c>
      <c r="B3116" t="str">
        <f t="shared" si="49"/>
        <v>CG1100001227</v>
      </c>
      <c r="C3116" t="s">
        <v>229</v>
      </c>
      <c r="D3116" t="s">
        <v>77</v>
      </c>
      <c r="E3116" t="s">
        <v>78</v>
      </c>
      <c r="F3116">
        <v>30000</v>
      </c>
      <c r="G3116" s="13">
        <v>45888</v>
      </c>
      <c r="H3116" s="13">
        <v>45981</v>
      </c>
      <c r="I3116">
        <v>3020</v>
      </c>
      <c r="J3116">
        <v>11157</v>
      </c>
      <c r="K3116">
        <v>14177</v>
      </c>
      <c r="N3116">
        <v>20.833333333333336</v>
      </c>
      <c r="O3116">
        <v>7.0627000000000004</v>
      </c>
      <c r="P3116">
        <v>47.256700000000002</v>
      </c>
      <c r="Q3116">
        <v>7</v>
      </c>
      <c r="R3116">
        <v>5.8</v>
      </c>
      <c r="S3116">
        <v>7</v>
      </c>
      <c r="T3116">
        <v>98.246025000000003</v>
      </c>
      <c r="W3116" t="s">
        <v>497</v>
      </c>
    </row>
    <row r="3117" spans="1:23" x14ac:dyDescent="0.25">
      <c r="A3117" t="s">
        <v>3553</v>
      </c>
      <c r="B3117" t="str">
        <f t="shared" si="49"/>
        <v>CG1200001655</v>
      </c>
      <c r="C3117" t="s">
        <v>229</v>
      </c>
      <c r="D3117" t="s">
        <v>77</v>
      </c>
      <c r="E3117" t="s">
        <v>82</v>
      </c>
      <c r="F3117">
        <v>5000</v>
      </c>
      <c r="G3117" s="13">
        <v>45888</v>
      </c>
      <c r="H3117" s="13">
        <v>46072</v>
      </c>
      <c r="I3117">
        <v>3200</v>
      </c>
      <c r="J3117">
        <v>1043</v>
      </c>
      <c r="K3117">
        <v>4243</v>
      </c>
      <c r="N3117">
        <v>16.666666666666664</v>
      </c>
      <c r="O3117">
        <v>7.0990000000000002</v>
      </c>
      <c r="P3117">
        <v>85.06</v>
      </c>
      <c r="Q3117">
        <v>6.99</v>
      </c>
      <c r="R3117">
        <v>6.5</v>
      </c>
      <c r="S3117">
        <v>8</v>
      </c>
      <c r="T3117">
        <v>96.535400999999993</v>
      </c>
      <c r="W3117" t="s">
        <v>497</v>
      </c>
    </row>
    <row r="3118" spans="1:23" x14ac:dyDescent="0.25">
      <c r="A3118" t="s">
        <v>3554</v>
      </c>
      <c r="B3118" t="str">
        <f t="shared" si="49"/>
        <v>CG1300000979</v>
      </c>
      <c r="C3118" t="s">
        <v>229</v>
      </c>
      <c r="D3118" t="s">
        <v>77</v>
      </c>
      <c r="E3118" t="s">
        <v>287</v>
      </c>
      <c r="G3118" s="13">
        <v>45888</v>
      </c>
      <c r="H3118" s="13"/>
      <c r="J3118">
        <v>0</v>
      </c>
      <c r="N3118">
        <v>0</v>
      </c>
      <c r="T3118" t="s">
        <v>1418</v>
      </c>
      <c r="W3118" t="s">
        <v>497</v>
      </c>
    </row>
    <row r="3119" spans="1:23" x14ac:dyDescent="0.25">
      <c r="A3119" t="s">
        <v>3555</v>
      </c>
      <c r="B3119" t="str">
        <f t="shared" si="49"/>
        <v>GQ1300001542</v>
      </c>
      <c r="C3119" t="s">
        <v>528</v>
      </c>
      <c r="D3119" t="s">
        <v>77</v>
      </c>
      <c r="E3119" t="s">
        <v>287</v>
      </c>
      <c r="G3119" s="13">
        <v>45888</v>
      </c>
      <c r="H3119" s="13"/>
      <c r="J3119">
        <v>0</v>
      </c>
      <c r="N3119">
        <v>0</v>
      </c>
      <c r="T3119" t="s">
        <v>1418</v>
      </c>
      <c r="W3119" t="s">
        <v>497</v>
      </c>
    </row>
    <row r="3120" spans="1:23" x14ac:dyDescent="0.25">
      <c r="A3120" t="s">
        <v>3556</v>
      </c>
      <c r="B3120" t="str">
        <f t="shared" si="49"/>
        <v>GA1200002531</v>
      </c>
      <c r="C3120" t="s">
        <v>227</v>
      </c>
      <c r="D3120" t="s">
        <v>77</v>
      </c>
      <c r="E3120" t="s">
        <v>82</v>
      </c>
      <c r="F3120">
        <v>7000</v>
      </c>
      <c r="G3120" s="13">
        <v>45889</v>
      </c>
      <c r="H3120" s="13">
        <v>46073</v>
      </c>
      <c r="I3120">
        <v>0</v>
      </c>
      <c r="J3120">
        <v>7000</v>
      </c>
      <c r="K3120">
        <v>7000</v>
      </c>
      <c r="N3120">
        <v>4.7619047619047619</v>
      </c>
      <c r="O3120">
        <v>6.4539</v>
      </c>
      <c r="P3120">
        <v>100</v>
      </c>
      <c r="Q3120">
        <v>6.25</v>
      </c>
      <c r="R3120">
        <v>6.25</v>
      </c>
      <c r="S3120">
        <v>6.25</v>
      </c>
      <c r="T3120">
        <v>96.840277999999998</v>
      </c>
      <c r="W3120" t="s">
        <v>497</v>
      </c>
    </row>
    <row r="3121" spans="1:23" x14ac:dyDescent="0.25">
      <c r="A3121" t="s">
        <v>3557</v>
      </c>
      <c r="B3121" t="str">
        <f t="shared" si="49"/>
        <v>GA1300000872</v>
      </c>
      <c r="C3121" t="s">
        <v>227</v>
      </c>
      <c r="D3121" t="s">
        <v>77</v>
      </c>
      <c r="E3121" t="s">
        <v>287</v>
      </c>
      <c r="F3121">
        <v>10000</v>
      </c>
      <c r="G3121" s="13">
        <v>45889</v>
      </c>
      <c r="H3121" s="13">
        <v>46255</v>
      </c>
      <c r="I3121">
        <v>4450</v>
      </c>
      <c r="J3121">
        <v>5336</v>
      </c>
      <c r="K3121">
        <v>9786</v>
      </c>
      <c r="N3121">
        <v>33.333333333333329</v>
      </c>
      <c r="O3121">
        <v>7.0883000000000003</v>
      </c>
      <c r="P3121">
        <v>97.93</v>
      </c>
      <c r="Q3121">
        <v>6.65</v>
      </c>
      <c r="R3121">
        <v>6.5</v>
      </c>
      <c r="S3121">
        <v>6.75</v>
      </c>
      <c r="T3121">
        <v>93.312263999999999</v>
      </c>
      <c r="W3121" t="s">
        <v>497</v>
      </c>
    </row>
    <row r="3122" spans="1:23" x14ac:dyDescent="0.25">
      <c r="A3122" t="s">
        <v>3558</v>
      </c>
      <c r="B3122" t="str">
        <f t="shared" si="49"/>
        <v>CM1100001161</v>
      </c>
      <c r="C3122" t="s">
        <v>225</v>
      </c>
      <c r="D3122" t="s">
        <v>77</v>
      </c>
      <c r="E3122" t="s">
        <v>78</v>
      </c>
      <c r="F3122">
        <v>15000</v>
      </c>
      <c r="G3122" s="13">
        <v>45894</v>
      </c>
      <c r="H3122" s="13">
        <v>45987</v>
      </c>
      <c r="I3122">
        <v>2250</v>
      </c>
      <c r="J3122">
        <v>0</v>
      </c>
      <c r="K3122">
        <v>2250</v>
      </c>
      <c r="N3122">
        <v>13.636363636363635</v>
      </c>
      <c r="O3122">
        <v>6.4764999999999997</v>
      </c>
      <c r="P3122">
        <v>15.066700000000001</v>
      </c>
      <c r="Q3122">
        <v>6.45</v>
      </c>
      <c r="R3122">
        <v>6.35</v>
      </c>
      <c r="S3122">
        <v>7</v>
      </c>
      <c r="T3122">
        <v>98.389244000000005</v>
      </c>
      <c r="W3122" t="s">
        <v>497</v>
      </c>
    </row>
    <row r="3123" spans="1:23" x14ac:dyDescent="0.25">
      <c r="A3123" t="s">
        <v>3559</v>
      </c>
      <c r="B3123" t="str">
        <f t="shared" si="49"/>
        <v>CM1200002069</v>
      </c>
      <c r="C3123" t="s">
        <v>225</v>
      </c>
      <c r="D3123" t="s">
        <v>77</v>
      </c>
      <c r="E3123" t="s">
        <v>82</v>
      </c>
      <c r="F3123">
        <v>20000</v>
      </c>
      <c r="G3123" s="13">
        <v>45894</v>
      </c>
      <c r="H3123" s="13">
        <v>46078</v>
      </c>
      <c r="I3123">
        <v>12422</v>
      </c>
      <c r="J3123">
        <v>1000</v>
      </c>
      <c r="K3123">
        <v>13422</v>
      </c>
      <c r="N3123">
        <v>27.27272727272727</v>
      </c>
      <c r="O3123">
        <v>6.7866</v>
      </c>
      <c r="P3123">
        <v>67.16</v>
      </c>
      <c r="Q3123">
        <v>6.65</v>
      </c>
      <c r="R3123">
        <v>6.45</v>
      </c>
      <c r="S3123">
        <v>7.5</v>
      </c>
      <c r="T3123">
        <v>96.682813999999993</v>
      </c>
      <c r="W3123" t="s">
        <v>497</v>
      </c>
    </row>
    <row r="3124" spans="1:23" x14ac:dyDescent="0.25">
      <c r="A3124" t="s">
        <v>3560</v>
      </c>
      <c r="B3124" t="str">
        <f t="shared" si="49"/>
        <v>CG1100001235</v>
      </c>
      <c r="C3124" t="s">
        <v>229</v>
      </c>
      <c r="D3124" t="s">
        <v>77</v>
      </c>
      <c r="E3124" t="s">
        <v>78</v>
      </c>
      <c r="F3124">
        <v>15000</v>
      </c>
      <c r="G3124" s="13">
        <v>45895</v>
      </c>
      <c r="H3124" s="13">
        <v>45988</v>
      </c>
      <c r="I3124">
        <v>4970</v>
      </c>
      <c r="J3124">
        <v>10030</v>
      </c>
      <c r="K3124">
        <v>15000</v>
      </c>
      <c r="N3124">
        <v>16.666666666666664</v>
      </c>
      <c r="O3124">
        <v>6.8139000000000003</v>
      </c>
      <c r="P3124">
        <v>100.02</v>
      </c>
      <c r="Q3124">
        <v>7</v>
      </c>
      <c r="R3124">
        <v>5.8</v>
      </c>
      <c r="S3124">
        <v>7</v>
      </c>
      <c r="T3124">
        <v>98.306759999999997</v>
      </c>
      <c r="W3124" t="s">
        <v>497</v>
      </c>
    </row>
    <row r="3125" spans="1:23" x14ac:dyDescent="0.25">
      <c r="A3125" t="s">
        <v>3561</v>
      </c>
      <c r="B3125" t="str">
        <f t="shared" si="49"/>
        <v>CG1200001663</v>
      </c>
      <c r="C3125" t="s">
        <v>229</v>
      </c>
      <c r="D3125" t="s">
        <v>77</v>
      </c>
      <c r="E3125" t="s">
        <v>82</v>
      </c>
      <c r="F3125">
        <v>15000</v>
      </c>
      <c r="G3125" s="13">
        <v>45895</v>
      </c>
      <c r="H3125" s="13">
        <v>46079</v>
      </c>
      <c r="I3125">
        <v>5500</v>
      </c>
      <c r="J3125">
        <v>151</v>
      </c>
      <c r="K3125">
        <v>5651</v>
      </c>
      <c r="N3125">
        <v>20.833333333333336</v>
      </c>
      <c r="O3125">
        <v>7.2206000000000001</v>
      </c>
      <c r="P3125">
        <v>37.673299999999998</v>
      </c>
      <c r="Q3125">
        <v>7</v>
      </c>
      <c r="R3125">
        <v>6.5</v>
      </c>
      <c r="S3125">
        <v>7</v>
      </c>
      <c r="T3125">
        <v>96.478154000000004</v>
      </c>
      <c r="W3125" t="s">
        <v>497</v>
      </c>
    </row>
    <row r="3126" spans="1:23" x14ac:dyDescent="0.25">
      <c r="A3126" t="s">
        <v>3562</v>
      </c>
      <c r="B3126" t="str">
        <f t="shared" si="49"/>
        <v>CG1300000987</v>
      </c>
      <c r="C3126" t="s">
        <v>229</v>
      </c>
      <c r="D3126" t="s">
        <v>77</v>
      </c>
      <c r="E3126" t="s">
        <v>287</v>
      </c>
      <c r="F3126">
        <v>5000</v>
      </c>
      <c r="G3126" s="13">
        <v>45895</v>
      </c>
      <c r="H3126" s="13">
        <v>46261</v>
      </c>
      <c r="I3126">
        <v>4835</v>
      </c>
      <c r="J3126">
        <v>165</v>
      </c>
      <c r="K3126">
        <v>5000</v>
      </c>
      <c r="N3126">
        <v>25</v>
      </c>
      <c r="O3126">
        <v>7.2224000000000004</v>
      </c>
      <c r="P3126">
        <v>168.56</v>
      </c>
      <c r="Q3126">
        <v>6.74</v>
      </c>
      <c r="R3126">
        <v>6.5</v>
      </c>
      <c r="S3126">
        <v>7</v>
      </c>
      <c r="T3126">
        <v>93.194332000000003</v>
      </c>
      <c r="W3126" t="s">
        <v>497</v>
      </c>
    </row>
    <row r="3127" spans="1:23" x14ac:dyDescent="0.25">
      <c r="A3127" t="s">
        <v>3563</v>
      </c>
      <c r="B3127" t="str">
        <f t="shared" si="49"/>
        <v>GA1200002549</v>
      </c>
      <c r="C3127" t="s">
        <v>227</v>
      </c>
      <c r="D3127" t="s">
        <v>77</v>
      </c>
      <c r="E3127" t="s">
        <v>82</v>
      </c>
      <c r="F3127">
        <v>7500</v>
      </c>
      <c r="G3127" s="13">
        <v>45896</v>
      </c>
      <c r="H3127" s="13">
        <v>46080</v>
      </c>
      <c r="I3127">
        <v>1352</v>
      </c>
      <c r="J3127">
        <v>22</v>
      </c>
      <c r="K3127">
        <v>1374</v>
      </c>
      <c r="N3127">
        <v>28.571428571428569</v>
      </c>
      <c r="O3127">
        <v>6.8122999999999996</v>
      </c>
      <c r="P3127">
        <v>18.613299999999999</v>
      </c>
      <c r="Q3127">
        <v>6.6</v>
      </c>
      <c r="R3127">
        <v>6</v>
      </c>
      <c r="S3127">
        <v>7</v>
      </c>
      <c r="T3127">
        <v>96.670654999999996</v>
      </c>
      <c r="W3127" t="s">
        <v>497</v>
      </c>
    </row>
    <row r="3128" spans="1:23" x14ac:dyDescent="0.25">
      <c r="A3128" t="s">
        <v>3564</v>
      </c>
      <c r="B3128" t="str">
        <f t="shared" si="49"/>
        <v>CM1100001179</v>
      </c>
      <c r="C3128" t="s">
        <v>225</v>
      </c>
      <c r="D3128" t="s">
        <v>77</v>
      </c>
      <c r="E3128" t="s">
        <v>78</v>
      </c>
      <c r="F3128">
        <v>15000</v>
      </c>
      <c r="G3128" s="13">
        <v>45901</v>
      </c>
      <c r="H3128" s="13">
        <v>45994</v>
      </c>
      <c r="I3128">
        <v>11002</v>
      </c>
      <c r="J3128">
        <v>50</v>
      </c>
      <c r="K3128">
        <v>11052</v>
      </c>
      <c r="N3128">
        <v>31.818181818181817</v>
      </c>
      <c r="O3128">
        <v>6.2988</v>
      </c>
      <c r="P3128">
        <v>73.746700000000004</v>
      </c>
      <c r="Q3128">
        <v>6.6</v>
      </c>
      <c r="R3128">
        <v>5.5</v>
      </c>
      <c r="S3128">
        <v>7</v>
      </c>
      <c r="T3128">
        <v>98.432764000000006</v>
      </c>
      <c r="W3128" t="s">
        <v>497</v>
      </c>
    </row>
    <row r="3129" spans="1:23" x14ac:dyDescent="0.25">
      <c r="A3129" t="s">
        <v>3565</v>
      </c>
      <c r="B3129" t="str">
        <f t="shared" si="49"/>
        <v>CM1200002077</v>
      </c>
      <c r="C3129" t="s">
        <v>225</v>
      </c>
      <c r="D3129" t="s">
        <v>77</v>
      </c>
      <c r="E3129" t="s">
        <v>82</v>
      </c>
      <c r="F3129">
        <v>25000</v>
      </c>
      <c r="G3129" s="13">
        <v>45901</v>
      </c>
      <c r="H3129" s="13">
        <v>46085</v>
      </c>
      <c r="I3129">
        <v>16705</v>
      </c>
      <c r="J3129">
        <v>50</v>
      </c>
      <c r="K3129">
        <v>16755</v>
      </c>
      <c r="N3129">
        <v>27.27272727272727</v>
      </c>
      <c r="O3129">
        <v>6.7853000000000003</v>
      </c>
      <c r="P3129">
        <v>67.06</v>
      </c>
      <c r="Q3129">
        <v>6.7</v>
      </c>
      <c r="R3129">
        <v>6.5</v>
      </c>
      <c r="S3129">
        <v>7</v>
      </c>
      <c r="T3129">
        <v>96.683413999999999</v>
      </c>
      <c r="W3129" t="s">
        <v>497</v>
      </c>
    </row>
    <row r="3130" spans="1:23" x14ac:dyDescent="0.25">
      <c r="A3130" t="s">
        <v>3566</v>
      </c>
      <c r="B3130" t="str">
        <f t="shared" si="49"/>
        <v>CM1300000989</v>
      </c>
      <c r="C3130" t="s">
        <v>225</v>
      </c>
      <c r="D3130" t="s">
        <v>77</v>
      </c>
      <c r="E3130" t="s">
        <v>287</v>
      </c>
      <c r="F3130">
        <v>20000</v>
      </c>
      <c r="G3130" s="13">
        <v>45901</v>
      </c>
      <c r="H3130" s="13">
        <v>46267</v>
      </c>
      <c r="I3130">
        <v>5565</v>
      </c>
      <c r="J3130">
        <v>0</v>
      </c>
      <c r="K3130">
        <v>5565</v>
      </c>
      <c r="N3130">
        <v>27.27272727272727</v>
      </c>
      <c r="O3130">
        <v>7.2523999999999997</v>
      </c>
      <c r="P3130">
        <v>27.824999999999999</v>
      </c>
      <c r="Q3130">
        <v>6.8</v>
      </c>
      <c r="R3130">
        <v>6.5</v>
      </c>
      <c r="S3130">
        <v>6.8</v>
      </c>
      <c r="T3130">
        <v>93.168004999999994</v>
      </c>
      <c r="W3130" t="s">
        <v>497</v>
      </c>
    </row>
    <row r="3131" spans="1:23" x14ac:dyDescent="0.25">
      <c r="A3131" t="s">
        <v>3567</v>
      </c>
      <c r="B3131" t="str">
        <f t="shared" si="49"/>
        <v>CG1100001243</v>
      </c>
      <c r="C3131" t="s">
        <v>229</v>
      </c>
      <c r="D3131" t="s">
        <v>77</v>
      </c>
      <c r="E3131" t="s">
        <v>78</v>
      </c>
      <c r="F3131">
        <v>30000</v>
      </c>
      <c r="G3131" s="13">
        <v>45902</v>
      </c>
      <c r="H3131" s="13">
        <v>45995</v>
      </c>
      <c r="I3131">
        <v>12575</v>
      </c>
      <c r="J3131">
        <v>17425</v>
      </c>
      <c r="K3131">
        <v>30000</v>
      </c>
      <c r="N3131">
        <v>16.666666666666664</v>
      </c>
      <c r="O3131">
        <v>7.0777000000000001</v>
      </c>
      <c r="P3131">
        <v>105.85</v>
      </c>
      <c r="Q3131">
        <v>7</v>
      </c>
      <c r="R3131">
        <v>6.5</v>
      </c>
      <c r="S3131">
        <v>7</v>
      </c>
      <c r="T3131">
        <v>98.242363999999995</v>
      </c>
      <c r="W3131" t="s">
        <v>497</v>
      </c>
    </row>
    <row r="3132" spans="1:23" x14ac:dyDescent="0.25">
      <c r="A3132" t="s">
        <v>3568</v>
      </c>
      <c r="B3132" t="str">
        <f t="shared" si="49"/>
        <v>CG1200001671</v>
      </c>
      <c r="C3132" t="s">
        <v>229</v>
      </c>
      <c r="D3132" t="s">
        <v>77</v>
      </c>
      <c r="E3132" t="s">
        <v>82</v>
      </c>
      <c r="F3132">
        <v>5000</v>
      </c>
      <c r="G3132" s="13">
        <v>45902</v>
      </c>
      <c r="H3132" s="13">
        <v>46086</v>
      </c>
      <c r="I3132">
        <v>120</v>
      </c>
      <c r="J3132">
        <v>732</v>
      </c>
      <c r="K3132">
        <v>852</v>
      </c>
      <c r="N3132">
        <v>16.666666666666664</v>
      </c>
      <c r="O3132">
        <v>7.0628000000000002</v>
      </c>
      <c r="P3132">
        <v>17.04</v>
      </c>
      <c r="Q3132">
        <v>7</v>
      </c>
      <c r="R3132">
        <v>6.5</v>
      </c>
      <c r="S3132">
        <v>7</v>
      </c>
      <c r="T3132">
        <v>96.552460999999994</v>
      </c>
      <c r="W3132" t="s">
        <v>497</v>
      </c>
    </row>
    <row r="3133" spans="1:23" x14ac:dyDescent="0.25">
      <c r="A3133" t="s">
        <v>3569</v>
      </c>
      <c r="B3133" t="str">
        <f t="shared" si="49"/>
        <v>GQ1300001559</v>
      </c>
      <c r="C3133" t="s">
        <v>528</v>
      </c>
      <c r="D3133" t="s">
        <v>77</v>
      </c>
      <c r="E3133" t="s">
        <v>287</v>
      </c>
      <c r="F3133">
        <v>20000</v>
      </c>
      <c r="G3133" s="13">
        <v>45902</v>
      </c>
      <c r="H3133" s="13">
        <v>46268</v>
      </c>
      <c r="I3133">
        <v>9600</v>
      </c>
      <c r="J3133">
        <v>0</v>
      </c>
      <c r="K3133">
        <v>9600</v>
      </c>
      <c r="N3133">
        <v>30.76923076923077</v>
      </c>
      <c r="O3133">
        <v>7.4607999999999999</v>
      </c>
      <c r="P3133">
        <v>48.05</v>
      </c>
      <c r="Q3133">
        <v>7</v>
      </c>
      <c r="R3133">
        <v>6.5</v>
      </c>
      <c r="S3133">
        <v>7.5</v>
      </c>
      <c r="T3133">
        <v>92.985416999999998</v>
      </c>
      <c r="W3133" t="s">
        <v>497</v>
      </c>
    </row>
    <row r="3134" spans="1:23" x14ac:dyDescent="0.25">
      <c r="A3134" t="s">
        <v>3570</v>
      </c>
      <c r="B3134" t="str">
        <f t="shared" si="49"/>
        <v>GA1200002556</v>
      </c>
      <c r="C3134" t="s">
        <v>227</v>
      </c>
      <c r="D3134" t="s">
        <v>77</v>
      </c>
      <c r="E3134" t="s">
        <v>82</v>
      </c>
      <c r="F3134">
        <v>7500</v>
      </c>
      <c r="G3134" s="13">
        <v>45903</v>
      </c>
      <c r="H3134" s="13">
        <v>46087</v>
      </c>
      <c r="I3134">
        <v>1065</v>
      </c>
      <c r="J3134">
        <v>0</v>
      </c>
      <c r="K3134">
        <v>1065</v>
      </c>
      <c r="N3134">
        <v>14.285714285714285</v>
      </c>
      <c r="O3134">
        <v>6.7885999999999997</v>
      </c>
      <c r="P3134">
        <v>14.333299999999999</v>
      </c>
      <c r="Q3134">
        <v>6.6</v>
      </c>
      <c r="R3134">
        <v>6</v>
      </c>
      <c r="S3134">
        <v>7</v>
      </c>
      <c r="T3134">
        <v>96.681847000000005</v>
      </c>
      <c r="W3134" t="s">
        <v>497</v>
      </c>
    </row>
    <row r="3135" spans="1:23" x14ac:dyDescent="0.25">
      <c r="A3135" t="s">
        <v>3571</v>
      </c>
      <c r="B3135" t="str">
        <f t="shared" si="49"/>
        <v>CM1200002085</v>
      </c>
      <c r="C3135" t="s">
        <v>225</v>
      </c>
      <c r="D3135" t="s">
        <v>77</v>
      </c>
      <c r="E3135" t="s">
        <v>82</v>
      </c>
      <c r="F3135">
        <v>20000</v>
      </c>
      <c r="G3135" s="13">
        <v>45908</v>
      </c>
      <c r="H3135" s="13">
        <v>46092</v>
      </c>
      <c r="I3135">
        <v>4625</v>
      </c>
      <c r="J3135">
        <v>0</v>
      </c>
      <c r="K3135">
        <v>4625</v>
      </c>
      <c r="N3135">
        <v>13.636363636363635</v>
      </c>
      <c r="O3135">
        <v>6.7526000000000002</v>
      </c>
      <c r="P3135">
        <v>23.125</v>
      </c>
      <c r="Q3135">
        <v>6.6</v>
      </c>
      <c r="R3135">
        <v>6</v>
      </c>
      <c r="S3135">
        <v>6.6</v>
      </c>
      <c r="T3135">
        <v>96.698858999999999</v>
      </c>
      <c r="W3135" t="s">
        <v>497</v>
      </c>
    </row>
    <row r="3136" spans="1:23" x14ac:dyDescent="0.25">
      <c r="A3136" t="s">
        <v>3572</v>
      </c>
      <c r="B3136" t="str">
        <f t="shared" si="49"/>
        <v>CM1300000997</v>
      </c>
      <c r="C3136" t="s">
        <v>225</v>
      </c>
      <c r="D3136" t="s">
        <v>77</v>
      </c>
      <c r="E3136" t="s">
        <v>287</v>
      </c>
      <c r="F3136">
        <v>20000</v>
      </c>
      <c r="G3136" s="13">
        <v>45908</v>
      </c>
      <c r="H3136" s="13">
        <v>46274</v>
      </c>
      <c r="I3136">
        <v>3215</v>
      </c>
      <c r="J3136">
        <v>15000</v>
      </c>
      <c r="K3136">
        <v>18215</v>
      </c>
      <c r="N3136">
        <v>22.727272727272727</v>
      </c>
      <c r="O3136">
        <v>7.0045999999999999</v>
      </c>
      <c r="P3136">
        <v>91.575000000000003</v>
      </c>
      <c r="Q3136">
        <v>6.75</v>
      </c>
      <c r="R3136">
        <v>6.5</v>
      </c>
      <c r="S3136">
        <v>6.8</v>
      </c>
      <c r="T3136">
        <v>93.386033999999995</v>
      </c>
      <c r="W3136" t="s">
        <v>497</v>
      </c>
    </row>
    <row r="3137" spans="1:23" x14ac:dyDescent="0.25">
      <c r="A3137" t="s">
        <v>3573</v>
      </c>
      <c r="B3137" t="str">
        <f t="shared" si="49"/>
        <v>CG1100001250</v>
      </c>
      <c r="C3137" t="s">
        <v>229</v>
      </c>
      <c r="D3137" t="s">
        <v>77</v>
      </c>
      <c r="E3137" t="s">
        <v>78</v>
      </c>
      <c r="F3137">
        <v>35000</v>
      </c>
      <c r="G3137" s="13">
        <v>45909</v>
      </c>
      <c r="H3137" s="13">
        <v>46002</v>
      </c>
      <c r="I3137">
        <v>0</v>
      </c>
      <c r="J3137">
        <v>12453</v>
      </c>
      <c r="K3137">
        <v>12453</v>
      </c>
      <c r="N3137">
        <v>12.5</v>
      </c>
      <c r="O3137">
        <v>6.8042999999999996</v>
      </c>
      <c r="P3137">
        <v>35.608600000000003</v>
      </c>
      <c r="Q3137">
        <v>6.95</v>
      </c>
      <c r="R3137">
        <v>6.5</v>
      </c>
      <c r="S3137">
        <v>7.5</v>
      </c>
      <c r="T3137">
        <v>98.309118999999995</v>
      </c>
      <c r="W3137" t="s">
        <v>497</v>
      </c>
    </row>
    <row r="3138" spans="1:23" x14ac:dyDescent="0.25">
      <c r="A3138" t="s">
        <v>3574</v>
      </c>
      <c r="B3138" t="str">
        <f t="shared" si="49"/>
        <v>CG1200001689</v>
      </c>
      <c r="C3138" t="s">
        <v>229</v>
      </c>
      <c r="D3138" t="s">
        <v>77</v>
      </c>
      <c r="E3138" t="s">
        <v>82</v>
      </c>
      <c r="F3138">
        <v>5000</v>
      </c>
      <c r="G3138" s="13">
        <v>45909</v>
      </c>
      <c r="H3138" s="13">
        <v>46093</v>
      </c>
      <c r="I3138">
        <v>5000</v>
      </c>
      <c r="J3138">
        <v>0</v>
      </c>
      <c r="K3138">
        <v>5000</v>
      </c>
      <c r="N3138">
        <v>20.833333333333336</v>
      </c>
      <c r="O3138">
        <v>6.6566999999999998</v>
      </c>
      <c r="P3138">
        <v>155.6</v>
      </c>
      <c r="Q3138">
        <v>7</v>
      </c>
      <c r="R3138">
        <v>6.44</v>
      </c>
      <c r="S3138">
        <v>7</v>
      </c>
      <c r="T3138">
        <v>96.744221999999993</v>
      </c>
      <c r="W3138" t="s">
        <v>497</v>
      </c>
    </row>
    <row r="3139" spans="1:23" x14ac:dyDescent="0.25">
      <c r="A3139" t="s">
        <v>3575</v>
      </c>
      <c r="B3139" t="str">
        <f t="shared" si="49"/>
        <v>CG1200001689</v>
      </c>
      <c r="C3139" t="s">
        <v>229</v>
      </c>
      <c r="D3139" t="s">
        <v>77</v>
      </c>
      <c r="E3139" t="s">
        <v>82</v>
      </c>
      <c r="F3139">
        <v>2500</v>
      </c>
      <c r="G3139" s="13">
        <v>45909</v>
      </c>
      <c r="H3139" s="13">
        <v>46093</v>
      </c>
      <c r="J3139">
        <v>0</v>
      </c>
      <c r="N3139">
        <v>0</v>
      </c>
      <c r="T3139" t="s">
        <v>1418</v>
      </c>
      <c r="W3139" t="s">
        <v>1547</v>
      </c>
    </row>
    <row r="3140" spans="1:23" x14ac:dyDescent="0.25">
      <c r="A3140" t="s">
        <v>3576</v>
      </c>
      <c r="B3140" t="str">
        <f t="shared" si="49"/>
        <v>GA1100002029</v>
      </c>
      <c r="C3140" t="s">
        <v>227</v>
      </c>
      <c r="D3140" t="s">
        <v>77</v>
      </c>
      <c r="E3140" t="s">
        <v>78</v>
      </c>
      <c r="F3140">
        <v>7500</v>
      </c>
      <c r="G3140" s="13">
        <v>45910</v>
      </c>
      <c r="H3140" s="13">
        <v>46003</v>
      </c>
      <c r="I3140">
        <v>6500</v>
      </c>
      <c r="J3140">
        <v>200</v>
      </c>
      <c r="K3140">
        <v>6700</v>
      </c>
      <c r="N3140">
        <v>28.571428571428569</v>
      </c>
      <c r="O3140">
        <v>6.4257999999999997</v>
      </c>
      <c r="P3140">
        <v>142.7867</v>
      </c>
      <c r="Q3140">
        <v>6.35</v>
      </c>
      <c r="R3140">
        <v>6.2</v>
      </c>
      <c r="S3140">
        <v>6.7</v>
      </c>
      <c r="T3140">
        <v>98.401651999999999</v>
      </c>
      <c r="W3140" t="s">
        <v>497</v>
      </c>
    </row>
    <row r="3141" spans="1:23" x14ac:dyDescent="0.25">
      <c r="A3141" t="s">
        <v>3577</v>
      </c>
      <c r="B3141" t="str">
        <f t="shared" si="49"/>
        <v>CM1200002093</v>
      </c>
      <c r="C3141" t="s">
        <v>225</v>
      </c>
      <c r="D3141" t="s">
        <v>77</v>
      </c>
      <c r="E3141" t="s">
        <v>82</v>
      </c>
      <c r="F3141">
        <v>20000</v>
      </c>
      <c r="G3141" s="13">
        <v>45915</v>
      </c>
      <c r="H3141" s="13">
        <v>46099</v>
      </c>
      <c r="I3141">
        <v>5000</v>
      </c>
      <c r="J3141">
        <v>6000</v>
      </c>
      <c r="K3141">
        <v>11000</v>
      </c>
      <c r="N3141">
        <v>18.181818181818183</v>
      </c>
      <c r="O3141">
        <v>6.7393000000000001</v>
      </c>
      <c r="P3141">
        <v>55.55</v>
      </c>
      <c r="Q3141">
        <v>6.55</v>
      </c>
      <c r="R3141">
        <v>6.49</v>
      </c>
      <c r="S3141">
        <v>7</v>
      </c>
      <c r="T3141">
        <v>96.705157</v>
      </c>
      <c r="W3141" t="s">
        <v>497</v>
      </c>
    </row>
    <row r="3142" spans="1:23" x14ac:dyDescent="0.25">
      <c r="A3142" t="s">
        <v>3578</v>
      </c>
      <c r="B3142" t="str">
        <f t="shared" si="49"/>
        <v>CG1100001268</v>
      </c>
      <c r="C3142" t="s">
        <v>229</v>
      </c>
      <c r="D3142" t="s">
        <v>77</v>
      </c>
      <c r="E3142" t="s">
        <v>78</v>
      </c>
      <c r="F3142">
        <v>25000</v>
      </c>
      <c r="G3142" s="13">
        <v>45916</v>
      </c>
      <c r="H3142" s="13">
        <v>46009</v>
      </c>
      <c r="I3142">
        <v>5000</v>
      </c>
      <c r="J3142">
        <v>6517</v>
      </c>
      <c r="K3142">
        <v>11517</v>
      </c>
      <c r="N3142">
        <v>12.5</v>
      </c>
      <c r="O3142">
        <v>7.0442</v>
      </c>
      <c r="P3142">
        <v>46.067999999999998</v>
      </c>
      <c r="Q3142">
        <v>7</v>
      </c>
      <c r="R3142">
        <v>6</v>
      </c>
      <c r="S3142">
        <v>7</v>
      </c>
      <c r="T3142">
        <v>98.250544000000005</v>
      </c>
      <c r="W3142" t="s">
        <v>497</v>
      </c>
    </row>
    <row r="3143" spans="1:23" x14ac:dyDescent="0.25">
      <c r="A3143" t="s">
        <v>3579</v>
      </c>
      <c r="B3143" t="str">
        <f t="shared" si="49"/>
        <v>CG1200001697</v>
      </c>
      <c r="C3143" t="s">
        <v>229</v>
      </c>
      <c r="D3143" t="s">
        <v>77</v>
      </c>
      <c r="E3143" t="s">
        <v>82</v>
      </c>
      <c r="F3143">
        <v>10000</v>
      </c>
      <c r="G3143" s="13">
        <v>45916</v>
      </c>
      <c r="H3143" s="13">
        <v>46100</v>
      </c>
      <c r="I3143">
        <v>50</v>
      </c>
      <c r="J3143">
        <v>465</v>
      </c>
      <c r="K3143">
        <v>515</v>
      </c>
      <c r="N3143">
        <v>16.666666666666664</v>
      </c>
      <c r="O3143">
        <v>6.9271000000000003</v>
      </c>
      <c r="P3143">
        <v>5.15</v>
      </c>
      <c r="Q3143">
        <v>6.75</v>
      </c>
      <c r="R3143">
        <v>6.1</v>
      </c>
      <c r="S3143">
        <v>6.75</v>
      </c>
      <c r="T3143">
        <v>96.616459000000006</v>
      </c>
      <c r="W3143" t="s">
        <v>497</v>
      </c>
    </row>
    <row r="3144" spans="1:23" x14ac:dyDescent="0.25">
      <c r="A3144" t="s">
        <v>3580</v>
      </c>
      <c r="B3144" t="str">
        <f t="shared" si="49"/>
        <v>GA1100002037</v>
      </c>
      <c r="C3144" t="s">
        <v>227</v>
      </c>
      <c r="D3144" t="s">
        <v>77</v>
      </c>
      <c r="E3144" t="s">
        <v>78</v>
      </c>
      <c r="F3144">
        <v>12500</v>
      </c>
      <c r="G3144" s="13">
        <v>45917</v>
      </c>
      <c r="H3144" s="13">
        <v>46010</v>
      </c>
      <c r="I3144">
        <v>12050</v>
      </c>
      <c r="J3144">
        <v>132</v>
      </c>
      <c r="K3144">
        <v>12182</v>
      </c>
      <c r="N3144">
        <v>23.809523809523807</v>
      </c>
      <c r="O3144">
        <v>6.5197000000000003</v>
      </c>
      <c r="P3144">
        <v>97.456000000000003</v>
      </c>
      <c r="Q3144">
        <v>6.45</v>
      </c>
      <c r="R3144">
        <v>5.9</v>
      </c>
      <c r="S3144">
        <v>6.45</v>
      </c>
      <c r="T3144">
        <v>98.378684000000007</v>
      </c>
      <c r="W3144" t="s">
        <v>497</v>
      </c>
    </row>
    <row r="3145" spans="1:23" x14ac:dyDescent="0.25">
      <c r="A3145" t="s">
        <v>3581</v>
      </c>
      <c r="B3145" t="str">
        <f t="shared" si="49"/>
        <v>GA1200002564</v>
      </c>
      <c r="C3145" t="s">
        <v>227</v>
      </c>
      <c r="D3145" t="s">
        <v>77</v>
      </c>
      <c r="E3145" t="s">
        <v>82</v>
      </c>
      <c r="F3145">
        <v>12500</v>
      </c>
      <c r="G3145" s="13">
        <v>45917</v>
      </c>
      <c r="H3145" s="13">
        <v>46101</v>
      </c>
      <c r="I3145">
        <v>11050</v>
      </c>
      <c r="J3145">
        <v>1256</v>
      </c>
      <c r="K3145">
        <v>12306</v>
      </c>
      <c r="N3145">
        <v>28.571428571428569</v>
      </c>
      <c r="O3145">
        <v>6.8151000000000002</v>
      </c>
      <c r="P3145">
        <v>98.495999999999995</v>
      </c>
      <c r="Q3145">
        <v>6.6</v>
      </c>
      <c r="R3145">
        <v>6</v>
      </c>
      <c r="S3145">
        <v>6.7</v>
      </c>
      <c r="T3145">
        <v>96.669355999999993</v>
      </c>
      <c r="W3145" t="s">
        <v>497</v>
      </c>
    </row>
    <row r="3146" spans="1:23" x14ac:dyDescent="0.25">
      <c r="A3146" t="s">
        <v>3582</v>
      </c>
      <c r="B3146" t="str">
        <f t="shared" si="49"/>
        <v>CM1200002101</v>
      </c>
      <c r="C3146" t="s">
        <v>225</v>
      </c>
      <c r="D3146" t="s">
        <v>77</v>
      </c>
      <c r="E3146" t="s">
        <v>82</v>
      </c>
      <c r="F3146">
        <v>15000</v>
      </c>
      <c r="G3146" s="13">
        <v>45922</v>
      </c>
      <c r="H3146" s="13">
        <v>46106</v>
      </c>
      <c r="I3146">
        <v>4500</v>
      </c>
      <c r="J3146">
        <v>100</v>
      </c>
      <c r="K3146">
        <v>4600</v>
      </c>
      <c r="N3146">
        <v>18.181818181818183</v>
      </c>
      <c r="O3146">
        <v>6.4794</v>
      </c>
      <c r="P3146">
        <v>30.7333</v>
      </c>
      <c r="Q3146">
        <v>6.6</v>
      </c>
      <c r="R3146">
        <v>6.1</v>
      </c>
      <c r="S3146">
        <v>7</v>
      </c>
      <c r="T3146">
        <v>96.828187999999997</v>
      </c>
      <c r="W3146" t="s">
        <v>497</v>
      </c>
    </row>
    <row r="3147" spans="1:23" x14ac:dyDescent="0.25">
      <c r="A3147" t="s">
        <v>3583</v>
      </c>
      <c r="B3147" t="str">
        <f t="shared" si="49"/>
        <v>CG1100001276</v>
      </c>
      <c r="C3147" t="s">
        <v>229</v>
      </c>
      <c r="D3147" t="s">
        <v>77</v>
      </c>
      <c r="E3147" t="s">
        <v>78</v>
      </c>
      <c r="F3147">
        <v>20000</v>
      </c>
      <c r="G3147" s="13">
        <v>45923</v>
      </c>
      <c r="H3147" s="13">
        <v>46016</v>
      </c>
      <c r="I3147">
        <v>5000</v>
      </c>
      <c r="J3147">
        <v>15000</v>
      </c>
      <c r="K3147">
        <v>20000</v>
      </c>
      <c r="N3147">
        <v>20.833333333333336</v>
      </c>
      <c r="O3147">
        <v>6.9927999999999999</v>
      </c>
      <c r="P3147">
        <v>114.62</v>
      </c>
      <c r="Q3147">
        <v>7</v>
      </c>
      <c r="R3147">
        <v>5.9</v>
      </c>
      <c r="S3147">
        <v>7</v>
      </c>
      <c r="T3147">
        <v>98.263068000000004</v>
      </c>
      <c r="W3147" t="s">
        <v>497</v>
      </c>
    </row>
    <row r="3148" spans="1:23" x14ac:dyDescent="0.25">
      <c r="A3148" t="s">
        <v>3584</v>
      </c>
      <c r="B3148" t="str">
        <f t="shared" si="49"/>
        <v>CG1200001705</v>
      </c>
      <c r="C3148" t="s">
        <v>229</v>
      </c>
      <c r="D3148" t="s">
        <v>77</v>
      </c>
      <c r="E3148" t="s">
        <v>82</v>
      </c>
      <c r="F3148">
        <v>10000</v>
      </c>
      <c r="G3148" s="13">
        <v>45923</v>
      </c>
      <c r="H3148" s="13">
        <v>46107</v>
      </c>
      <c r="I3148">
        <v>1500</v>
      </c>
      <c r="J3148">
        <v>200</v>
      </c>
      <c r="K3148">
        <v>1700</v>
      </c>
      <c r="N3148">
        <v>16.666666666666664</v>
      </c>
      <c r="O3148">
        <v>6.7135999999999996</v>
      </c>
      <c r="P3148">
        <v>17</v>
      </c>
      <c r="Q3148">
        <v>7</v>
      </c>
      <c r="R3148">
        <v>6.15</v>
      </c>
      <c r="S3148">
        <v>7</v>
      </c>
      <c r="T3148">
        <v>96.717309</v>
      </c>
      <c r="W3148" t="s">
        <v>497</v>
      </c>
    </row>
    <row r="3149" spans="1:23" x14ac:dyDescent="0.25">
      <c r="A3149" t="s">
        <v>3585</v>
      </c>
      <c r="B3149" t="str">
        <f t="shared" si="49"/>
        <v>GA1200002572</v>
      </c>
      <c r="C3149" t="s">
        <v>227</v>
      </c>
      <c r="D3149" t="s">
        <v>77</v>
      </c>
      <c r="E3149" t="s">
        <v>82</v>
      </c>
      <c r="F3149">
        <v>7500</v>
      </c>
      <c r="G3149" s="13">
        <v>45924</v>
      </c>
      <c r="H3149" s="13">
        <v>46108</v>
      </c>
      <c r="I3149">
        <v>5950</v>
      </c>
      <c r="J3149">
        <v>27</v>
      </c>
      <c r="K3149">
        <v>5977</v>
      </c>
      <c r="N3149">
        <v>28.571428571428569</v>
      </c>
      <c r="O3149">
        <v>6.5251999999999999</v>
      </c>
      <c r="P3149">
        <v>87.026700000000005</v>
      </c>
      <c r="Q3149">
        <v>6.5</v>
      </c>
      <c r="R3149">
        <v>6.25</v>
      </c>
      <c r="S3149">
        <v>6.6</v>
      </c>
      <c r="T3149">
        <v>96.806507999999994</v>
      </c>
      <c r="W3149" t="s">
        <v>497</v>
      </c>
    </row>
    <row r="3150" spans="1:23" x14ac:dyDescent="0.25">
      <c r="A3150" t="s">
        <v>3586</v>
      </c>
      <c r="B3150" t="str">
        <f t="shared" si="49"/>
        <v>CM1300001003</v>
      </c>
      <c r="C3150" t="s">
        <v>225</v>
      </c>
      <c r="D3150" t="s">
        <v>77</v>
      </c>
      <c r="E3150" t="s">
        <v>287</v>
      </c>
      <c r="F3150">
        <v>15000</v>
      </c>
      <c r="G3150" s="13">
        <v>45929</v>
      </c>
      <c r="H3150" s="13">
        <v>46295</v>
      </c>
      <c r="I3150">
        <v>4034</v>
      </c>
      <c r="J3150">
        <v>100</v>
      </c>
      <c r="K3150">
        <v>4134</v>
      </c>
      <c r="N3150">
        <v>27.27272727272727</v>
      </c>
      <c r="O3150">
        <v>7.2009999999999996</v>
      </c>
      <c r="P3150">
        <v>27.6267</v>
      </c>
      <c r="Q3150">
        <v>6.9</v>
      </c>
      <c r="R3150">
        <v>6.45</v>
      </c>
      <c r="S3150">
        <v>6.9</v>
      </c>
      <c r="T3150">
        <v>93.213155</v>
      </c>
      <c r="W3150" t="s">
        <v>497</v>
      </c>
    </row>
    <row r="3151" spans="1:23" x14ac:dyDescent="0.25">
      <c r="A3151" t="s">
        <v>3587</v>
      </c>
      <c r="B3151" t="str">
        <f t="shared" si="49"/>
        <v>CG1200001713</v>
      </c>
      <c r="C3151" t="s">
        <v>229</v>
      </c>
      <c r="D3151" t="s">
        <v>77</v>
      </c>
      <c r="E3151" t="s">
        <v>82</v>
      </c>
      <c r="F3151">
        <v>30000</v>
      </c>
      <c r="G3151" s="13">
        <v>45930</v>
      </c>
      <c r="H3151" s="13">
        <v>46114</v>
      </c>
      <c r="I3151">
        <v>1525</v>
      </c>
      <c r="J3151">
        <v>510</v>
      </c>
      <c r="K3151">
        <v>2035</v>
      </c>
      <c r="N3151">
        <v>16.666666666666664</v>
      </c>
      <c r="O3151">
        <v>6.8605999999999998</v>
      </c>
      <c r="P3151">
        <v>6.7832999999999997</v>
      </c>
      <c r="Q3151">
        <v>6.7</v>
      </c>
      <c r="R3151">
        <v>6.49</v>
      </c>
      <c r="S3151">
        <v>6.7</v>
      </c>
      <c r="T3151">
        <v>96.647869</v>
      </c>
      <c r="W3151" t="s">
        <v>497</v>
      </c>
    </row>
    <row r="3152" spans="1:23" x14ac:dyDescent="0.25">
      <c r="A3152" t="s">
        <v>3588</v>
      </c>
      <c r="B3152" t="str">
        <f t="shared" si="49"/>
        <v>CG1100001284</v>
      </c>
      <c r="C3152" t="s">
        <v>229</v>
      </c>
      <c r="D3152" t="s">
        <v>77</v>
      </c>
      <c r="E3152" t="s">
        <v>78</v>
      </c>
      <c r="F3152">
        <v>20000</v>
      </c>
      <c r="G3152" s="13">
        <v>45930</v>
      </c>
      <c r="H3152" s="13">
        <v>46023</v>
      </c>
      <c r="I3152">
        <v>3112</v>
      </c>
      <c r="J3152">
        <v>4444</v>
      </c>
      <c r="K3152">
        <v>7556</v>
      </c>
      <c r="N3152">
        <v>29.166666666666668</v>
      </c>
      <c r="O3152">
        <v>6.6688000000000001</v>
      </c>
      <c r="P3152">
        <v>37.78</v>
      </c>
      <c r="Q3152">
        <v>6.8</v>
      </c>
      <c r="R3152">
        <v>6</v>
      </c>
      <c r="S3152">
        <v>6.8</v>
      </c>
      <c r="T3152">
        <v>98.342230999999998</v>
      </c>
      <c r="W3152" t="s">
        <v>497</v>
      </c>
    </row>
    <row r="3153" spans="1:23" x14ac:dyDescent="0.25">
      <c r="A3153" t="s">
        <v>3589</v>
      </c>
      <c r="B3153" t="str">
        <f t="shared" si="49"/>
        <v>GA1200002580</v>
      </c>
      <c r="C3153" t="s">
        <v>227</v>
      </c>
      <c r="D3153" t="s">
        <v>77</v>
      </c>
      <c r="E3153" t="s">
        <v>82</v>
      </c>
      <c r="F3153">
        <v>10000</v>
      </c>
      <c r="G3153" s="13">
        <v>45931</v>
      </c>
      <c r="H3153" s="13">
        <v>46115</v>
      </c>
      <c r="I3153">
        <v>9916</v>
      </c>
      <c r="J3153">
        <v>84</v>
      </c>
      <c r="K3153">
        <v>10000</v>
      </c>
      <c r="N3153">
        <v>23.809523809523807</v>
      </c>
      <c r="O3153">
        <v>6.7154999999999996</v>
      </c>
      <c r="P3153">
        <v>105.88</v>
      </c>
      <c r="Q3153">
        <v>6.5</v>
      </c>
      <c r="R3153">
        <v>6.4</v>
      </c>
      <c r="S3153">
        <v>6.5</v>
      </c>
      <c r="T3153">
        <v>96.716417000000007</v>
      </c>
      <c r="W3153" t="s">
        <v>497</v>
      </c>
    </row>
    <row r="3154" spans="1:23" x14ac:dyDescent="0.25">
      <c r="A3154" t="s">
        <v>3590</v>
      </c>
      <c r="B3154" t="str">
        <f t="shared" si="49"/>
        <v>CM1200002119</v>
      </c>
      <c r="C3154" t="s">
        <v>225</v>
      </c>
      <c r="D3154" t="s">
        <v>77</v>
      </c>
      <c r="E3154" t="s">
        <v>82</v>
      </c>
      <c r="F3154">
        <v>10000</v>
      </c>
      <c r="G3154" s="13">
        <v>45936</v>
      </c>
      <c r="H3154" s="13">
        <v>46120</v>
      </c>
      <c r="J3154">
        <v>0</v>
      </c>
      <c r="T3154" t="s">
        <v>750</v>
      </c>
      <c r="W3154" t="s">
        <v>497</v>
      </c>
    </row>
    <row r="3155" spans="1:23" x14ac:dyDescent="0.25">
      <c r="A3155" t="s">
        <v>3591</v>
      </c>
      <c r="B3155" t="str">
        <f t="shared" si="49"/>
        <v>CG1200001721</v>
      </c>
      <c r="C3155" t="s">
        <v>229</v>
      </c>
      <c r="D3155" t="s">
        <v>77</v>
      </c>
      <c r="E3155" t="s">
        <v>82</v>
      </c>
      <c r="F3155">
        <v>15000</v>
      </c>
      <c r="G3155" s="13">
        <v>45937</v>
      </c>
      <c r="H3155" s="13">
        <v>46121</v>
      </c>
      <c r="I3155">
        <v>1065</v>
      </c>
      <c r="J3155">
        <v>10</v>
      </c>
      <c r="K3155">
        <v>1075</v>
      </c>
      <c r="N3155">
        <v>8.3333333333333321</v>
      </c>
      <c r="O3155">
        <v>6.7103000000000002</v>
      </c>
      <c r="P3155">
        <v>7.1666999999999996</v>
      </c>
      <c r="Q3155">
        <v>6.5</v>
      </c>
      <c r="R3155">
        <v>6.49</v>
      </c>
      <c r="S3155">
        <v>6.5</v>
      </c>
      <c r="T3155">
        <v>96.718896999999998</v>
      </c>
      <c r="W3155" t="s">
        <v>497</v>
      </c>
    </row>
    <row r="3156" spans="1:23" x14ac:dyDescent="0.25">
      <c r="A3156" t="s">
        <v>3592</v>
      </c>
      <c r="B3156" t="str">
        <f t="shared" si="49"/>
        <v>CG1100001292</v>
      </c>
      <c r="C3156" t="s">
        <v>229</v>
      </c>
      <c r="D3156" t="s">
        <v>77</v>
      </c>
      <c r="E3156" t="s">
        <v>78</v>
      </c>
      <c r="F3156">
        <v>10000</v>
      </c>
      <c r="G3156" s="13">
        <v>45937</v>
      </c>
      <c r="H3156" s="13">
        <v>46030</v>
      </c>
      <c r="I3156">
        <v>0</v>
      </c>
      <c r="J3156">
        <v>8010</v>
      </c>
      <c r="K3156">
        <v>8010</v>
      </c>
      <c r="N3156">
        <v>12.5</v>
      </c>
      <c r="O3156">
        <v>6.8662999999999998</v>
      </c>
      <c r="P3156">
        <v>80.099999999999994</v>
      </c>
      <c r="Q3156">
        <v>6.75</v>
      </c>
      <c r="R3156">
        <v>6</v>
      </c>
      <c r="S3156">
        <v>6.75</v>
      </c>
      <c r="T3156">
        <v>98.293963000000005</v>
      </c>
      <c r="W3156" t="s">
        <v>497</v>
      </c>
    </row>
    <row r="3157" spans="1:23" x14ac:dyDescent="0.25">
      <c r="A3157" t="s">
        <v>3593</v>
      </c>
      <c r="B3157" t="str">
        <f t="shared" si="49"/>
        <v>CG1300000995</v>
      </c>
      <c r="C3157" t="s">
        <v>229</v>
      </c>
      <c r="D3157" t="s">
        <v>77</v>
      </c>
      <c r="E3157" t="s">
        <v>287</v>
      </c>
      <c r="F3157">
        <v>5000</v>
      </c>
      <c r="G3157" s="13">
        <v>45937</v>
      </c>
      <c r="H3157" s="13">
        <v>46303</v>
      </c>
      <c r="I3157">
        <v>760</v>
      </c>
      <c r="J3157">
        <v>340</v>
      </c>
      <c r="K3157">
        <v>1100</v>
      </c>
      <c r="N3157">
        <v>12.5</v>
      </c>
      <c r="O3157">
        <v>7.399</v>
      </c>
      <c r="P3157">
        <v>22</v>
      </c>
      <c r="Q3157">
        <v>7</v>
      </c>
      <c r="R3157">
        <v>6.74</v>
      </c>
      <c r="S3157">
        <v>7</v>
      </c>
      <c r="T3157">
        <v>93.039511000000005</v>
      </c>
      <c r="W3157" t="s">
        <v>497</v>
      </c>
    </row>
    <row r="3158" spans="1:23" x14ac:dyDescent="0.25">
      <c r="A3158" t="s">
        <v>3594</v>
      </c>
      <c r="B3158" t="str">
        <f t="shared" si="49"/>
        <v>GA1300000914</v>
      </c>
      <c r="C3158" t="s">
        <v>227</v>
      </c>
      <c r="D3158" t="s">
        <v>77</v>
      </c>
      <c r="E3158" t="s">
        <v>287</v>
      </c>
      <c r="F3158">
        <v>8000</v>
      </c>
      <c r="G3158" s="13">
        <v>45938</v>
      </c>
      <c r="H3158" s="13">
        <v>46304</v>
      </c>
      <c r="I3158">
        <v>2033</v>
      </c>
      <c r="J3158">
        <v>5433</v>
      </c>
      <c r="K3158">
        <v>7466</v>
      </c>
      <c r="N3158">
        <v>47.619047619047613</v>
      </c>
      <c r="O3158">
        <v>6.9442000000000004</v>
      </c>
      <c r="P3158">
        <v>96.55</v>
      </c>
      <c r="Q3158">
        <v>6.5</v>
      </c>
      <c r="R3158">
        <v>6.2</v>
      </c>
      <c r="S3158">
        <v>6.5</v>
      </c>
      <c r="T3158">
        <v>93.439276000000007</v>
      </c>
      <c r="W3158" t="s">
        <v>497</v>
      </c>
    </row>
    <row r="3159" spans="1:23" x14ac:dyDescent="0.25">
      <c r="A3159" t="s">
        <v>3595</v>
      </c>
      <c r="B3159" t="str">
        <f t="shared" si="49"/>
        <v>GA1200002556</v>
      </c>
      <c r="C3159" t="s">
        <v>227</v>
      </c>
      <c r="D3159" t="s">
        <v>77</v>
      </c>
      <c r="E3159" t="s">
        <v>82</v>
      </c>
      <c r="F3159">
        <v>15000</v>
      </c>
      <c r="G3159" s="13">
        <v>45938</v>
      </c>
      <c r="H3159" s="13">
        <v>46087</v>
      </c>
      <c r="I3159">
        <v>1400</v>
      </c>
      <c r="J3159">
        <v>0</v>
      </c>
      <c r="K3159">
        <v>1400</v>
      </c>
      <c r="N3159">
        <v>9.5238095238095237</v>
      </c>
      <c r="O3159">
        <v>6.6772</v>
      </c>
      <c r="P3159">
        <v>9.4</v>
      </c>
      <c r="Q3159">
        <v>6.5</v>
      </c>
      <c r="R3159">
        <v>6.5</v>
      </c>
      <c r="S3159">
        <v>6.5</v>
      </c>
      <c r="T3159">
        <v>97.345832999999999</v>
      </c>
      <c r="W3159" t="s">
        <v>497</v>
      </c>
    </row>
    <row r="3160" spans="1:23" x14ac:dyDescent="0.25">
      <c r="A3160" t="s">
        <v>3596</v>
      </c>
      <c r="B3160" t="str">
        <f t="shared" si="49"/>
        <v>CM1300001011</v>
      </c>
      <c r="C3160" t="s">
        <v>225</v>
      </c>
      <c r="D3160" t="s">
        <v>77</v>
      </c>
      <c r="E3160" t="s">
        <v>287</v>
      </c>
      <c r="F3160">
        <v>15000</v>
      </c>
      <c r="G3160" s="13">
        <v>45943</v>
      </c>
      <c r="H3160" s="13">
        <v>46309</v>
      </c>
      <c r="I3160">
        <v>9134</v>
      </c>
      <c r="J3160">
        <v>3000</v>
      </c>
      <c r="K3160">
        <v>12134</v>
      </c>
      <c r="N3160">
        <v>27.27272727272727</v>
      </c>
      <c r="O3160">
        <v>7.2744999999999997</v>
      </c>
      <c r="P3160">
        <v>83.56</v>
      </c>
      <c r="Q3160">
        <v>6.8</v>
      </c>
      <c r="R3160">
        <v>6.5</v>
      </c>
      <c r="S3160">
        <v>6.8</v>
      </c>
      <c r="T3160">
        <v>93.148625999999993</v>
      </c>
      <c r="W3160" t="s">
        <v>497</v>
      </c>
    </row>
    <row r="3161" spans="1:23" x14ac:dyDescent="0.25">
      <c r="A3161" t="s">
        <v>3597</v>
      </c>
      <c r="B3161" t="str">
        <f t="shared" si="49"/>
        <v>CG1100001300</v>
      </c>
      <c r="C3161" t="s">
        <v>229</v>
      </c>
      <c r="D3161" t="s">
        <v>77</v>
      </c>
      <c r="E3161" t="s">
        <v>78</v>
      </c>
      <c r="F3161">
        <v>65000</v>
      </c>
      <c r="G3161" s="13">
        <v>45944</v>
      </c>
      <c r="H3161" s="13">
        <v>46037</v>
      </c>
      <c r="I3161">
        <v>13082</v>
      </c>
      <c r="J3161">
        <v>16827</v>
      </c>
      <c r="K3161">
        <v>29909</v>
      </c>
      <c r="N3161">
        <v>29.166666666666668</v>
      </c>
      <c r="O3161">
        <v>6.8864000000000001</v>
      </c>
      <c r="P3161">
        <v>46.013800000000003</v>
      </c>
      <c r="Q3161">
        <v>7</v>
      </c>
      <c r="R3161">
        <v>6</v>
      </c>
      <c r="S3161">
        <v>6</v>
      </c>
      <c r="T3161">
        <v>98.289061000000004</v>
      </c>
      <c r="W3161" t="s">
        <v>497</v>
      </c>
    </row>
    <row r="3162" spans="1:23" x14ac:dyDescent="0.25">
      <c r="A3162" t="s">
        <v>3598</v>
      </c>
      <c r="B3162" t="str">
        <f t="shared" si="49"/>
        <v>CG1200001739</v>
      </c>
      <c r="C3162" t="s">
        <v>229</v>
      </c>
      <c r="D3162" t="s">
        <v>77</v>
      </c>
      <c r="E3162" t="s">
        <v>82</v>
      </c>
      <c r="F3162">
        <v>120000</v>
      </c>
      <c r="G3162" s="13">
        <v>45944</v>
      </c>
      <c r="H3162" s="13">
        <v>46128</v>
      </c>
      <c r="I3162">
        <v>18808</v>
      </c>
      <c r="J3162">
        <v>10100</v>
      </c>
      <c r="K3162">
        <v>28908</v>
      </c>
      <c r="N3162">
        <v>29.166666666666668</v>
      </c>
      <c r="O3162">
        <v>7.0216000000000003</v>
      </c>
      <c r="P3162">
        <v>24.09</v>
      </c>
      <c r="Q3162">
        <v>7</v>
      </c>
      <c r="R3162">
        <v>6.15</v>
      </c>
      <c r="S3162">
        <v>7</v>
      </c>
      <c r="T3162">
        <v>96.571875000000006</v>
      </c>
      <c r="W3162" t="s">
        <v>497</v>
      </c>
    </row>
    <row r="3163" spans="1:23" x14ac:dyDescent="0.25">
      <c r="A3163" t="s">
        <v>3599</v>
      </c>
      <c r="B3163" t="str">
        <f t="shared" ref="B3163:B3226" si="50">MID(A3163,1,12)</f>
        <v>CG1300001001</v>
      </c>
      <c r="C3163" t="s">
        <v>229</v>
      </c>
      <c r="D3163" t="s">
        <v>77</v>
      </c>
      <c r="E3163" t="s">
        <v>287</v>
      </c>
      <c r="F3163">
        <v>170000</v>
      </c>
      <c r="G3163" s="13">
        <v>45944</v>
      </c>
      <c r="H3163" s="13">
        <v>46310</v>
      </c>
      <c r="I3163">
        <v>23000</v>
      </c>
      <c r="J3163">
        <v>3532</v>
      </c>
      <c r="K3163">
        <v>26532</v>
      </c>
      <c r="N3163">
        <v>25</v>
      </c>
      <c r="O3163">
        <v>7.6048999999999998</v>
      </c>
      <c r="P3163">
        <v>15.607100000000001</v>
      </c>
      <c r="Q3163">
        <v>7.1</v>
      </c>
      <c r="R3163">
        <v>6.5</v>
      </c>
      <c r="S3163">
        <v>7.1</v>
      </c>
      <c r="T3163">
        <v>92.859656999999999</v>
      </c>
      <c r="W3163" t="s">
        <v>497</v>
      </c>
    </row>
    <row r="3164" spans="1:23" x14ac:dyDescent="0.25">
      <c r="A3164" t="s">
        <v>3600</v>
      </c>
      <c r="B3164" t="str">
        <f t="shared" si="50"/>
        <v>GQ1300001567</v>
      </c>
      <c r="C3164" t="s">
        <v>528</v>
      </c>
      <c r="D3164" t="s">
        <v>77</v>
      </c>
      <c r="E3164" t="s">
        <v>287</v>
      </c>
      <c r="F3164">
        <v>10000</v>
      </c>
      <c r="G3164" s="13">
        <v>45944</v>
      </c>
      <c r="H3164" s="13">
        <v>46310</v>
      </c>
      <c r="I3164">
        <v>2000</v>
      </c>
      <c r="J3164">
        <v>0</v>
      </c>
      <c r="K3164">
        <v>2000</v>
      </c>
      <c r="N3164">
        <v>15.384615384615385</v>
      </c>
      <c r="O3164">
        <v>7.5316000000000001</v>
      </c>
      <c r="P3164">
        <v>20.100000000000001</v>
      </c>
      <c r="Q3164">
        <v>7</v>
      </c>
      <c r="R3164">
        <v>7</v>
      </c>
      <c r="S3164">
        <v>7</v>
      </c>
      <c r="T3164">
        <v>92.941666999999995</v>
      </c>
      <c r="W3164" t="s">
        <v>497</v>
      </c>
    </row>
    <row r="3165" spans="1:23" x14ac:dyDescent="0.25">
      <c r="A3165" t="s">
        <v>3601</v>
      </c>
      <c r="B3165" t="str">
        <f t="shared" si="50"/>
        <v>GA1200002556</v>
      </c>
      <c r="C3165" t="s">
        <v>227</v>
      </c>
      <c r="D3165" t="s">
        <v>77</v>
      </c>
      <c r="E3165" t="s">
        <v>82</v>
      </c>
      <c r="F3165">
        <v>10000</v>
      </c>
      <c r="G3165" s="13">
        <v>45945</v>
      </c>
      <c r="H3165" s="13">
        <v>46087</v>
      </c>
      <c r="I3165">
        <v>9020</v>
      </c>
      <c r="J3165">
        <v>980</v>
      </c>
      <c r="K3165">
        <v>10000</v>
      </c>
      <c r="N3165">
        <v>28.571428571428569</v>
      </c>
      <c r="O3165">
        <v>6.6028000000000002</v>
      </c>
      <c r="P3165">
        <v>101.1</v>
      </c>
      <c r="Q3165">
        <v>6.5</v>
      </c>
      <c r="R3165">
        <v>6.4</v>
      </c>
      <c r="S3165">
        <v>6.5</v>
      </c>
      <c r="T3165">
        <v>97.496527999999998</v>
      </c>
      <c r="W3165" t="s">
        <v>497</v>
      </c>
    </row>
    <row r="3166" spans="1:23" x14ac:dyDescent="0.25">
      <c r="A3166" t="s">
        <v>3602</v>
      </c>
      <c r="B3166" t="str">
        <f t="shared" si="50"/>
        <v>TD1200002103</v>
      </c>
      <c r="C3166" t="s">
        <v>237</v>
      </c>
      <c r="D3166" t="s">
        <v>77</v>
      </c>
      <c r="E3166" t="s">
        <v>82</v>
      </c>
      <c r="F3166">
        <v>10000</v>
      </c>
      <c r="G3166" s="13">
        <v>45945</v>
      </c>
      <c r="H3166" s="13">
        <v>46129</v>
      </c>
      <c r="J3166">
        <v>0</v>
      </c>
      <c r="N3166">
        <v>0</v>
      </c>
      <c r="T3166" t="s">
        <v>750</v>
      </c>
      <c r="W3166" t="s">
        <v>497</v>
      </c>
    </row>
    <row r="3167" spans="1:23" x14ac:dyDescent="0.25">
      <c r="A3167" t="s">
        <v>3603</v>
      </c>
      <c r="B3167" t="str">
        <f t="shared" si="50"/>
        <v>GA1200002432</v>
      </c>
      <c r="C3167" t="s">
        <v>227</v>
      </c>
      <c r="D3167" t="s">
        <v>77</v>
      </c>
      <c r="E3167" t="s">
        <v>82</v>
      </c>
      <c r="F3167">
        <v>4000</v>
      </c>
      <c r="G3167" s="13">
        <v>45945</v>
      </c>
      <c r="H3167" s="13">
        <v>45961</v>
      </c>
      <c r="K3167">
        <v>4000</v>
      </c>
      <c r="T3167" t="s">
        <v>542</v>
      </c>
      <c r="W3167" t="s">
        <v>542</v>
      </c>
    </row>
    <row r="3168" spans="1:23" x14ac:dyDescent="0.25">
      <c r="A3168" t="s">
        <v>3604</v>
      </c>
      <c r="B3168" t="str">
        <f t="shared" si="50"/>
        <v>GA1200002499</v>
      </c>
      <c r="C3168" t="s">
        <v>227</v>
      </c>
      <c r="D3168" t="s">
        <v>77</v>
      </c>
      <c r="E3168" t="s">
        <v>82</v>
      </c>
      <c r="F3168">
        <v>4000</v>
      </c>
      <c r="G3168" s="13">
        <v>45945</v>
      </c>
      <c r="H3168" s="13">
        <v>46031</v>
      </c>
      <c r="K3168">
        <v>4000</v>
      </c>
      <c r="T3168" t="s">
        <v>542</v>
      </c>
      <c r="W3168" t="s">
        <v>542</v>
      </c>
    </row>
    <row r="3169" spans="1:23" x14ac:dyDescent="0.25">
      <c r="A3169" t="s">
        <v>3605</v>
      </c>
      <c r="B3169" t="str">
        <f t="shared" si="50"/>
        <v>GA1200002549</v>
      </c>
      <c r="C3169" t="s">
        <v>227</v>
      </c>
      <c r="D3169" t="s">
        <v>77</v>
      </c>
      <c r="E3169" t="s">
        <v>82</v>
      </c>
      <c r="F3169">
        <v>4500</v>
      </c>
      <c r="G3169" s="13">
        <v>45945</v>
      </c>
      <c r="H3169" s="13">
        <v>46311</v>
      </c>
      <c r="K3169">
        <v>4500</v>
      </c>
      <c r="T3169" t="s">
        <v>542</v>
      </c>
      <c r="W3169" t="s">
        <v>542</v>
      </c>
    </row>
    <row r="3170" spans="1:23" x14ac:dyDescent="0.25">
      <c r="A3170" t="s">
        <v>3606</v>
      </c>
      <c r="B3170" t="str">
        <f t="shared" si="50"/>
        <v>GA1300000922</v>
      </c>
      <c r="C3170" t="s">
        <v>227</v>
      </c>
      <c r="D3170" t="s">
        <v>77</v>
      </c>
      <c r="E3170" t="s">
        <v>287</v>
      </c>
      <c r="F3170">
        <v>4458</v>
      </c>
      <c r="G3170" s="13">
        <v>45945</v>
      </c>
      <c r="H3170" s="13">
        <v>46311</v>
      </c>
      <c r="K3170">
        <v>4458</v>
      </c>
      <c r="T3170" t="s">
        <v>542</v>
      </c>
      <c r="W3170" t="s">
        <v>542</v>
      </c>
    </row>
    <row r="3171" spans="1:23" x14ac:dyDescent="0.25">
      <c r="A3171" t="s">
        <v>3607</v>
      </c>
      <c r="B3171" t="str">
        <f t="shared" si="50"/>
        <v>CM1300001029</v>
      </c>
      <c r="C3171" t="s">
        <v>225</v>
      </c>
      <c r="D3171" t="s">
        <v>77</v>
      </c>
      <c r="E3171" t="s">
        <v>287</v>
      </c>
      <c r="F3171">
        <v>20000</v>
      </c>
      <c r="G3171" s="13">
        <v>45950</v>
      </c>
      <c r="H3171" s="13">
        <v>46316</v>
      </c>
      <c r="J3171">
        <v>0</v>
      </c>
      <c r="N3171">
        <v>0</v>
      </c>
      <c r="T3171" t="s">
        <v>750</v>
      </c>
      <c r="W3171" t="s">
        <v>497</v>
      </c>
    </row>
    <row r="3172" spans="1:23" x14ac:dyDescent="0.25">
      <c r="A3172" t="s">
        <v>3608</v>
      </c>
      <c r="B3172" t="str">
        <f t="shared" si="50"/>
        <v>CG1100001318</v>
      </c>
      <c r="C3172" t="s">
        <v>229</v>
      </c>
      <c r="D3172" t="s">
        <v>77</v>
      </c>
      <c r="E3172" t="s">
        <v>78</v>
      </c>
      <c r="F3172">
        <v>65000</v>
      </c>
      <c r="G3172" s="13">
        <v>45951</v>
      </c>
      <c r="H3172" s="13">
        <v>46044</v>
      </c>
      <c r="I3172">
        <v>38000</v>
      </c>
      <c r="J3172">
        <v>26263</v>
      </c>
      <c r="K3172">
        <v>64263</v>
      </c>
      <c r="N3172">
        <v>41.666666666666671</v>
      </c>
      <c r="O3172">
        <v>6.9912000000000001</v>
      </c>
      <c r="P3172">
        <v>98.866200000000006</v>
      </c>
      <c r="Q3172">
        <v>7</v>
      </c>
      <c r="R3172">
        <v>6</v>
      </c>
      <c r="S3172">
        <v>7</v>
      </c>
      <c r="T3172">
        <v>98.263475999999997</v>
      </c>
      <c r="W3172" t="s">
        <v>497</v>
      </c>
    </row>
    <row r="3173" spans="1:23" x14ac:dyDescent="0.25">
      <c r="A3173" t="s">
        <v>3609</v>
      </c>
      <c r="B3173" t="str">
        <f t="shared" si="50"/>
        <v>CG1200001747</v>
      </c>
      <c r="C3173" t="s">
        <v>229</v>
      </c>
      <c r="D3173" t="s">
        <v>77</v>
      </c>
      <c r="E3173" t="s">
        <v>82</v>
      </c>
      <c r="F3173">
        <v>30000</v>
      </c>
      <c r="G3173" s="13">
        <v>45951</v>
      </c>
      <c r="H3173" s="13">
        <v>46135</v>
      </c>
      <c r="I3173">
        <v>10721</v>
      </c>
      <c r="J3173">
        <v>955</v>
      </c>
      <c r="K3173">
        <v>11676</v>
      </c>
      <c r="N3173">
        <v>25</v>
      </c>
      <c r="O3173">
        <v>6.7377000000000002</v>
      </c>
      <c r="P3173">
        <v>38.92</v>
      </c>
      <c r="Q3173">
        <v>6.75</v>
      </c>
      <c r="R3173">
        <v>6.15</v>
      </c>
      <c r="S3173">
        <v>6.75</v>
      </c>
      <c r="T3173">
        <v>96.705931000000007</v>
      </c>
      <c r="W3173" t="s">
        <v>497</v>
      </c>
    </row>
    <row r="3174" spans="1:23" x14ac:dyDescent="0.25">
      <c r="A3174" t="s">
        <v>3610</v>
      </c>
      <c r="B3174" t="str">
        <f t="shared" si="50"/>
        <v>CG1300001019</v>
      </c>
      <c r="C3174" t="s">
        <v>229</v>
      </c>
      <c r="D3174" t="s">
        <v>77</v>
      </c>
      <c r="E3174" t="s">
        <v>287</v>
      </c>
      <c r="F3174">
        <v>170000</v>
      </c>
      <c r="G3174" s="13">
        <v>45951</v>
      </c>
      <c r="H3174" s="13">
        <v>46317</v>
      </c>
      <c r="I3174">
        <v>10005</v>
      </c>
      <c r="J3174">
        <v>42555</v>
      </c>
      <c r="K3174">
        <v>52560</v>
      </c>
      <c r="N3174">
        <v>33.333333333333329</v>
      </c>
      <c r="O3174">
        <v>7.9831000000000003</v>
      </c>
      <c r="P3174">
        <v>30.9176</v>
      </c>
      <c r="Q3174">
        <v>8</v>
      </c>
      <c r="R3174">
        <v>6.5</v>
      </c>
      <c r="S3174">
        <v>8</v>
      </c>
      <c r="T3174">
        <v>92.531080000000003</v>
      </c>
      <c r="W3174" t="s">
        <v>497</v>
      </c>
    </row>
    <row r="3175" spans="1:23" x14ac:dyDescent="0.25">
      <c r="A3175" t="s">
        <v>3611</v>
      </c>
      <c r="B3175" t="str">
        <f t="shared" si="50"/>
        <v>GQ1300001575</v>
      </c>
      <c r="C3175" t="s">
        <v>528</v>
      </c>
      <c r="D3175" t="s">
        <v>77</v>
      </c>
      <c r="E3175" t="s">
        <v>287</v>
      </c>
      <c r="F3175">
        <v>10000</v>
      </c>
      <c r="G3175" s="13">
        <v>45951</v>
      </c>
      <c r="H3175" s="13">
        <v>46317</v>
      </c>
      <c r="I3175">
        <v>5110</v>
      </c>
      <c r="J3175">
        <v>206</v>
      </c>
      <c r="K3175">
        <v>5316</v>
      </c>
      <c r="N3175">
        <v>23.076923076923077</v>
      </c>
      <c r="O3175">
        <v>7.5506000000000002</v>
      </c>
      <c r="P3175">
        <v>53.16</v>
      </c>
      <c r="Q3175">
        <v>7.1</v>
      </c>
      <c r="R3175">
        <v>5</v>
      </c>
      <c r="S3175">
        <v>7.1</v>
      </c>
      <c r="T3175">
        <v>92.907005999999996</v>
      </c>
      <c r="W3175" t="s">
        <v>497</v>
      </c>
    </row>
    <row r="3176" spans="1:23" x14ac:dyDescent="0.25">
      <c r="A3176" t="s">
        <v>3612</v>
      </c>
      <c r="B3176" t="str">
        <f t="shared" si="50"/>
        <v>GA1100002052</v>
      </c>
      <c r="C3176" t="s">
        <v>227</v>
      </c>
      <c r="D3176" t="s">
        <v>77</v>
      </c>
      <c r="E3176" t="s">
        <v>78</v>
      </c>
      <c r="F3176">
        <v>9000</v>
      </c>
      <c r="G3176" s="13">
        <v>45952</v>
      </c>
      <c r="H3176" s="13">
        <v>46045</v>
      </c>
      <c r="I3176">
        <v>8980</v>
      </c>
      <c r="J3176">
        <v>20</v>
      </c>
      <c r="K3176">
        <v>9000</v>
      </c>
      <c r="N3176">
        <v>28.571428571428569</v>
      </c>
      <c r="O3176">
        <v>6.5903999999999998</v>
      </c>
      <c r="P3176">
        <v>183</v>
      </c>
      <c r="Q3176">
        <v>6.5</v>
      </c>
      <c r="R3176">
        <v>6.1</v>
      </c>
      <c r="S3176">
        <v>7</v>
      </c>
      <c r="T3176">
        <v>98.361382000000006</v>
      </c>
      <c r="W3176" t="s">
        <v>497</v>
      </c>
    </row>
    <row r="3177" spans="1:23" x14ac:dyDescent="0.25">
      <c r="A3177" t="s">
        <v>3613</v>
      </c>
      <c r="B3177" t="str">
        <f t="shared" si="50"/>
        <v>TD1300000767</v>
      </c>
      <c r="C3177" t="s">
        <v>237</v>
      </c>
      <c r="D3177" t="s">
        <v>77</v>
      </c>
      <c r="E3177" t="s">
        <v>287</v>
      </c>
      <c r="F3177">
        <v>10000</v>
      </c>
      <c r="G3177" s="13">
        <v>45952</v>
      </c>
      <c r="H3177" s="13">
        <v>46318</v>
      </c>
      <c r="J3177">
        <v>0</v>
      </c>
      <c r="N3177">
        <v>0</v>
      </c>
      <c r="T3177" t="s">
        <v>750</v>
      </c>
      <c r="W3177" t="s">
        <v>497</v>
      </c>
    </row>
    <row r="3178" spans="1:23" x14ac:dyDescent="0.25">
      <c r="A3178" t="s">
        <v>3614</v>
      </c>
      <c r="B3178" t="str">
        <f t="shared" si="50"/>
        <v>CM1200002127</v>
      </c>
      <c r="C3178" t="s">
        <v>225</v>
      </c>
      <c r="D3178" t="s">
        <v>77</v>
      </c>
      <c r="E3178" t="s">
        <v>82</v>
      </c>
      <c r="F3178">
        <v>30000</v>
      </c>
      <c r="G3178" s="13">
        <v>45957</v>
      </c>
      <c r="H3178" s="13">
        <v>46141</v>
      </c>
      <c r="I3178">
        <v>6000</v>
      </c>
      <c r="J3178">
        <v>0</v>
      </c>
      <c r="K3178">
        <v>6000</v>
      </c>
      <c r="N3178">
        <v>9.0909090909090917</v>
      </c>
      <c r="O3178">
        <v>6.8813000000000004</v>
      </c>
      <c r="P3178">
        <v>20</v>
      </c>
      <c r="Q3178">
        <v>6.8</v>
      </c>
      <c r="R3178">
        <v>6.5</v>
      </c>
      <c r="S3178">
        <v>6.8</v>
      </c>
      <c r="T3178">
        <v>96.638056000000006</v>
      </c>
      <c r="W3178" t="s">
        <v>497</v>
      </c>
    </row>
    <row r="3179" spans="1:23" x14ac:dyDescent="0.25">
      <c r="A3179" t="s">
        <v>3615</v>
      </c>
      <c r="B3179" t="str">
        <f t="shared" si="50"/>
        <v>CM1300001037</v>
      </c>
      <c r="C3179" t="s">
        <v>225</v>
      </c>
      <c r="D3179" t="s">
        <v>77</v>
      </c>
      <c r="E3179" t="s">
        <v>287</v>
      </c>
      <c r="F3179">
        <v>15000</v>
      </c>
      <c r="G3179" s="13">
        <v>45957</v>
      </c>
      <c r="H3179" s="13">
        <v>46323</v>
      </c>
      <c r="I3179">
        <v>7300</v>
      </c>
      <c r="J3179">
        <v>0</v>
      </c>
      <c r="K3179">
        <v>7300</v>
      </c>
      <c r="N3179">
        <v>9.0909090909090917</v>
      </c>
      <c r="O3179">
        <v>7.2443999999999997</v>
      </c>
      <c r="P3179">
        <v>48.666699999999999</v>
      </c>
      <c r="Q3179">
        <v>6.75</v>
      </c>
      <c r="R3179">
        <v>6.75</v>
      </c>
      <c r="S3179">
        <v>6.75</v>
      </c>
      <c r="T3179">
        <v>93.174999999999997</v>
      </c>
      <c r="W3179" t="s">
        <v>497</v>
      </c>
    </row>
    <row r="3180" spans="1:23" x14ac:dyDescent="0.25">
      <c r="A3180" t="s">
        <v>3616</v>
      </c>
      <c r="B3180" t="str">
        <f t="shared" si="50"/>
        <v>CG1100001326</v>
      </c>
      <c r="C3180" t="s">
        <v>229</v>
      </c>
      <c r="D3180" t="s">
        <v>77</v>
      </c>
      <c r="E3180" t="s">
        <v>78</v>
      </c>
      <c r="F3180">
        <v>40000</v>
      </c>
      <c r="G3180" s="13">
        <v>45958</v>
      </c>
      <c r="H3180" s="13">
        <v>46051</v>
      </c>
      <c r="I3180">
        <v>44</v>
      </c>
      <c r="J3180">
        <v>7131</v>
      </c>
      <c r="K3180">
        <v>7175</v>
      </c>
      <c r="N3180">
        <v>20.833333333333336</v>
      </c>
      <c r="O3180">
        <v>7.0797999999999996</v>
      </c>
      <c r="P3180">
        <v>17.9375</v>
      </c>
      <c r="Q3180">
        <v>7.5</v>
      </c>
      <c r="R3180">
        <v>6</v>
      </c>
      <c r="S3180">
        <v>7.5</v>
      </c>
      <c r="T3180">
        <v>98.241854000000004</v>
      </c>
      <c r="W3180" t="s">
        <v>497</v>
      </c>
    </row>
    <row r="3181" spans="1:23" x14ac:dyDescent="0.25">
      <c r="A3181" t="s">
        <v>3617</v>
      </c>
      <c r="B3181" t="str">
        <f t="shared" si="50"/>
        <v>CG1200001754</v>
      </c>
      <c r="C3181" t="s">
        <v>229</v>
      </c>
      <c r="D3181" t="s">
        <v>77</v>
      </c>
      <c r="E3181" t="s">
        <v>82</v>
      </c>
      <c r="F3181">
        <v>10000</v>
      </c>
      <c r="G3181" s="13">
        <v>45958</v>
      </c>
      <c r="H3181" s="13">
        <v>46142</v>
      </c>
      <c r="I3181">
        <v>1200</v>
      </c>
      <c r="J3181">
        <v>885</v>
      </c>
      <c r="K3181">
        <v>2085</v>
      </c>
      <c r="N3181">
        <v>12.5</v>
      </c>
      <c r="O3181">
        <v>6.8644999999999996</v>
      </c>
      <c r="P3181">
        <v>20.85</v>
      </c>
      <c r="Q3181">
        <v>6.74</v>
      </c>
      <c r="R3181">
        <v>6.5</v>
      </c>
      <c r="S3181">
        <v>6.74</v>
      </c>
      <c r="T3181">
        <v>96.645996999999994</v>
      </c>
      <c r="W3181" t="s">
        <v>497</v>
      </c>
    </row>
    <row r="3182" spans="1:23" x14ac:dyDescent="0.25">
      <c r="A3182" t="s">
        <v>3618</v>
      </c>
      <c r="B3182" t="str">
        <f t="shared" si="50"/>
        <v>CG1300001027</v>
      </c>
      <c r="C3182" t="s">
        <v>229</v>
      </c>
      <c r="D3182" t="s">
        <v>77</v>
      </c>
      <c r="E3182" t="s">
        <v>287</v>
      </c>
      <c r="F3182">
        <v>45000</v>
      </c>
      <c r="G3182" s="13">
        <v>45958</v>
      </c>
      <c r="H3182" s="13">
        <v>46324</v>
      </c>
      <c r="I3182">
        <v>22550</v>
      </c>
      <c r="J3182">
        <v>280</v>
      </c>
      <c r="K3182">
        <v>22830</v>
      </c>
      <c r="N3182">
        <v>20.833333333333336</v>
      </c>
      <c r="O3182">
        <v>7.4634999999999998</v>
      </c>
      <c r="P3182">
        <v>50.7333</v>
      </c>
      <c r="Q3182">
        <v>7.5</v>
      </c>
      <c r="R3182">
        <v>6.5</v>
      </c>
      <c r="S3182">
        <v>7.5</v>
      </c>
      <c r="T3182">
        <v>92.983120999999997</v>
      </c>
      <c r="W3182" t="s">
        <v>497</v>
      </c>
    </row>
    <row r="3183" spans="1:23" x14ac:dyDescent="0.25">
      <c r="A3183" t="s">
        <v>3619</v>
      </c>
      <c r="B3183" t="str">
        <f t="shared" si="50"/>
        <v>GA1300000930</v>
      </c>
      <c r="C3183" t="s">
        <v>227</v>
      </c>
      <c r="D3183" t="s">
        <v>77</v>
      </c>
      <c r="E3183" t="s">
        <v>287</v>
      </c>
      <c r="F3183">
        <v>7500</v>
      </c>
      <c r="G3183" s="13">
        <v>45959</v>
      </c>
      <c r="H3183" s="13">
        <v>46325</v>
      </c>
      <c r="J3183">
        <v>0</v>
      </c>
      <c r="N3183">
        <v>0</v>
      </c>
      <c r="T3183" t="s">
        <v>1418</v>
      </c>
      <c r="W3183" t="s">
        <v>497</v>
      </c>
    </row>
    <row r="3184" spans="1:23" x14ac:dyDescent="0.25">
      <c r="A3184" t="s">
        <v>3620</v>
      </c>
      <c r="B3184" t="str">
        <f t="shared" si="50"/>
        <v>CM1300001045</v>
      </c>
      <c r="C3184" t="s">
        <v>225</v>
      </c>
      <c r="D3184" t="s">
        <v>77</v>
      </c>
      <c r="E3184" t="s">
        <v>287</v>
      </c>
      <c r="F3184">
        <v>10000</v>
      </c>
      <c r="G3184" s="13">
        <v>45964</v>
      </c>
      <c r="H3184" s="13">
        <v>46330</v>
      </c>
      <c r="J3184">
        <v>0</v>
      </c>
      <c r="N3184">
        <v>0</v>
      </c>
      <c r="T3184" t="s">
        <v>1418</v>
      </c>
      <c r="W3184" t="s">
        <v>497</v>
      </c>
    </row>
    <row r="3185" spans="1:23" x14ac:dyDescent="0.25">
      <c r="A3185" t="s">
        <v>3621</v>
      </c>
      <c r="B3185" t="str">
        <f t="shared" si="50"/>
        <v>CG1100001334</v>
      </c>
      <c r="C3185" t="s">
        <v>229</v>
      </c>
      <c r="D3185" t="s">
        <v>77</v>
      </c>
      <c r="E3185" t="s">
        <v>78</v>
      </c>
      <c r="F3185">
        <v>20000</v>
      </c>
      <c r="G3185" s="13">
        <v>45965</v>
      </c>
      <c r="H3185" s="13">
        <v>46058</v>
      </c>
      <c r="J3185">
        <v>0</v>
      </c>
      <c r="N3185">
        <v>0</v>
      </c>
      <c r="T3185" t="s">
        <v>1418</v>
      </c>
      <c r="W3185" t="s">
        <v>497</v>
      </c>
    </row>
    <row r="3186" spans="1:23" x14ac:dyDescent="0.25">
      <c r="A3186" t="s">
        <v>3622</v>
      </c>
      <c r="B3186" t="str">
        <f t="shared" si="50"/>
        <v>CG1200001762</v>
      </c>
      <c r="C3186" t="s">
        <v>229</v>
      </c>
      <c r="D3186" t="s">
        <v>77</v>
      </c>
      <c r="E3186" t="s">
        <v>82</v>
      </c>
      <c r="F3186">
        <v>15000</v>
      </c>
      <c r="G3186" s="13">
        <v>45965</v>
      </c>
      <c r="H3186" s="13">
        <v>46149</v>
      </c>
      <c r="J3186">
        <v>0</v>
      </c>
      <c r="N3186">
        <v>0</v>
      </c>
      <c r="T3186" t="s">
        <v>1418</v>
      </c>
      <c r="W3186" t="s">
        <v>497</v>
      </c>
    </row>
    <row r="3187" spans="1:23" x14ac:dyDescent="0.25">
      <c r="A3187" t="s">
        <v>3623</v>
      </c>
      <c r="B3187" t="str">
        <f t="shared" si="50"/>
        <v>CG1300001035</v>
      </c>
      <c r="C3187" t="s">
        <v>229</v>
      </c>
      <c r="D3187" t="s">
        <v>77</v>
      </c>
      <c r="E3187" t="s">
        <v>287</v>
      </c>
      <c r="F3187">
        <v>5000</v>
      </c>
      <c r="G3187" s="13">
        <v>45965</v>
      </c>
      <c r="H3187" s="13">
        <v>46331</v>
      </c>
      <c r="I3187">
        <v>4900</v>
      </c>
      <c r="J3187">
        <v>100</v>
      </c>
      <c r="K3187">
        <v>5000</v>
      </c>
      <c r="N3187">
        <v>12.5</v>
      </c>
      <c r="O3187">
        <v>7.5251999999999999</v>
      </c>
      <c r="P3187">
        <v>135.88</v>
      </c>
      <c r="Q3187">
        <v>7</v>
      </c>
      <c r="R3187">
        <v>6.5</v>
      </c>
      <c r="S3187">
        <v>7</v>
      </c>
      <c r="T3187">
        <v>92.929198999999997</v>
      </c>
      <c r="W3187" t="s">
        <v>497</v>
      </c>
    </row>
    <row r="3188" spans="1:23" x14ac:dyDescent="0.25">
      <c r="A3188" t="s">
        <v>3624</v>
      </c>
      <c r="B3188" t="str">
        <f t="shared" si="50"/>
        <v>CG1300001035</v>
      </c>
      <c r="C3188" t="s">
        <v>229</v>
      </c>
      <c r="D3188" t="s">
        <v>77</v>
      </c>
      <c r="E3188" t="s">
        <v>287</v>
      </c>
      <c r="F3188">
        <v>2500</v>
      </c>
      <c r="G3188" s="13">
        <v>45965</v>
      </c>
      <c r="H3188" s="13">
        <v>46331</v>
      </c>
      <c r="I3188">
        <v>1967</v>
      </c>
      <c r="J3188">
        <v>0</v>
      </c>
      <c r="K3188">
        <v>1967</v>
      </c>
      <c r="N3188">
        <v>8.3333333333333321</v>
      </c>
      <c r="O3188">
        <v>7.5251999999999999</v>
      </c>
      <c r="P3188">
        <v>78.680000000000007</v>
      </c>
      <c r="Q3188">
        <v>7.5251999999999999</v>
      </c>
      <c r="R3188">
        <v>7.5251999999999999</v>
      </c>
      <c r="S3188">
        <v>7.5251999999999999</v>
      </c>
      <c r="T3188">
        <v>92.929198999999997</v>
      </c>
      <c r="W3188" t="s">
        <v>1547</v>
      </c>
    </row>
    <row r="3189" spans="1:23" x14ac:dyDescent="0.25">
      <c r="A3189" t="s">
        <v>3625</v>
      </c>
      <c r="B3189" t="str">
        <f t="shared" si="50"/>
        <v>GQ1300001583</v>
      </c>
      <c r="C3189" t="s">
        <v>528</v>
      </c>
      <c r="D3189" t="s">
        <v>77</v>
      </c>
      <c r="E3189" t="s">
        <v>287</v>
      </c>
      <c r="F3189">
        <v>20000</v>
      </c>
      <c r="G3189" s="13">
        <v>45965</v>
      </c>
      <c r="H3189" s="13">
        <v>46331</v>
      </c>
      <c r="I3189">
        <v>9000</v>
      </c>
      <c r="J3189">
        <v>47</v>
      </c>
      <c r="K3189">
        <v>9047</v>
      </c>
      <c r="N3189">
        <v>30.76923076923077</v>
      </c>
      <c r="O3189">
        <v>8.1966000000000001</v>
      </c>
      <c r="P3189">
        <v>45.234999999999999</v>
      </c>
      <c r="Q3189">
        <v>8</v>
      </c>
      <c r="R3189">
        <v>7</v>
      </c>
      <c r="S3189">
        <v>8</v>
      </c>
      <c r="T3189">
        <v>92.346648000000002</v>
      </c>
      <c r="W3189" t="s">
        <v>497</v>
      </c>
    </row>
    <row r="3190" spans="1:23" x14ac:dyDescent="0.25">
      <c r="A3190" t="s">
        <v>3626</v>
      </c>
      <c r="B3190" t="str">
        <f t="shared" si="50"/>
        <v>GA1200002598</v>
      </c>
      <c r="C3190" t="s">
        <v>227</v>
      </c>
      <c r="D3190" t="s">
        <v>77</v>
      </c>
      <c r="E3190" t="s">
        <v>82</v>
      </c>
      <c r="F3190">
        <v>10000</v>
      </c>
      <c r="G3190" s="13">
        <v>45966</v>
      </c>
      <c r="H3190" s="13">
        <v>46150</v>
      </c>
      <c r="I3190">
        <v>2600</v>
      </c>
      <c r="J3190">
        <v>975</v>
      </c>
      <c r="K3190">
        <v>3575</v>
      </c>
      <c r="N3190">
        <v>38.095238095238095</v>
      </c>
      <c r="O3190">
        <v>6.6871</v>
      </c>
      <c r="P3190">
        <v>36.25</v>
      </c>
      <c r="Q3190">
        <v>6.5</v>
      </c>
      <c r="R3190">
        <v>6.3</v>
      </c>
      <c r="S3190">
        <v>6.55</v>
      </c>
      <c r="T3190">
        <v>96.729868999999994</v>
      </c>
      <c r="W3190" t="s">
        <v>497</v>
      </c>
    </row>
    <row r="3191" spans="1:23" x14ac:dyDescent="0.25">
      <c r="A3191" t="s">
        <v>3627</v>
      </c>
      <c r="B3191" t="str">
        <f t="shared" si="50"/>
        <v>TD1200002111</v>
      </c>
      <c r="C3191" t="s">
        <v>237</v>
      </c>
      <c r="D3191" t="s">
        <v>77</v>
      </c>
      <c r="E3191" t="s">
        <v>82</v>
      </c>
      <c r="F3191">
        <v>6000</v>
      </c>
      <c r="G3191" s="13">
        <v>45966</v>
      </c>
      <c r="H3191" s="13">
        <v>46150</v>
      </c>
      <c r="I3191">
        <v>6000</v>
      </c>
      <c r="J3191">
        <v>0</v>
      </c>
      <c r="K3191">
        <v>6000</v>
      </c>
      <c r="N3191">
        <v>8.3333333333333321</v>
      </c>
      <c r="O3191">
        <v>6.8277999999999999</v>
      </c>
      <c r="P3191">
        <v>100</v>
      </c>
      <c r="Q3191">
        <v>6.6</v>
      </c>
      <c r="R3191">
        <v>6.6</v>
      </c>
      <c r="S3191">
        <v>6.6</v>
      </c>
      <c r="T3191">
        <v>96.663332999999994</v>
      </c>
      <c r="W3191" t="s">
        <v>497</v>
      </c>
    </row>
    <row r="3192" spans="1:23" x14ac:dyDescent="0.25">
      <c r="A3192" t="s">
        <v>3628</v>
      </c>
      <c r="B3192" t="str">
        <f t="shared" si="50"/>
        <v>TD1300000775</v>
      </c>
      <c r="C3192" t="s">
        <v>237</v>
      </c>
      <c r="D3192" t="s">
        <v>77</v>
      </c>
      <c r="E3192" t="s">
        <v>287</v>
      </c>
      <c r="F3192">
        <v>6000</v>
      </c>
      <c r="G3192" s="13">
        <v>45966</v>
      </c>
      <c r="H3192" s="13">
        <v>46332</v>
      </c>
      <c r="I3192">
        <v>6000</v>
      </c>
      <c r="J3192">
        <v>0</v>
      </c>
      <c r="K3192">
        <v>6000</v>
      </c>
      <c r="N3192">
        <v>8.3333333333333321</v>
      </c>
      <c r="O3192">
        <v>7.3021000000000003</v>
      </c>
      <c r="P3192">
        <v>100</v>
      </c>
      <c r="Q3192">
        <v>6.8</v>
      </c>
      <c r="R3192">
        <v>6.8</v>
      </c>
      <c r="S3192">
        <v>6.8</v>
      </c>
      <c r="T3192">
        <v>93.124443999999997</v>
      </c>
      <c r="W3192" t="s">
        <v>497</v>
      </c>
    </row>
    <row r="3193" spans="1:23" x14ac:dyDescent="0.25">
      <c r="A3193" t="s">
        <v>3629</v>
      </c>
      <c r="B3193" t="str">
        <f t="shared" si="50"/>
        <v>CM1200002135</v>
      </c>
      <c r="C3193" t="s">
        <v>225</v>
      </c>
      <c r="D3193" t="s">
        <v>77</v>
      </c>
      <c r="E3193" t="s">
        <v>82</v>
      </c>
      <c r="F3193">
        <v>15000</v>
      </c>
      <c r="G3193" s="13">
        <v>45971</v>
      </c>
      <c r="H3193" s="13">
        <v>46155</v>
      </c>
      <c r="I3193">
        <v>5000</v>
      </c>
      <c r="J3193">
        <v>750</v>
      </c>
      <c r="K3193">
        <v>5750</v>
      </c>
      <c r="N3193">
        <v>13.636363636363635</v>
      </c>
      <c r="O3193">
        <v>6.8604000000000003</v>
      </c>
      <c r="P3193">
        <v>38.4</v>
      </c>
      <c r="Q3193">
        <v>6.65</v>
      </c>
      <c r="R3193">
        <v>6.5</v>
      </c>
      <c r="S3193">
        <v>7</v>
      </c>
      <c r="T3193">
        <v>96.647947000000002</v>
      </c>
      <c r="W3193" t="s">
        <v>497</v>
      </c>
    </row>
    <row r="3194" spans="1:23" x14ac:dyDescent="0.25">
      <c r="A3194" t="s">
        <v>3630</v>
      </c>
      <c r="B3194" t="str">
        <f t="shared" si="50"/>
        <v>CM1300001052</v>
      </c>
      <c r="C3194" t="s">
        <v>225</v>
      </c>
      <c r="D3194" t="s">
        <v>77</v>
      </c>
      <c r="E3194" t="s">
        <v>287</v>
      </c>
      <c r="F3194">
        <v>20000</v>
      </c>
      <c r="G3194" s="13">
        <v>45971</v>
      </c>
      <c r="H3194" s="13">
        <v>46337</v>
      </c>
      <c r="I3194">
        <v>5937</v>
      </c>
      <c r="J3194">
        <v>0</v>
      </c>
      <c r="K3194">
        <v>5937</v>
      </c>
      <c r="N3194">
        <v>31.818181818181817</v>
      </c>
      <c r="O3194">
        <v>7.2789999999999999</v>
      </c>
      <c r="P3194">
        <v>29.734999999999999</v>
      </c>
      <c r="Q3194">
        <v>6.8</v>
      </c>
      <c r="R3194">
        <v>6.2</v>
      </c>
      <c r="S3194">
        <v>7</v>
      </c>
      <c r="T3194">
        <v>93.144643000000002</v>
      </c>
      <c r="W3194" t="s">
        <v>497</v>
      </c>
    </row>
    <row r="3195" spans="1:23" x14ac:dyDescent="0.25">
      <c r="A3195" t="s">
        <v>3631</v>
      </c>
      <c r="B3195" t="str">
        <f t="shared" si="50"/>
        <v>CG1100001342</v>
      </c>
      <c r="C3195" t="s">
        <v>229</v>
      </c>
      <c r="D3195" t="s">
        <v>77</v>
      </c>
      <c r="E3195" t="s">
        <v>78</v>
      </c>
      <c r="F3195">
        <v>30000</v>
      </c>
      <c r="G3195" s="13">
        <v>45972</v>
      </c>
      <c r="H3195" s="13">
        <v>46065</v>
      </c>
      <c r="I3195">
        <v>5000</v>
      </c>
      <c r="J3195">
        <v>10578</v>
      </c>
      <c r="K3195">
        <v>15578</v>
      </c>
      <c r="N3195">
        <v>20.833333333333336</v>
      </c>
      <c r="O3195">
        <v>6.9709000000000003</v>
      </c>
      <c r="P3195">
        <v>51.926699999999997</v>
      </c>
      <c r="Q3195">
        <v>7</v>
      </c>
      <c r="R3195">
        <v>6</v>
      </c>
      <c r="S3195">
        <v>7</v>
      </c>
      <c r="T3195">
        <v>98.268423999999996</v>
      </c>
      <c r="W3195" t="s">
        <v>497</v>
      </c>
    </row>
    <row r="3196" spans="1:23" x14ac:dyDescent="0.25">
      <c r="A3196" t="s">
        <v>3632</v>
      </c>
      <c r="B3196" t="str">
        <f t="shared" si="50"/>
        <v>CG1300001043</v>
      </c>
      <c r="C3196" t="s">
        <v>229</v>
      </c>
      <c r="D3196" t="s">
        <v>77</v>
      </c>
      <c r="E3196" t="s">
        <v>287</v>
      </c>
      <c r="F3196">
        <v>20000</v>
      </c>
      <c r="G3196" s="13">
        <v>45972</v>
      </c>
      <c r="H3196" s="13">
        <v>46338</v>
      </c>
      <c r="I3196">
        <v>300</v>
      </c>
      <c r="J3196">
        <v>2374</v>
      </c>
      <c r="K3196">
        <v>2674</v>
      </c>
      <c r="N3196">
        <v>25</v>
      </c>
      <c r="O3196">
        <v>7.4109999999999996</v>
      </c>
      <c r="P3196">
        <v>13.37</v>
      </c>
      <c r="Q3196">
        <v>7</v>
      </c>
      <c r="R3196">
        <v>6.4</v>
      </c>
      <c r="S3196">
        <v>7</v>
      </c>
      <c r="T3196">
        <v>93.029043000000001</v>
      </c>
      <c r="W3196" t="s">
        <v>497</v>
      </c>
    </row>
    <row r="3197" spans="1:23" x14ac:dyDescent="0.25">
      <c r="A3197" t="s">
        <v>3633</v>
      </c>
      <c r="B3197" t="str">
        <f t="shared" si="50"/>
        <v>GA1100002060</v>
      </c>
      <c r="C3197" t="s">
        <v>227</v>
      </c>
      <c r="D3197" t="s">
        <v>77</v>
      </c>
      <c r="E3197" t="s">
        <v>78</v>
      </c>
      <c r="F3197">
        <v>10000</v>
      </c>
      <c r="G3197" s="13">
        <v>45973</v>
      </c>
      <c r="H3197" s="13">
        <v>46066</v>
      </c>
      <c r="I3197">
        <v>1405</v>
      </c>
      <c r="J3197">
        <v>882</v>
      </c>
      <c r="K3197">
        <v>2287</v>
      </c>
      <c r="N3197">
        <v>33.333333333333329</v>
      </c>
      <c r="O3197">
        <v>6.4558</v>
      </c>
      <c r="P3197">
        <v>23.22</v>
      </c>
      <c r="Q3197">
        <v>6.5</v>
      </c>
      <c r="R3197">
        <v>6</v>
      </c>
      <c r="S3197">
        <v>6.75</v>
      </c>
      <c r="T3197">
        <v>98.394330999999994</v>
      </c>
      <c r="W3197" t="s">
        <v>497</v>
      </c>
    </row>
    <row r="3198" spans="1:23" x14ac:dyDescent="0.25">
      <c r="A3198" t="s">
        <v>3634</v>
      </c>
      <c r="B3198" t="str">
        <f t="shared" si="50"/>
        <v>CM1200002143</v>
      </c>
      <c r="C3198" t="s">
        <v>225</v>
      </c>
      <c r="D3198" t="s">
        <v>77</v>
      </c>
      <c r="E3198" t="s">
        <v>82</v>
      </c>
      <c r="F3198">
        <v>15000</v>
      </c>
      <c r="G3198" s="13">
        <v>45978</v>
      </c>
      <c r="H3198" s="13">
        <v>46162</v>
      </c>
      <c r="I3198">
        <v>2050</v>
      </c>
      <c r="J3198">
        <v>20</v>
      </c>
      <c r="K3198">
        <v>2070</v>
      </c>
      <c r="N3198">
        <v>22.727272727272727</v>
      </c>
      <c r="O3198">
        <v>6.7931999999999997</v>
      </c>
      <c r="P3198">
        <v>14.666700000000001</v>
      </c>
      <c r="Q3198">
        <v>6.65</v>
      </c>
      <c r="R3198">
        <v>6.4</v>
      </c>
      <c r="S3198">
        <v>7</v>
      </c>
      <c r="T3198">
        <v>96.679697000000004</v>
      </c>
      <c r="W3198" t="s">
        <v>497</v>
      </c>
    </row>
    <row r="3199" spans="1:23" x14ac:dyDescent="0.25">
      <c r="A3199" t="s">
        <v>3635</v>
      </c>
      <c r="B3199" t="str">
        <f t="shared" si="50"/>
        <v>CM1300001060</v>
      </c>
      <c r="C3199" t="s">
        <v>225</v>
      </c>
      <c r="D3199" t="s">
        <v>77</v>
      </c>
      <c r="E3199" t="s">
        <v>287</v>
      </c>
      <c r="F3199">
        <v>15000</v>
      </c>
      <c r="G3199" s="13">
        <v>45978</v>
      </c>
      <c r="H3199" s="13">
        <v>46344</v>
      </c>
      <c r="J3199">
        <v>0</v>
      </c>
      <c r="N3199">
        <v>0</v>
      </c>
      <c r="T3199" t="s">
        <v>1418</v>
      </c>
      <c r="W3199" t="s">
        <v>497</v>
      </c>
    </row>
    <row r="3200" spans="1:23" x14ac:dyDescent="0.25">
      <c r="A3200" t="s">
        <v>3636</v>
      </c>
      <c r="B3200" t="str">
        <f t="shared" si="50"/>
        <v>CF1300000061</v>
      </c>
      <c r="C3200" t="s">
        <v>2406</v>
      </c>
      <c r="D3200" t="s">
        <v>77</v>
      </c>
      <c r="E3200" t="s">
        <v>287</v>
      </c>
      <c r="G3200" s="13">
        <v>45978</v>
      </c>
      <c r="H3200" s="13">
        <v>45980</v>
      </c>
      <c r="J3200">
        <v>0</v>
      </c>
      <c r="N3200">
        <v>0</v>
      </c>
      <c r="T3200" t="s">
        <v>1418</v>
      </c>
      <c r="W3200" t="s">
        <v>681</v>
      </c>
    </row>
    <row r="3201" spans="1:23" x14ac:dyDescent="0.25">
      <c r="A3201" t="s">
        <v>3637</v>
      </c>
      <c r="B3201" t="str">
        <f t="shared" si="50"/>
        <v>CF1300000079</v>
      </c>
      <c r="C3201" t="s">
        <v>2406</v>
      </c>
      <c r="D3201" t="s">
        <v>77</v>
      </c>
      <c r="E3201" t="s">
        <v>287</v>
      </c>
      <c r="F3201">
        <v>1000</v>
      </c>
      <c r="G3201" s="13">
        <v>45978</v>
      </c>
      <c r="H3201" s="13">
        <v>46043</v>
      </c>
      <c r="I3201">
        <v>1000</v>
      </c>
      <c r="J3201">
        <v>0</v>
      </c>
      <c r="K3201">
        <v>1000</v>
      </c>
      <c r="N3201">
        <v>11.111111111111111</v>
      </c>
      <c r="O3201">
        <v>5.0441000000000003</v>
      </c>
      <c r="P3201">
        <v>100</v>
      </c>
      <c r="Q3201">
        <v>5</v>
      </c>
      <c r="R3201">
        <v>5</v>
      </c>
      <c r="S3201">
        <v>5</v>
      </c>
      <c r="T3201">
        <v>99.125</v>
      </c>
      <c r="W3201" t="s">
        <v>681</v>
      </c>
    </row>
    <row r="3202" spans="1:23" x14ac:dyDescent="0.25">
      <c r="A3202" t="s">
        <v>3638</v>
      </c>
      <c r="B3202" t="str">
        <f t="shared" si="50"/>
        <v>CG1100001359</v>
      </c>
      <c r="C3202" t="s">
        <v>229</v>
      </c>
      <c r="D3202" t="s">
        <v>77</v>
      </c>
      <c r="E3202" t="s">
        <v>78</v>
      </c>
      <c r="F3202">
        <v>15000</v>
      </c>
      <c r="G3202" s="13">
        <v>45979</v>
      </c>
      <c r="H3202" s="13">
        <v>46072</v>
      </c>
      <c r="I3202">
        <v>4000</v>
      </c>
      <c r="J3202">
        <v>380</v>
      </c>
      <c r="K3202">
        <v>4380</v>
      </c>
      <c r="N3202">
        <v>20.833333333333336</v>
      </c>
      <c r="O3202">
        <v>6.9832999999999998</v>
      </c>
      <c r="P3202">
        <v>31.2</v>
      </c>
      <c r="Q3202">
        <v>6.9</v>
      </c>
      <c r="R3202">
        <v>6</v>
      </c>
      <c r="S3202">
        <v>7.5</v>
      </c>
      <c r="T3202">
        <v>98.265384999999995</v>
      </c>
      <c r="W3202" t="s">
        <v>497</v>
      </c>
    </row>
    <row r="3203" spans="1:23" x14ac:dyDescent="0.25">
      <c r="A3203" t="s">
        <v>3639</v>
      </c>
      <c r="B3203" t="str">
        <f t="shared" si="50"/>
        <v>CG1200001770</v>
      </c>
      <c r="C3203" t="s">
        <v>229</v>
      </c>
      <c r="D3203" t="s">
        <v>77</v>
      </c>
      <c r="E3203" t="s">
        <v>82</v>
      </c>
      <c r="F3203">
        <v>5000</v>
      </c>
      <c r="G3203" s="13">
        <v>45979</v>
      </c>
      <c r="H3203" s="13">
        <v>46163</v>
      </c>
      <c r="I3203">
        <v>1263</v>
      </c>
      <c r="J3203">
        <v>3737</v>
      </c>
      <c r="K3203">
        <v>5000</v>
      </c>
      <c r="N3203">
        <v>16.666666666666664</v>
      </c>
      <c r="O3203">
        <v>7.1444000000000001</v>
      </c>
      <c r="P3203">
        <v>125.86</v>
      </c>
      <c r="Q3203">
        <v>7</v>
      </c>
      <c r="R3203">
        <v>6.2</v>
      </c>
      <c r="S3203">
        <v>7</v>
      </c>
      <c r="T3203">
        <v>96.514031000000003</v>
      </c>
      <c r="W3203" t="s">
        <v>497</v>
      </c>
    </row>
    <row r="3204" spans="1:23" x14ac:dyDescent="0.25">
      <c r="A3204" t="s">
        <v>3640</v>
      </c>
      <c r="B3204" t="str">
        <f t="shared" si="50"/>
        <v>CG1200001788</v>
      </c>
      <c r="C3204" t="s">
        <v>229</v>
      </c>
      <c r="D3204" t="s">
        <v>77</v>
      </c>
      <c r="E3204" t="s">
        <v>82</v>
      </c>
      <c r="F3204">
        <v>10000</v>
      </c>
      <c r="G3204" s="13">
        <v>45979</v>
      </c>
      <c r="H3204" s="13">
        <v>46163</v>
      </c>
      <c r="T3204" t="s">
        <v>1418</v>
      </c>
      <c r="W3204" t="s">
        <v>497</v>
      </c>
    </row>
    <row r="3205" spans="1:23" x14ac:dyDescent="0.25">
      <c r="A3205" t="s">
        <v>3641</v>
      </c>
      <c r="B3205" t="str">
        <f t="shared" si="50"/>
        <v>CG1300001050</v>
      </c>
      <c r="C3205" t="s">
        <v>229</v>
      </c>
      <c r="D3205" t="s">
        <v>77</v>
      </c>
      <c r="E3205" t="s">
        <v>287</v>
      </c>
      <c r="F3205">
        <v>20000</v>
      </c>
      <c r="G3205" s="13">
        <v>45979</v>
      </c>
      <c r="H3205" s="13">
        <v>46345</v>
      </c>
      <c r="I3205">
        <v>5987</v>
      </c>
      <c r="J3205">
        <v>4356</v>
      </c>
      <c r="K3205">
        <v>10343</v>
      </c>
      <c r="N3205">
        <v>20.833333333333336</v>
      </c>
      <c r="O3205">
        <v>7.4984999999999999</v>
      </c>
      <c r="P3205">
        <v>51.715000000000003</v>
      </c>
      <c r="Q3205">
        <v>7</v>
      </c>
      <c r="R3205">
        <v>6</v>
      </c>
      <c r="S3205">
        <v>7</v>
      </c>
      <c r="T3205">
        <v>92.952527000000003</v>
      </c>
      <c r="W3205" t="s">
        <v>497</v>
      </c>
    </row>
    <row r="3206" spans="1:23" x14ac:dyDescent="0.25">
      <c r="A3206" t="s">
        <v>3642</v>
      </c>
      <c r="B3206" t="str">
        <f t="shared" si="50"/>
        <v>GA1100002060</v>
      </c>
      <c r="C3206" t="s">
        <v>227</v>
      </c>
      <c r="D3206" t="s">
        <v>77</v>
      </c>
      <c r="E3206" t="s">
        <v>78</v>
      </c>
      <c r="F3206">
        <v>6000</v>
      </c>
      <c r="G3206" s="13">
        <v>45980</v>
      </c>
      <c r="H3206" s="13">
        <v>46066</v>
      </c>
      <c r="I3206">
        <v>50</v>
      </c>
      <c r="J3206">
        <v>5708</v>
      </c>
      <c r="K3206">
        <v>5758</v>
      </c>
      <c r="N3206">
        <v>14.285714285714285</v>
      </c>
      <c r="O3206">
        <v>6.3761999999999999</v>
      </c>
      <c r="P3206">
        <v>95.966700000000003</v>
      </c>
      <c r="Q3206">
        <v>6.5</v>
      </c>
      <c r="R3206">
        <v>6.25</v>
      </c>
      <c r="S3206">
        <v>6.5</v>
      </c>
      <c r="T3206">
        <v>98.534036</v>
      </c>
      <c r="W3206" t="s">
        <v>497</v>
      </c>
    </row>
    <row r="3207" spans="1:23" x14ac:dyDescent="0.25">
      <c r="A3207" t="s">
        <v>3643</v>
      </c>
      <c r="B3207" t="str">
        <f t="shared" si="50"/>
        <v>GA1300000948</v>
      </c>
      <c r="C3207" t="s">
        <v>227</v>
      </c>
      <c r="D3207" t="s">
        <v>77</v>
      </c>
      <c r="E3207" t="s">
        <v>287</v>
      </c>
      <c r="F3207">
        <v>15000</v>
      </c>
      <c r="G3207" s="13">
        <v>45980</v>
      </c>
      <c r="H3207" s="13">
        <v>46346</v>
      </c>
      <c r="I3207">
        <v>3203</v>
      </c>
      <c r="J3207">
        <v>171</v>
      </c>
      <c r="K3207">
        <v>3374</v>
      </c>
      <c r="N3207">
        <v>28.571428571428569</v>
      </c>
      <c r="O3207">
        <v>7.2217000000000002</v>
      </c>
      <c r="P3207">
        <v>93.194929000000002</v>
      </c>
      <c r="Q3207">
        <v>6.75</v>
      </c>
      <c r="R3207">
        <v>6.5</v>
      </c>
      <c r="S3207">
        <v>6.75</v>
      </c>
      <c r="T3207">
        <v>93.194929000000002</v>
      </c>
      <c r="W3207" t="s">
        <v>497</v>
      </c>
    </row>
    <row r="3208" spans="1:23" x14ac:dyDescent="0.25">
      <c r="A3208" t="s">
        <v>3644</v>
      </c>
      <c r="B3208" t="str">
        <f t="shared" si="50"/>
        <v>TD1200002129</v>
      </c>
      <c r="C3208" t="s">
        <v>237</v>
      </c>
      <c r="D3208" t="s">
        <v>77</v>
      </c>
      <c r="E3208" t="s">
        <v>82</v>
      </c>
      <c r="F3208">
        <v>10000</v>
      </c>
      <c r="G3208" s="13">
        <v>45980</v>
      </c>
      <c r="H3208" s="13">
        <v>46164</v>
      </c>
      <c r="J3208">
        <v>0</v>
      </c>
      <c r="N3208">
        <v>0</v>
      </c>
      <c r="T3208" t="s">
        <v>1418</v>
      </c>
      <c r="W3208" t="s">
        <v>497</v>
      </c>
    </row>
    <row r="3209" spans="1:23" x14ac:dyDescent="0.25">
      <c r="A3209" t="s">
        <v>3645</v>
      </c>
      <c r="B3209" t="str">
        <f t="shared" si="50"/>
        <v>CM1300000781</v>
      </c>
      <c r="C3209" t="s">
        <v>225</v>
      </c>
      <c r="D3209" t="s">
        <v>77</v>
      </c>
      <c r="E3209" t="s">
        <v>287</v>
      </c>
      <c r="F3209">
        <v>70000</v>
      </c>
      <c r="G3209" s="13">
        <v>45985</v>
      </c>
      <c r="H3209" s="13">
        <v>46015</v>
      </c>
      <c r="I3209">
        <v>41110</v>
      </c>
      <c r="J3209">
        <v>0</v>
      </c>
      <c r="K3209">
        <v>41110</v>
      </c>
      <c r="N3209">
        <v>27.27272727272727</v>
      </c>
      <c r="O3209">
        <v>6.9668000000000001</v>
      </c>
      <c r="P3209">
        <v>58.742899999999999</v>
      </c>
      <c r="Q3209">
        <v>6.95</v>
      </c>
      <c r="R3209">
        <v>6.55</v>
      </c>
      <c r="S3209">
        <v>7.5</v>
      </c>
      <c r="T3209">
        <v>99.461060000000003</v>
      </c>
      <c r="W3209" t="s">
        <v>497</v>
      </c>
    </row>
    <row r="3210" spans="1:23" x14ac:dyDescent="0.25">
      <c r="A3210" t="s">
        <v>3646</v>
      </c>
      <c r="B3210" t="str">
        <f t="shared" si="50"/>
        <v>CG1100001367</v>
      </c>
      <c r="C3210" t="s">
        <v>229</v>
      </c>
      <c r="D3210" t="s">
        <v>77</v>
      </c>
      <c r="E3210" t="s">
        <v>78</v>
      </c>
      <c r="F3210">
        <v>15000</v>
      </c>
      <c r="G3210" s="13">
        <v>45986</v>
      </c>
      <c r="H3210" s="13">
        <v>46079</v>
      </c>
      <c r="I3210">
        <v>4270</v>
      </c>
      <c r="J3210">
        <v>10730</v>
      </c>
      <c r="K3210">
        <v>15000</v>
      </c>
      <c r="N3210">
        <v>33.333333333333329</v>
      </c>
      <c r="O3210">
        <v>6.7408999999999999</v>
      </c>
      <c r="P3210">
        <v>108.2</v>
      </c>
      <c r="Q3210">
        <v>6.95</v>
      </c>
      <c r="R3210">
        <v>6.3</v>
      </c>
      <c r="S3210">
        <v>7.1</v>
      </c>
      <c r="T3210">
        <v>98.324606000000003</v>
      </c>
      <c r="W3210" t="s">
        <v>497</v>
      </c>
    </row>
    <row r="3211" spans="1:23" x14ac:dyDescent="0.25">
      <c r="A3211" t="s">
        <v>3647</v>
      </c>
      <c r="B3211" t="str">
        <f t="shared" si="50"/>
        <v>CG1200001796</v>
      </c>
      <c r="C3211" t="s">
        <v>229</v>
      </c>
      <c r="D3211" t="s">
        <v>77</v>
      </c>
      <c r="E3211" t="s">
        <v>82</v>
      </c>
      <c r="F3211">
        <v>20000</v>
      </c>
      <c r="G3211" s="13">
        <v>45986</v>
      </c>
      <c r="H3211" s="13">
        <v>46170</v>
      </c>
      <c r="I3211">
        <v>266</v>
      </c>
      <c r="J3211">
        <v>2116</v>
      </c>
      <c r="K3211">
        <v>2382</v>
      </c>
      <c r="N3211">
        <v>20.833333333333336</v>
      </c>
      <c r="O3211">
        <v>7.2099000000000002</v>
      </c>
      <c r="P3211">
        <v>11.91</v>
      </c>
      <c r="Q3211">
        <v>7</v>
      </c>
      <c r="R3211">
        <v>6.1</v>
      </c>
      <c r="S3211">
        <v>7</v>
      </c>
      <c r="T3211">
        <v>96.483176</v>
      </c>
      <c r="W3211" t="s">
        <v>497</v>
      </c>
    </row>
    <row r="3212" spans="1:23" x14ac:dyDescent="0.25">
      <c r="A3212" t="s">
        <v>3648</v>
      </c>
      <c r="B3212" t="str">
        <f t="shared" si="50"/>
        <v>CG1300001068</v>
      </c>
      <c r="C3212" t="s">
        <v>229</v>
      </c>
      <c r="D3212" t="s">
        <v>77</v>
      </c>
      <c r="E3212" t="s">
        <v>287</v>
      </c>
      <c r="F3212">
        <v>17000</v>
      </c>
      <c r="G3212" s="13">
        <v>45986</v>
      </c>
      <c r="H3212" s="13">
        <v>46352</v>
      </c>
      <c r="I3212">
        <v>0</v>
      </c>
      <c r="J3212">
        <v>152</v>
      </c>
      <c r="K3212">
        <v>152</v>
      </c>
      <c r="N3212">
        <v>12.5</v>
      </c>
      <c r="O3212">
        <v>7.0742000000000003</v>
      </c>
      <c r="P3212">
        <v>0.89410000000000001</v>
      </c>
      <c r="Q3212">
        <v>7</v>
      </c>
      <c r="R3212">
        <v>6.5</v>
      </c>
      <c r="S3212">
        <v>7</v>
      </c>
      <c r="T3212">
        <v>93.324670999999995</v>
      </c>
      <c r="W3212" t="s">
        <v>497</v>
      </c>
    </row>
    <row r="3213" spans="1:23" x14ac:dyDescent="0.25">
      <c r="A3213" t="s">
        <v>3649</v>
      </c>
      <c r="B3213" t="str">
        <f t="shared" si="50"/>
        <v>GQ1300001591</v>
      </c>
      <c r="C3213" t="s">
        <v>528</v>
      </c>
      <c r="D3213" t="s">
        <v>77</v>
      </c>
      <c r="E3213" t="s">
        <v>287</v>
      </c>
      <c r="F3213">
        <v>15000</v>
      </c>
      <c r="G3213" s="13">
        <v>45986</v>
      </c>
      <c r="H3213" s="13">
        <v>46352</v>
      </c>
      <c r="I3213">
        <v>14811</v>
      </c>
      <c r="J3213">
        <v>189</v>
      </c>
      <c r="K3213">
        <v>15000</v>
      </c>
      <c r="N3213">
        <v>46.153846153846153</v>
      </c>
      <c r="O3213">
        <v>7.3337000000000003</v>
      </c>
      <c r="P3213">
        <v>148.26669999999999</v>
      </c>
      <c r="Q3213">
        <v>7</v>
      </c>
      <c r="R3213">
        <v>6.7</v>
      </c>
      <c r="S3213">
        <v>7.8</v>
      </c>
      <c r="T3213">
        <v>93.096739999999997</v>
      </c>
      <c r="W3213" t="s">
        <v>497</v>
      </c>
    </row>
    <row r="3214" spans="1:23" x14ac:dyDescent="0.25">
      <c r="A3214" t="s">
        <v>3650</v>
      </c>
      <c r="B3214" t="str">
        <f t="shared" si="50"/>
        <v>GA1200002606</v>
      </c>
      <c r="C3214" t="s">
        <v>227</v>
      </c>
      <c r="D3214" t="s">
        <v>77</v>
      </c>
      <c r="E3214" t="s">
        <v>82</v>
      </c>
      <c r="F3214">
        <v>15000</v>
      </c>
      <c r="G3214" s="13">
        <v>45987</v>
      </c>
      <c r="H3214" s="13">
        <v>46171</v>
      </c>
      <c r="I3214">
        <v>0</v>
      </c>
      <c r="J3214">
        <v>4461</v>
      </c>
      <c r="K3214">
        <v>4461</v>
      </c>
      <c r="N3214">
        <v>23.809523809523807</v>
      </c>
      <c r="O3214">
        <v>6.7098000000000004</v>
      </c>
      <c r="P3214">
        <v>30.14</v>
      </c>
      <c r="Q3214">
        <v>6.5</v>
      </c>
      <c r="R3214">
        <v>6.4</v>
      </c>
      <c r="S3214">
        <v>7</v>
      </c>
      <c r="T3214">
        <v>96.719112999999993</v>
      </c>
      <c r="W3214" t="s">
        <v>497</v>
      </c>
    </row>
    <row r="3215" spans="1:23" x14ac:dyDescent="0.25">
      <c r="A3215" t="s">
        <v>3651</v>
      </c>
      <c r="B3215" t="str">
        <f t="shared" si="50"/>
        <v>GA1300000948</v>
      </c>
      <c r="C3215" t="s">
        <v>227</v>
      </c>
      <c r="D3215" t="s">
        <v>77</v>
      </c>
      <c r="E3215" t="s">
        <v>287</v>
      </c>
      <c r="F3215">
        <v>15000</v>
      </c>
      <c r="G3215" s="13">
        <v>45987</v>
      </c>
      <c r="H3215" s="13">
        <v>46346</v>
      </c>
      <c r="I3215">
        <v>8000</v>
      </c>
      <c r="J3215">
        <v>5710</v>
      </c>
      <c r="K3215">
        <v>13710</v>
      </c>
      <c r="N3215">
        <v>23.809523809523807</v>
      </c>
      <c r="O3215">
        <v>7.0666000000000002</v>
      </c>
      <c r="P3215">
        <v>91.466700000000003</v>
      </c>
      <c r="Q3215">
        <v>6.75</v>
      </c>
      <c r="R3215">
        <v>6.2</v>
      </c>
      <c r="S3215">
        <v>7.5</v>
      </c>
      <c r="T3215">
        <v>93.451232000000005</v>
      </c>
      <c r="W3215" t="s">
        <v>497</v>
      </c>
    </row>
    <row r="3216" spans="1:23" x14ac:dyDescent="0.25">
      <c r="A3216" t="s">
        <v>3652</v>
      </c>
      <c r="B3216" t="str">
        <f t="shared" si="50"/>
        <v>TD1200002137</v>
      </c>
      <c r="C3216" t="s">
        <v>237</v>
      </c>
      <c r="D3216" t="s">
        <v>77</v>
      </c>
      <c r="E3216" t="s">
        <v>82</v>
      </c>
      <c r="G3216" s="13">
        <v>45987</v>
      </c>
      <c r="H3216" s="13"/>
      <c r="J3216">
        <v>0</v>
      </c>
      <c r="N3216">
        <v>0</v>
      </c>
      <c r="T3216" t="s">
        <v>1418</v>
      </c>
      <c r="W3216" t="s">
        <v>497</v>
      </c>
    </row>
    <row r="3217" spans="1:23" x14ac:dyDescent="0.25">
      <c r="A3217" t="s">
        <v>3653</v>
      </c>
      <c r="B3217" t="str">
        <f t="shared" si="50"/>
        <v>CM1100001187</v>
      </c>
      <c r="C3217" t="s">
        <v>225</v>
      </c>
      <c r="D3217" t="s">
        <v>77</v>
      </c>
      <c r="E3217" t="s">
        <v>78</v>
      </c>
      <c r="F3217">
        <v>20000</v>
      </c>
      <c r="G3217" s="13">
        <v>45992</v>
      </c>
      <c r="H3217" s="13">
        <v>46085</v>
      </c>
      <c r="I3217">
        <v>10000</v>
      </c>
      <c r="J3217">
        <v>0</v>
      </c>
      <c r="K3217">
        <v>10000</v>
      </c>
      <c r="N3217">
        <v>9.0909090909090917</v>
      </c>
      <c r="O3217">
        <v>7.0225</v>
      </c>
      <c r="P3217">
        <v>50.05</v>
      </c>
      <c r="Q3217">
        <v>6.9</v>
      </c>
      <c r="R3217">
        <v>6.9</v>
      </c>
      <c r="S3217">
        <v>7</v>
      </c>
      <c r="T3217">
        <v>98.255832999999996</v>
      </c>
      <c r="W3217" t="s">
        <v>497</v>
      </c>
    </row>
    <row r="3218" spans="1:23" x14ac:dyDescent="0.25">
      <c r="A3218" t="s">
        <v>3654</v>
      </c>
      <c r="B3218" t="str">
        <f t="shared" si="50"/>
        <v>CM1200002150</v>
      </c>
      <c r="C3218" t="s">
        <v>225</v>
      </c>
      <c r="D3218" t="s">
        <v>77</v>
      </c>
      <c r="E3218" t="s">
        <v>82</v>
      </c>
      <c r="F3218">
        <v>20000</v>
      </c>
      <c r="G3218" s="13">
        <v>45992</v>
      </c>
      <c r="H3218" s="13">
        <v>46176</v>
      </c>
      <c r="I3218">
        <v>17510</v>
      </c>
      <c r="J3218">
        <v>0</v>
      </c>
      <c r="K3218">
        <v>17510</v>
      </c>
      <c r="N3218">
        <v>18.181818181818183</v>
      </c>
      <c r="O3218">
        <v>7.1319999999999997</v>
      </c>
      <c r="P3218">
        <v>87.55</v>
      </c>
      <c r="Q3218">
        <v>7.05</v>
      </c>
      <c r="R3218">
        <v>6.55</v>
      </c>
      <c r="S3218">
        <v>7.05</v>
      </c>
      <c r="T3218">
        <v>96.519865999999993</v>
      </c>
      <c r="W3218" t="s">
        <v>497</v>
      </c>
    </row>
    <row r="3219" spans="1:23" x14ac:dyDescent="0.25">
      <c r="A3219" t="s">
        <v>3655</v>
      </c>
      <c r="B3219" t="str">
        <f t="shared" si="50"/>
        <v>CM1300001078</v>
      </c>
      <c r="C3219" t="s">
        <v>225</v>
      </c>
      <c r="D3219" t="s">
        <v>77</v>
      </c>
      <c r="E3219" t="s">
        <v>287</v>
      </c>
      <c r="F3219">
        <v>20000</v>
      </c>
      <c r="G3219" s="13">
        <v>45992</v>
      </c>
      <c r="H3219" s="13">
        <v>46358</v>
      </c>
      <c r="I3219">
        <v>16800</v>
      </c>
      <c r="J3219">
        <v>3200</v>
      </c>
      <c r="K3219">
        <v>20000</v>
      </c>
      <c r="N3219">
        <v>27.27272727272727</v>
      </c>
      <c r="O3219">
        <v>7.4157000000000002</v>
      </c>
      <c r="P3219">
        <v>104.09</v>
      </c>
      <c r="Q3219">
        <v>7.25</v>
      </c>
      <c r="R3219">
        <v>6.25</v>
      </c>
      <c r="S3219">
        <v>7.25</v>
      </c>
      <c r="T3219">
        <v>93.024874999999994</v>
      </c>
      <c r="W3219" t="s">
        <v>497</v>
      </c>
    </row>
    <row r="3220" spans="1:23" x14ac:dyDescent="0.25">
      <c r="A3220" t="s">
        <v>3656</v>
      </c>
      <c r="B3220" t="str">
        <f t="shared" si="50"/>
        <v>CG1100001375</v>
      </c>
      <c r="C3220" t="s">
        <v>229</v>
      </c>
      <c r="D3220" t="s">
        <v>77</v>
      </c>
      <c r="E3220" t="s">
        <v>78</v>
      </c>
      <c r="F3220">
        <v>30000</v>
      </c>
      <c r="G3220" s="13">
        <v>45993</v>
      </c>
      <c r="H3220" s="13">
        <v>46086</v>
      </c>
      <c r="I3220">
        <v>9000</v>
      </c>
      <c r="J3220">
        <v>1123</v>
      </c>
      <c r="K3220">
        <v>10123</v>
      </c>
      <c r="N3220">
        <v>20.833333333333336</v>
      </c>
      <c r="O3220">
        <v>6.9835000000000003</v>
      </c>
      <c r="P3220">
        <v>33.7667</v>
      </c>
      <c r="Q3220">
        <v>7</v>
      </c>
      <c r="R3220">
        <v>6.2</v>
      </c>
      <c r="S3220">
        <v>7.5</v>
      </c>
      <c r="T3220">
        <v>98.265351999999993</v>
      </c>
      <c r="W3220" t="s">
        <v>497</v>
      </c>
    </row>
    <row r="3221" spans="1:23" x14ac:dyDescent="0.25">
      <c r="A3221" t="s">
        <v>3657</v>
      </c>
      <c r="B3221" t="str">
        <f t="shared" si="50"/>
        <v>CG1200001804</v>
      </c>
      <c r="C3221" t="s">
        <v>229</v>
      </c>
      <c r="D3221" t="s">
        <v>77</v>
      </c>
      <c r="E3221" t="s">
        <v>82</v>
      </c>
      <c r="F3221">
        <v>5000</v>
      </c>
      <c r="G3221" s="13">
        <v>45993</v>
      </c>
      <c r="H3221" s="13">
        <v>46177</v>
      </c>
      <c r="I3221">
        <v>100</v>
      </c>
      <c r="J3221">
        <v>341</v>
      </c>
      <c r="K3221">
        <v>441</v>
      </c>
      <c r="N3221">
        <v>16.666666666666664</v>
      </c>
      <c r="O3221">
        <v>7.2202999999999999</v>
      </c>
      <c r="P3221">
        <v>8.82</v>
      </c>
      <c r="Q3221">
        <v>7</v>
      </c>
      <c r="R3221">
        <v>6.5</v>
      </c>
      <c r="S3221">
        <v>7</v>
      </c>
      <c r="T3221">
        <v>96.478307000000001</v>
      </c>
      <c r="W3221" t="s">
        <v>497</v>
      </c>
    </row>
    <row r="3222" spans="1:23" x14ac:dyDescent="0.25">
      <c r="A3222" t="s">
        <v>3658</v>
      </c>
      <c r="B3222" t="str">
        <f t="shared" si="50"/>
        <v>CG1300001076</v>
      </c>
      <c r="C3222" t="s">
        <v>229</v>
      </c>
      <c r="D3222" t="s">
        <v>77</v>
      </c>
      <c r="E3222" t="s">
        <v>287</v>
      </c>
      <c r="F3222">
        <v>50000</v>
      </c>
      <c r="G3222" s="13">
        <v>45993</v>
      </c>
      <c r="H3222" s="13">
        <v>46359</v>
      </c>
      <c r="I3222">
        <v>32003</v>
      </c>
      <c r="J3222">
        <v>15246</v>
      </c>
      <c r="K3222">
        <v>47249</v>
      </c>
      <c r="N3222">
        <v>29.166666666666668</v>
      </c>
      <c r="O3222">
        <v>7.5315000000000003</v>
      </c>
      <c r="P3222">
        <v>94.498000000000005</v>
      </c>
      <c r="Q3222">
        <v>7</v>
      </c>
      <c r="R3222">
        <v>6.5</v>
      </c>
      <c r="S3222">
        <v>7</v>
      </c>
      <c r="T3222">
        <v>92.923676999999998</v>
      </c>
      <c r="W3222" t="s">
        <v>497</v>
      </c>
    </row>
    <row r="3223" spans="1:23" x14ac:dyDescent="0.25">
      <c r="A3223" t="s">
        <v>3659</v>
      </c>
      <c r="B3223" t="str">
        <f t="shared" si="50"/>
        <v>GA1200002614</v>
      </c>
      <c r="C3223" t="s">
        <v>227</v>
      </c>
      <c r="D3223" t="s">
        <v>77</v>
      </c>
      <c r="E3223" t="s">
        <v>82</v>
      </c>
      <c r="F3223">
        <v>12500</v>
      </c>
      <c r="G3223" s="13">
        <v>45994</v>
      </c>
      <c r="H3223" s="13">
        <v>46178</v>
      </c>
      <c r="I3223">
        <v>0</v>
      </c>
      <c r="J3223">
        <v>7770</v>
      </c>
      <c r="K3223">
        <v>7770</v>
      </c>
      <c r="N3223">
        <v>19.047619047619047</v>
      </c>
      <c r="O3223">
        <v>6.7209000000000003</v>
      </c>
      <c r="P3223">
        <v>62.56</v>
      </c>
      <c r="Q3223">
        <v>6.5</v>
      </c>
      <c r="R3223">
        <v>6.5</v>
      </c>
      <c r="S3223">
        <v>6.5</v>
      </c>
      <c r="T3223">
        <v>96.713888999999995</v>
      </c>
      <c r="W3223" t="s">
        <v>497</v>
      </c>
    </row>
    <row r="3224" spans="1:23" x14ac:dyDescent="0.25">
      <c r="A3224" t="s">
        <v>3660</v>
      </c>
      <c r="B3224" t="str">
        <f t="shared" si="50"/>
        <v>CF1300000087</v>
      </c>
      <c r="C3224" t="s">
        <v>2406</v>
      </c>
      <c r="D3224" t="s">
        <v>77</v>
      </c>
      <c r="E3224" t="s">
        <v>287</v>
      </c>
      <c r="F3224">
        <v>5000</v>
      </c>
      <c r="G3224" s="13">
        <v>45999</v>
      </c>
      <c r="H3224" s="13">
        <v>46365</v>
      </c>
      <c r="I3224">
        <v>0</v>
      </c>
      <c r="J3224">
        <v>5000</v>
      </c>
      <c r="K3224">
        <v>5000</v>
      </c>
      <c r="N3224">
        <v>22.222222222222221</v>
      </c>
      <c r="O3224">
        <v>7.8235000000000001</v>
      </c>
      <c r="P3224">
        <v>100.4</v>
      </c>
      <c r="Q3224">
        <v>7.25</v>
      </c>
      <c r="R3224">
        <v>7.25</v>
      </c>
      <c r="S3224">
        <v>7.5</v>
      </c>
      <c r="T3224">
        <v>92.669443999999999</v>
      </c>
      <c r="W3224" t="s">
        <v>497</v>
      </c>
    </row>
    <row r="3225" spans="1:23" x14ac:dyDescent="0.25">
      <c r="A3225" t="s">
        <v>3661</v>
      </c>
      <c r="B3225" t="str">
        <f t="shared" si="50"/>
        <v>CM1100001195</v>
      </c>
      <c r="C3225" t="s">
        <v>225</v>
      </c>
      <c r="D3225" t="s">
        <v>77</v>
      </c>
      <c r="E3225" t="s">
        <v>78</v>
      </c>
      <c r="G3225" s="13">
        <v>45999</v>
      </c>
      <c r="H3225" s="13"/>
      <c r="J3225">
        <v>0</v>
      </c>
      <c r="N3225">
        <v>0</v>
      </c>
      <c r="T3225" t="s">
        <v>1418</v>
      </c>
      <c r="W3225" t="s">
        <v>497</v>
      </c>
    </row>
    <row r="3226" spans="1:23" x14ac:dyDescent="0.25">
      <c r="A3226" t="s">
        <v>3662</v>
      </c>
      <c r="B3226" t="str">
        <f t="shared" si="50"/>
        <v>CM1200002168</v>
      </c>
      <c r="C3226" t="s">
        <v>225</v>
      </c>
      <c r="D3226" t="s">
        <v>77</v>
      </c>
      <c r="E3226" t="s">
        <v>82</v>
      </c>
      <c r="F3226">
        <v>10000</v>
      </c>
      <c r="G3226" s="13">
        <v>45999</v>
      </c>
      <c r="H3226" s="13">
        <v>46183</v>
      </c>
      <c r="I3226">
        <v>1568</v>
      </c>
      <c r="J3226">
        <v>100</v>
      </c>
      <c r="K3226">
        <v>1668</v>
      </c>
      <c r="N3226">
        <v>13.636363636363635</v>
      </c>
      <c r="O3226">
        <v>6.819</v>
      </c>
      <c r="P3226">
        <v>16.78</v>
      </c>
      <c r="Q3226">
        <v>6.6</v>
      </c>
      <c r="R3226">
        <v>6.5</v>
      </c>
      <c r="S3226">
        <v>7.5</v>
      </c>
      <c r="T3226">
        <v>96.667516000000006</v>
      </c>
      <c r="W3226" t="s">
        <v>497</v>
      </c>
    </row>
    <row r="3227" spans="1:23" x14ac:dyDescent="0.25">
      <c r="A3227" t="s">
        <v>3663</v>
      </c>
      <c r="B3227" t="str">
        <f t="shared" ref="B3227:B3290" si="51">MID(A3227,1,12)</f>
        <v>CM1300001086</v>
      </c>
      <c r="C3227" t="s">
        <v>225</v>
      </c>
      <c r="D3227" t="s">
        <v>77</v>
      </c>
      <c r="E3227" t="s">
        <v>287</v>
      </c>
      <c r="G3227" s="13">
        <v>45999</v>
      </c>
      <c r="H3227" s="13"/>
      <c r="J3227">
        <v>0</v>
      </c>
      <c r="N3227">
        <v>0</v>
      </c>
      <c r="T3227" t="s">
        <v>1418</v>
      </c>
      <c r="W3227" t="s">
        <v>497</v>
      </c>
    </row>
    <row r="3228" spans="1:23" x14ac:dyDescent="0.25">
      <c r="A3228" t="s">
        <v>3664</v>
      </c>
      <c r="B3228" t="str">
        <f t="shared" si="51"/>
        <v>CG1100001383</v>
      </c>
      <c r="C3228" t="s">
        <v>229</v>
      </c>
      <c r="D3228" t="s">
        <v>77</v>
      </c>
      <c r="E3228" t="s">
        <v>78</v>
      </c>
      <c r="F3228">
        <v>15000</v>
      </c>
      <c r="G3228" s="13">
        <v>46000</v>
      </c>
      <c r="H3228" s="13">
        <v>46093</v>
      </c>
      <c r="I3228">
        <v>0</v>
      </c>
      <c r="J3228">
        <v>15000</v>
      </c>
      <c r="K3228">
        <v>15000</v>
      </c>
      <c r="N3228">
        <v>25</v>
      </c>
      <c r="O3228">
        <v>6.859</v>
      </c>
      <c r="P3228">
        <v>101.97329999999999</v>
      </c>
      <c r="Q3228">
        <v>7</v>
      </c>
      <c r="R3228">
        <v>6.45</v>
      </c>
      <c r="S3228">
        <v>7</v>
      </c>
      <c r="T3228">
        <v>98.295755</v>
      </c>
      <c r="W3228" t="s">
        <v>497</v>
      </c>
    </row>
    <row r="3229" spans="1:23" x14ac:dyDescent="0.25">
      <c r="A3229" t="s">
        <v>3665</v>
      </c>
      <c r="B3229" t="str">
        <f t="shared" si="51"/>
        <v>CG1300001084</v>
      </c>
      <c r="C3229" t="s">
        <v>229</v>
      </c>
      <c r="D3229" t="s">
        <v>77</v>
      </c>
      <c r="E3229" t="s">
        <v>287</v>
      </c>
      <c r="F3229">
        <v>13000</v>
      </c>
      <c r="G3229" s="13">
        <v>46000</v>
      </c>
      <c r="H3229" s="13">
        <v>46366</v>
      </c>
      <c r="I3229">
        <v>940</v>
      </c>
      <c r="J3229">
        <v>155</v>
      </c>
      <c r="K3229">
        <v>1095</v>
      </c>
      <c r="N3229">
        <v>12.5</v>
      </c>
      <c r="O3229">
        <v>7.2266000000000004</v>
      </c>
      <c r="P3229">
        <v>8.4230999999999998</v>
      </c>
      <c r="Q3229">
        <v>7</v>
      </c>
      <c r="R3229">
        <v>6.5</v>
      </c>
      <c r="S3229">
        <v>7</v>
      </c>
      <c r="T3229">
        <v>93.190697999999998</v>
      </c>
      <c r="W3229" t="s">
        <v>497</v>
      </c>
    </row>
    <row r="3230" spans="1:23" x14ac:dyDescent="0.25">
      <c r="A3230" t="s">
        <v>3666</v>
      </c>
      <c r="B3230" t="str">
        <f t="shared" si="51"/>
        <v>GA1100002078</v>
      </c>
      <c r="C3230" t="s">
        <v>227</v>
      </c>
      <c r="D3230" t="s">
        <v>77</v>
      </c>
      <c r="E3230" t="s">
        <v>78</v>
      </c>
      <c r="F3230">
        <v>12500</v>
      </c>
      <c r="G3230" s="13">
        <v>46001</v>
      </c>
      <c r="H3230" s="13">
        <v>46094</v>
      </c>
      <c r="I3230">
        <v>1500</v>
      </c>
      <c r="J3230">
        <v>1250</v>
      </c>
      <c r="K3230">
        <v>2750</v>
      </c>
      <c r="N3230">
        <v>19.047619047619047</v>
      </c>
      <c r="O3230">
        <v>6.4958</v>
      </c>
      <c r="P3230">
        <v>22.08</v>
      </c>
      <c r="Q3230">
        <v>6.5</v>
      </c>
      <c r="R3230">
        <v>6.3</v>
      </c>
      <c r="S3230">
        <v>7</v>
      </c>
      <c r="T3230">
        <v>98.384519999999995</v>
      </c>
      <c r="W3230" t="s">
        <v>497</v>
      </c>
    </row>
    <row r="3231" spans="1:23" x14ac:dyDescent="0.25">
      <c r="A3231" t="s">
        <v>3667</v>
      </c>
      <c r="B3231" t="str">
        <f t="shared" si="51"/>
        <v>CM1100001203</v>
      </c>
      <c r="C3231" t="s">
        <v>225</v>
      </c>
      <c r="D3231" t="s">
        <v>77</v>
      </c>
      <c r="E3231" t="s">
        <v>78</v>
      </c>
      <c r="F3231">
        <v>10000</v>
      </c>
      <c r="G3231" s="13">
        <v>46006</v>
      </c>
      <c r="H3231" s="13">
        <v>46099</v>
      </c>
      <c r="I3231">
        <v>2001</v>
      </c>
      <c r="J3231">
        <v>100</v>
      </c>
      <c r="K3231">
        <v>2101</v>
      </c>
      <c r="N3231">
        <v>18.181818181818183</v>
      </c>
      <c r="O3231">
        <v>6.6379999999999999</v>
      </c>
      <c r="P3231">
        <v>21.11</v>
      </c>
      <c r="Q3231">
        <v>6.6</v>
      </c>
      <c r="R3231">
        <v>6.25</v>
      </c>
      <c r="S3231">
        <v>7.5</v>
      </c>
      <c r="T3231">
        <v>98.349755999999999</v>
      </c>
      <c r="W3231" t="s">
        <v>497</v>
      </c>
    </row>
    <row r="3232" spans="1:23" x14ac:dyDescent="0.25">
      <c r="A3232" t="s">
        <v>3668</v>
      </c>
      <c r="B3232" t="str">
        <f t="shared" si="51"/>
        <v>CM1300001094</v>
      </c>
      <c r="C3232" t="s">
        <v>225</v>
      </c>
      <c r="D3232" t="s">
        <v>77</v>
      </c>
      <c r="E3232" t="s">
        <v>287</v>
      </c>
      <c r="F3232">
        <v>20000</v>
      </c>
      <c r="G3232" s="13">
        <v>46006</v>
      </c>
      <c r="H3232" s="13">
        <v>46372</v>
      </c>
      <c r="I3232">
        <v>10027</v>
      </c>
      <c r="J3232">
        <v>0</v>
      </c>
      <c r="K3232">
        <v>10027</v>
      </c>
      <c r="N3232">
        <v>18.181818181818183</v>
      </c>
      <c r="O3232">
        <v>7.3013000000000003</v>
      </c>
      <c r="P3232">
        <v>50.185000000000002</v>
      </c>
      <c r="Q3232">
        <v>6.8</v>
      </c>
      <c r="R3232">
        <v>6.5</v>
      </c>
      <c r="S3232">
        <v>7.5</v>
      </c>
      <c r="T3232">
        <v>93.125084999999999</v>
      </c>
      <c r="W3232" t="s">
        <v>497</v>
      </c>
    </row>
    <row r="3233" spans="1:23" x14ac:dyDescent="0.25">
      <c r="A3233" t="s">
        <v>3669</v>
      </c>
      <c r="B3233" t="str">
        <f t="shared" si="51"/>
        <v>CG1100001391</v>
      </c>
      <c r="C3233" t="s">
        <v>229</v>
      </c>
      <c r="D3233" t="s">
        <v>77</v>
      </c>
      <c r="E3233" t="s">
        <v>78</v>
      </c>
      <c r="F3233">
        <v>5000</v>
      </c>
      <c r="G3233" s="13">
        <v>46007</v>
      </c>
      <c r="H3233" s="13">
        <v>46100</v>
      </c>
      <c r="I3233">
        <v>400</v>
      </c>
      <c r="J3233">
        <v>106</v>
      </c>
      <c r="K3233">
        <v>506</v>
      </c>
      <c r="N3233">
        <v>16.666666666666664</v>
      </c>
      <c r="O3233">
        <v>6.8159999999999998</v>
      </c>
      <c r="P3233">
        <v>16.260000000000002</v>
      </c>
      <c r="Q3233">
        <v>7</v>
      </c>
      <c r="R3233">
        <v>6.5</v>
      </c>
      <c r="S3233">
        <v>7.2</v>
      </c>
      <c r="T3233">
        <v>98.306239000000005</v>
      </c>
      <c r="W3233" t="s">
        <v>497</v>
      </c>
    </row>
    <row r="3234" spans="1:23" x14ac:dyDescent="0.25">
      <c r="A3234" t="s">
        <v>3670</v>
      </c>
      <c r="B3234" t="str">
        <f t="shared" si="51"/>
        <v>CG1200001812</v>
      </c>
      <c r="C3234" t="s">
        <v>229</v>
      </c>
      <c r="D3234" t="s">
        <v>77</v>
      </c>
      <c r="E3234" t="s">
        <v>82</v>
      </c>
      <c r="F3234">
        <v>10000</v>
      </c>
      <c r="G3234" s="13">
        <v>46007</v>
      </c>
      <c r="H3234" s="13">
        <v>46191</v>
      </c>
      <c r="I3234">
        <v>1000</v>
      </c>
      <c r="J3234">
        <v>1020</v>
      </c>
      <c r="K3234">
        <v>2020</v>
      </c>
      <c r="N3234">
        <v>12.5</v>
      </c>
      <c r="O3234">
        <v>6.9725999999999999</v>
      </c>
      <c r="P3234">
        <v>10.1</v>
      </c>
      <c r="Q3234">
        <v>7</v>
      </c>
      <c r="R3234">
        <v>6.5</v>
      </c>
      <c r="S3234">
        <v>7</v>
      </c>
      <c r="T3234">
        <v>96.595008000000007</v>
      </c>
      <c r="W3234" t="s">
        <v>497</v>
      </c>
    </row>
    <row r="3235" spans="1:23" x14ac:dyDescent="0.25">
      <c r="A3235" t="s">
        <v>3671</v>
      </c>
      <c r="B3235" t="str">
        <f t="shared" si="51"/>
        <v>CG1300001092</v>
      </c>
      <c r="C3235" t="s">
        <v>229</v>
      </c>
      <c r="D3235" t="s">
        <v>77</v>
      </c>
      <c r="E3235" t="s">
        <v>287</v>
      </c>
      <c r="F3235">
        <v>10000</v>
      </c>
      <c r="G3235" s="13">
        <v>46007</v>
      </c>
      <c r="H3235" s="13">
        <v>46373</v>
      </c>
      <c r="I3235">
        <v>1265</v>
      </c>
      <c r="J3235">
        <v>206</v>
      </c>
      <c r="K3235">
        <v>1471</v>
      </c>
      <c r="N3235">
        <v>20.833333333333336</v>
      </c>
      <c r="O3235">
        <v>7.3041</v>
      </c>
      <c r="P3235">
        <v>14.71</v>
      </c>
      <c r="Q3235">
        <v>7</v>
      </c>
      <c r="R3235">
        <v>6.7</v>
      </c>
      <c r="S3235">
        <v>7</v>
      </c>
      <c r="T3235">
        <v>93.122692000000001</v>
      </c>
      <c r="W3235" t="s">
        <v>497</v>
      </c>
    </row>
    <row r="3236" spans="1:23" x14ac:dyDescent="0.25">
      <c r="A3236" t="s">
        <v>3672</v>
      </c>
      <c r="B3236" t="str">
        <f t="shared" si="51"/>
        <v>GA1200002499</v>
      </c>
      <c r="C3236" t="s">
        <v>227</v>
      </c>
      <c r="D3236" t="s">
        <v>77</v>
      </c>
      <c r="E3236" t="s">
        <v>82</v>
      </c>
      <c r="F3236">
        <v>3000</v>
      </c>
      <c r="G3236" s="13">
        <v>46008</v>
      </c>
      <c r="H3236" s="13">
        <v>46031</v>
      </c>
      <c r="I3236">
        <v>1500</v>
      </c>
      <c r="J3236">
        <v>0</v>
      </c>
      <c r="K3236">
        <v>1500</v>
      </c>
      <c r="N3236">
        <v>4.7619047619047619</v>
      </c>
      <c r="P3236">
        <v>50</v>
      </c>
      <c r="W3236" t="s">
        <v>681</v>
      </c>
    </row>
    <row r="3237" spans="1:23" x14ac:dyDescent="0.25">
      <c r="A3237" t="s">
        <v>3673</v>
      </c>
      <c r="B3237" t="str">
        <f t="shared" si="51"/>
        <v>GA1200002564</v>
      </c>
      <c r="C3237" t="s">
        <v>227</v>
      </c>
      <c r="D3237" t="s">
        <v>77</v>
      </c>
      <c r="E3237" t="s">
        <v>82</v>
      </c>
      <c r="F3237">
        <v>11000</v>
      </c>
      <c r="G3237" s="13">
        <v>46008</v>
      </c>
      <c r="H3237" s="13">
        <v>46101</v>
      </c>
      <c r="I3237">
        <v>11000</v>
      </c>
      <c r="J3237">
        <v>0</v>
      </c>
      <c r="K3237">
        <v>11000</v>
      </c>
      <c r="N3237">
        <v>4.7619047619047619</v>
      </c>
      <c r="P3237">
        <v>100</v>
      </c>
      <c r="W3237" t="s">
        <v>681</v>
      </c>
    </row>
    <row r="3238" spans="1:23" x14ac:dyDescent="0.25">
      <c r="A3238" t="s">
        <v>3674</v>
      </c>
      <c r="B3238" t="str">
        <f t="shared" si="51"/>
        <v>GA1200002622</v>
      </c>
      <c r="C3238" t="s">
        <v>227</v>
      </c>
      <c r="D3238" t="s">
        <v>77</v>
      </c>
      <c r="E3238" t="s">
        <v>82</v>
      </c>
      <c r="F3238">
        <v>15000</v>
      </c>
      <c r="G3238" s="13">
        <v>46008</v>
      </c>
      <c r="H3238" s="13">
        <v>46192</v>
      </c>
      <c r="I3238">
        <v>10590</v>
      </c>
      <c r="J3238">
        <v>4410</v>
      </c>
      <c r="K3238">
        <v>15000</v>
      </c>
      <c r="N3238">
        <v>14.285714285714285</v>
      </c>
      <c r="O3238">
        <v>6.6737000000000002</v>
      </c>
      <c r="P3238">
        <v>100</v>
      </c>
      <c r="Q3238">
        <v>6.5</v>
      </c>
      <c r="R3238">
        <v>6.4</v>
      </c>
      <c r="S3238">
        <v>6.5</v>
      </c>
      <c r="T3238">
        <v>96.736183999999994</v>
      </c>
      <c r="W3238" t="s">
        <v>875</v>
      </c>
    </row>
    <row r="3239" spans="1:23" x14ac:dyDescent="0.25">
      <c r="A3239" t="s">
        <v>3675</v>
      </c>
      <c r="B3239" t="str">
        <f t="shared" si="51"/>
        <v>GA1300000773</v>
      </c>
      <c r="C3239" t="s">
        <v>227</v>
      </c>
      <c r="D3239" t="s">
        <v>77</v>
      </c>
      <c r="E3239" t="s">
        <v>287</v>
      </c>
      <c r="F3239">
        <v>20000</v>
      </c>
      <c r="G3239" s="13">
        <v>46008</v>
      </c>
      <c r="H3239" s="13">
        <v>46073</v>
      </c>
      <c r="I3239">
        <v>5460</v>
      </c>
      <c r="J3239">
        <v>4191</v>
      </c>
      <c r="K3239">
        <v>9651</v>
      </c>
      <c r="N3239">
        <v>14.285714285714285</v>
      </c>
      <c r="P3239">
        <v>48.255000000000003</v>
      </c>
      <c r="T3239" t="s">
        <v>1524</v>
      </c>
      <c r="W3239" t="s">
        <v>681</v>
      </c>
    </row>
    <row r="3240" spans="1:23" x14ac:dyDescent="0.25">
      <c r="A3240" t="s">
        <v>3676</v>
      </c>
      <c r="B3240" t="str">
        <f t="shared" si="51"/>
        <v>GA1300000799</v>
      </c>
      <c r="C3240" t="s">
        <v>227</v>
      </c>
      <c r="D3240" t="s">
        <v>77</v>
      </c>
      <c r="E3240" t="s">
        <v>287</v>
      </c>
      <c r="F3240">
        <v>20500</v>
      </c>
      <c r="G3240" s="13">
        <v>46008</v>
      </c>
      <c r="H3240" s="13">
        <v>46108</v>
      </c>
      <c r="I3240">
        <v>18651</v>
      </c>
      <c r="J3240">
        <v>40</v>
      </c>
      <c r="K3240">
        <v>18691</v>
      </c>
      <c r="N3240">
        <v>14.285714285714285</v>
      </c>
      <c r="P3240">
        <v>91.126800000000003</v>
      </c>
      <c r="T3240" t="s">
        <v>1524</v>
      </c>
      <c r="W3240" t="s">
        <v>681</v>
      </c>
    </row>
    <row r="3241" spans="1:23" x14ac:dyDescent="0.25">
      <c r="A3241" t="s">
        <v>3677</v>
      </c>
      <c r="B3241" t="str">
        <f t="shared" si="51"/>
        <v>GA1300000815</v>
      </c>
      <c r="C3241" t="s">
        <v>227</v>
      </c>
      <c r="D3241" t="s">
        <v>77</v>
      </c>
      <c r="E3241" t="s">
        <v>287</v>
      </c>
      <c r="F3241">
        <v>10000</v>
      </c>
      <c r="G3241" s="13">
        <v>46008</v>
      </c>
      <c r="H3241" s="13">
        <v>46121</v>
      </c>
      <c r="I3241">
        <v>3815</v>
      </c>
      <c r="J3241">
        <v>2900</v>
      </c>
      <c r="K3241">
        <v>6715</v>
      </c>
      <c r="N3241">
        <v>9.5238095238095237</v>
      </c>
      <c r="P3241">
        <v>100</v>
      </c>
      <c r="T3241" t="s">
        <v>1524</v>
      </c>
      <c r="W3241" t="s">
        <v>681</v>
      </c>
    </row>
    <row r="3242" spans="1:23" x14ac:dyDescent="0.25">
      <c r="A3242" t="s">
        <v>3678</v>
      </c>
      <c r="B3242" t="str">
        <f t="shared" si="51"/>
        <v>GA1300000849</v>
      </c>
      <c r="C3242" t="s">
        <v>227</v>
      </c>
      <c r="D3242" t="s">
        <v>77</v>
      </c>
      <c r="E3242" t="s">
        <v>287</v>
      </c>
      <c r="F3242">
        <v>25000</v>
      </c>
      <c r="G3242" s="13">
        <v>46008</v>
      </c>
      <c r="H3242" s="13">
        <v>46206</v>
      </c>
      <c r="I3242">
        <v>13497</v>
      </c>
      <c r="J3242">
        <v>5997</v>
      </c>
      <c r="K3242">
        <v>19494</v>
      </c>
      <c r="N3242">
        <v>14.285714285714285</v>
      </c>
      <c r="P3242">
        <v>100</v>
      </c>
      <c r="T3242" t="s">
        <v>1524</v>
      </c>
      <c r="W3242" t="s">
        <v>681</v>
      </c>
    </row>
    <row r="3243" spans="1:23" x14ac:dyDescent="0.25">
      <c r="A3243" t="s">
        <v>3679</v>
      </c>
      <c r="B3243" t="str">
        <f t="shared" si="51"/>
        <v>GA1300000955</v>
      </c>
      <c r="C3243" t="s">
        <v>227</v>
      </c>
      <c r="D3243" t="s">
        <v>77</v>
      </c>
      <c r="E3243" t="s">
        <v>287</v>
      </c>
      <c r="F3243">
        <v>25000</v>
      </c>
      <c r="G3243" s="13">
        <v>46008</v>
      </c>
      <c r="H3243" s="13">
        <v>46374</v>
      </c>
      <c r="I3243">
        <v>15000</v>
      </c>
      <c r="J3243">
        <v>10000</v>
      </c>
      <c r="K3243">
        <v>25000</v>
      </c>
      <c r="N3243">
        <v>14.285714285714285</v>
      </c>
      <c r="O3243">
        <v>7.0122999999999998</v>
      </c>
      <c r="P3243">
        <v>100</v>
      </c>
      <c r="Q3243">
        <v>6.65</v>
      </c>
      <c r="R3243">
        <v>6.5</v>
      </c>
      <c r="S3243">
        <v>6.5</v>
      </c>
      <c r="T3243">
        <v>93.379244</v>
      </c>
      <c r="W3243" t="s">
        <v>875</v>
      </c>
    </row>
    <row r="3244" spans="1:23" x14ac:dyDescent="0.25">
      <c r="A3244" t="s">
        <v>3680</v>
      </c>
      <c r="B3244" t="str">
        <f t="shared" si="51"/>
        <v>CM1100001211</v>
      </c>
      <c r="C3244" t="s">
        <v>225</v>
      </c>
      <c r="D3244" t="s">
        <v>77</v>
      </c>
      <c r="E3244" t="s">
        <v>78</v>
      </c>
      <c r="F3244">
        <v>15000</v>
      </c>
      <c r="G3244" s="13">
        <v>46013</v>
      </c>
      <c r="H3244" s="13">
        <v>46106</v>
      </c>
      <c r="I3244">
        <v>6915</v>
      </c>
      <c r="J3244">
        <v>1500</v>
      </c>
      <c r="K3244">
        <v>8415</v>
      </c>
      <c r="N3244">
        <v>31.818181818181817</v>
      </c>
      <c r="O3244">
        <v>6.5464000000000002</v>
      </c>
      <c r="P3244">
        <v>57.7667</v>
      </c>
      <c r="Q3244">
        <v>6.5464000000000002</v>
      </c>
      <c r="R3244">
        <v>6.25</v>
      </c>
      <c r="S3244">
        <v>6.6</v>
      </c>
      <c r="T3244">
        <v>98.372152</v>
      </c>
      <c r="W3244" t="s">
        <v>497</v>
      </c>
    </row>
    <row r="3245" spans="1:23" x14ac:dyDescent="0.25">
      <c r="A3245" t="s">
        <v>3681</v>
      </c>
      <c r="B3245" t="str">
        <f t="shared" si="51"/>
        <v>CF1200000476</v>
      </c>
      <c r="C3245" t="s">
        <v>2406</v>
      </c>
      <c r="D3245" t="s">
        <v>77</v>
      </c>
      <c r="E3245" t="s">
        <v>82</v>
      </c>
      <c r="F3245">
        <v>5500</v>
      </c>
      <c r="G3245" s="13">
        <v>46013</v>
      </c>
      <c r="H3245" s="13">
        <v>46197</v>
      </c>
      <c r="I3245">
        <v>0</v>
      </c>
      <c r="J3245">
        <v>5500</v>
      </c>
      <c r="K3245">
        <v>5500</v>
      </c>
      <c r="N3245">
        <v>22.222222222222221</v>
      </c>
      <c r="O3245">
        <v>6.9885000000000002</v>
      </c>
      <c r="P3245">
        <v>100</v>
      </c>
      <c r="Q3245">
        <v>6.75</v>
      </c>
      <c r="R3245">
        <v>6.75</v>
      </c>
      <c r="S3245">
        <v>6.75</v>
      </c>
      <c r="T3245">
        <v>96.587500000000006</v>
      </c>
      <c r="W3245" t="s">
        <v>497</v>
      </c>
    </row>
    <row r="3246" spans="1:23" x14ac:dyDescent="0.25">
      <c r="A3246" t="s">
        <v>3682</v>
      </c>
      <c r="B3246" t="str">
        <f t="shared" si="51"/>
        <v>CG1100001409</v>
      </c>
      <c r="C3246" t="s">
        <v>229</v>
      </c>
      <c r="D3246" t="s">
        <v>77</v>
      </c>
      <c r="E3246" t="s">
        <v>78</v>
      </c>
      <c r="F3246">
        <v>15000</v>
      </c>
      <c r="G3246" s="13">
        <v>46014</v>
      </c>
      <c r="H3246" s="13">
        <v>46107</v>
      </c>
      <c r="I3246">
        <v>0</v>
      </c>
      <c r="J3246">
        <v>15000</v>
      </c>
      <c r="K3246">
        <v>15000</v>
      </c>
      <c r="N3246">
        <v>16.666666666666664</v>
      </c>
      <c r="O3246">
        <v>6.9093</v>
      </c>
      <c r="P3246">
        <v>114</v>
      </c>
      <c r="Q3246">
        <v>7</v>
      </c>
      <c r="R3246">
        <v>6.6</v>
      </c>
      <c r="S3246">
        <v>7</v>
      </c>
      <c r="T3246">
        <v>98.283469999999994</v>
      </c>
      <c r="W3246" t="s">
        <v>497</v>
      </c>
    </row>
    <row r="3247" spans="1:23" x14ac:dyDescent="0.25">
      <c r="A3247" t="s">
        <v>3683</v>
      </c>
      <c r="B3247" t="str">
        <f t="shared" si="51"/>
        <v>CG1100001409</v>
      </c>
      <c r="C3247" t="s">
        <v>229</v>
      </c>
      <c r="D3247" t="s">
        <v>77</v>
      </c>
      <c r="E3247" t="s">
        <v>78</v>
      </c>
      <c r="F3247">
        <v>15000</v>
      </c>
      <c r="G3247" s="13">
        <v>46014</v>
      </c>
      <c r="H3247" s="13">
        <v>46107</v>
      </c>
      <c r="I3247">
        <v>0</v>
      </c>
      <c r="J3247">
        <v>2100</v>
      </c>
      <c r="K3247">
        <v>2100</v>
      </c>
      <c r="N3247">
        <v>16.666666666666664</v>
      </c>
      <c r="O3247">
        <v>6.9093</v>
      </c>
      <c r="P3247">
        <v>28</v>
      </c>
      <c r="Q3247">
        <v>6.9093</v>
      </c>
      <c r="R3247">
        <v>6.9093</v>
      </c>
      <c r="S3247">
        <v>6.9093</v>
      </c>
      <c r="T3247">
        <v>98.283469999999994</v>
      </c>
      <c r="W3247" t="s">
        <v>1547</v>
      </c>
    </row>
    <row r="3248" spans="1:23" x14ac:dyDescent="0.25">
      <c r="A3248" t="s">
        <v>3684</v>
      </c>
      <c r="B3248" t="str">
        <f t="shared" si="51"/>
        <v>CG1200001820</v>
      </c>
      <c r="C3248" t="s">
        <v>229</v>
      </c>
      <c r="D3248" t="s">
        <v>77</v>
      </c>
      <c r="E3248" t="s">
        <v>82</v>
      </c>
      <c r="F3248">
        <v>3000</v>
      </c>
      <c r="G3248" s="13">
        <v>46014</v>
      </c>
      <c r="H3248" s="13">
        <v>46198</v>
      </c>
      <c r="J3248">
        <v>234</v>
      </c>
      <c r="K3248">
        <v>234</v>
      </c>
      <c r="N3248">
        <v>12.5</v>
      </c>
      <c r="O3248">
        <v>6.6131000000000002</v>
      </c>
      <c r="P3248">
        <v>3.9</v>
      </c>
      <c r="Q3248">
        <v>6.75</v>
      </c>
      <c r="R3248">
        <v>6.1</v>
      </c>
      <c r="S3248">
        <v>6.75</v>
      </c>
      <c r="T3248">
        <v>96.764876999999998</v>
      </c>
      <c r="W3248" t="s">
        <v>497</v>
      </c>
    </row>
    <row r="3249" spans="1:23" x14ac:dyDescent="0.25">
      <c r="A3249" t="s">
        <v>3685</v>
      </c>
      <c r="B3249" t="str">
        <f t="shared" si="51"/>
        <v>CG1300001100</v>
      </c>
      <c r="C3249" t="s">
        <v>229</v>
      </c>
      <c r="D3249" t="s">
        <v>77</v>
      </c>
      <c r="E3249" t="s">
        <v>287</v>
      </c>
      <c r="F3249">
        <v>7000</v>
      </c>
      <c r="G3249" s="13">
        <v>46014</v>
      </c>
      <c r="H3249" s="13">
        <v>46380</v>
      </c>
      <c r="I3249">
        <v>810</v>
      </c>
      <c r="J3249">
        <v>228</v>
      </c>
      <c r="K3249">
        <v>1038</v>
      </c>
      <c r="N3249">
        <v>16.666666666666664</v>
      </c>
      <c r="O3249">
        <v>7.3673000000000002</v>
      </c>
      <c r="P3249">
        <v>15.542899999999999</v>
      </c>
      <c r="Q3249">
        <v>7</v>
      </c>
      <c r="R3249">
        <v>6.5</v>
      </c>
      <c r="S3249">
        <v>7.5</v>
      </c>
      <c r="T3249">
        <v>93.067265000000006</v>
      </c>
      <c r="W3249" t="s">
        <v>497</v>
      </c>
    </row>
    <row r="3250" spans="1:23" x14ac:dyDescent="0.25">
      <c r="A3250" t="s">
        <v>3686</v>
      </c>
      <c r="B3250" t="str">
        <f t="shared" si="51"/>
        <v>GA1200002606</v>
      </c>
      <c r="C3250" t="s">
        <v>227</v>
      </c>
      <c r="D3250" t="s">
        <v>77</v>
      </c>
      <c r="E3250" t="s">
        <v>82</v>
      </c>
      <c r="F3250">
        <v>10000</v>
      </c>
      <c r="G3250" s="13">
        <v>46015</v>
      </c>
      <c r="H3250" s="13">
        <v>46171</v>
      </c>
      <c r="I3250">
        <v>4901</v>
      </c>
      <c r="J3250">
        <v>5099</v>
      </c>
      <c r="K3250">
        <v>10000</v>
      </c>
      <c r="N3250">
        <v>14.285714285714285</v>
      </c>
      <c r="O3250">
        <v>6.6066000000000003</v>
      </c>
      <c r="P3250">
        <v>101</v>
      </c>
      <c r="Q3250">
        <v>6.5</v>
      </c>
      <c r="R3250">
        <v>6.35</v>
      </c>
      <c r="S3250">
        <v>6.5</v>
      </c>
      <c r="T3250">
        <v>97.251527999999993</v>
      </c>
      <c r="W3250" t="s">
        <v>497</v>
      </c>
    </row>
    <row r="3251" spans="1:23" x14ac:dyDescent="0.25">
      <c r="A3251" t="s">
        <v>3687</v>
      </c>
      <c r="B3251" t="str">
        <f t="shared" si="51"/>
        <v>GA1200002630</v>
      </c>
      <c r="C3251" t="s">
        <v>227</v>
      </c>
      <c r="D3251" t="s">
        <v>77</v>
      </c>
      <c r="E3251" t="s">
        <v>82</v>
      </c>
      <c r="F3251">
        <v>10000</v>
      </c>
      <c r="G3251" s="13">
        <v>46015</v>
      </c>
      <c r="H3251" s="13">
        <v>46199</v>
      </c>
      <c r="I3251">
        <v>3410</v>
      </c>
      <c r="J3251">
        <v>650</v>
      </c>
      <c r="K3251">
        <v>4060</v>
      </c>
      <c r="N3251">
        <v>14.285714285714285</v>
      </c>
      <c r="O3251">
        <v>6.8094000000000001</v>
      </c>
      <c r="P3251">
        <v>40.6</v>
      </c>
      <c r="Q3251">
        <v>6.6</v>
      </c>
      <c r="R3251">
        <v>6.4</v>
      </c>
      <c r="S3251">
        <v>6.6</v>
      </c>
      <c r="T3251">
        <v>96.672049999999999</v>
      </c>
      <c r="W3251" t="s">
        <v>497</v>
      </c>
    </row>
    <row r="3252" spans="1:23" x14ac:dyDescent="0.25">
      <c r="A3252" t="s">
        <v>3688</v>
      </c>
      <c r="B3252" t="str">
        <f t="shared" si="51"/>
        <v>GA1300000963</v>
      </c>
      <c r="C3252" t="s">
        <v>227</v>
      </c>
      <c r="D3252" t="s">
        <v>77</v>
      </c>
      <c r="E3252" t="s">
        <v>287</v>
      </c>
      <c r="F3252">
        <v>10000</v>
      </c>
      <c r="G3252" s="13">
        <v>46015</v>
      </c>
      <c r="H3252" s="13">
        <v>46381</v>
      </c>
      <c r="T3252" t="s">
        <v>1418</v>
      </c>
      <c r="W3252" t="s">
        <v>497</v>
      </c>
    </row>
    <row r="3253" spans="1:23" x14ac:dyDescent="0.25">
      <c r="A3253" t="s">
        <v>3689</v>
      </c>
      <c r="B3253" t="str">
        <f t="shared" si="51"/>
        <v>TD1200002152</v>
      </c>
      <c r="C3253" t="s">
        <v>237</v>
      </c>
      <c r="D3253" t="s">
        <v>77</v>
      </c>
      <c r="E3253" t="s">
        <v>82</v>
      </c>
      <c r="F3253">
        <v>10000</v>
      </c>
      <c r="G3253" s="13">
        <v>46015</v>
      </c>
      <c r="H3253" s="13">
        <v>46199</v>
      </c>
      <c r="J3253">
        <v>0</v>
      </c>
      <c r="N3253">
        <v>0</v>
      </c>
      <c r="T3253" t="s">
        <v>1418</v>
      </c>
      <c r="W3253" t="s">
        <v>497</v>
      </c>
    </row>
    <row r="3254" spans="1:23" x14ac:dyDescent="0.25">
      <c r="A3254" t="s">
        <v>3690</v>
      </c>
      <c r="B3254" t="str">
        <f t="shared" si="51"/>
        <v>CM1200002176</v>
      </c>
      <c r="C3254" t="s">
        <v>225</v>
      </c>
      <c r="D3254" t="s">
        <v>77</v>
      </c>
      <c r="E3254" t="s">
        <v>82</v>
      </c>
      <c r="F3254">
        <v>10000</v>
      </c>
      <c r="G3254" s="13">
        <v>46020</v>
      </c>
      <c r="H3254" s="13">
        <v>46204</v>
      </c>
      <c r="I3254">
        <v>3004</v>
      </c>
      <c r="J3254">
        <v>0</v>
      </c>
      <c r="K3254">
        <v>3004</v>
      </c>
      <c r="N3254">
        <v>9.0909090909090917</v>
      </c>
      <c r="O3254">
        <v>6.7088000000000001</v>
      </c>
      <c r="P3254">
        <v>30.04</v>
      </c>
      <c r="Q3254">
        <v>6.55</v>
      </c>
      <c r="R3254">
        <v>6.15</v>
      </c>
      <c r="S3254">
        <v>6.55</v>
      </c>
      <c r="T3254">
        <v>96.719594000000001</v>
      </c>
      <c r="W3254" t="s">
        <v>497</v>
      </c>
    </row>
    <row r="3255" spans="1:23" x14ac:dyDescent="0.25">
      <c r="A3255" t="s">
        <v>3691</v>
      </c>
      <c r="B3255" t="str">
        <f t="shared" si="51"/>
        <v>CG1200001846</v>
      </c>
      <c r="C3255" t="s">
        <v>229</v>
      </c>
      <c r="D3255" t="s">
        <v>77</v>
      </c>
      <c r="E3255" t="s">
        <v>82</v>
      </c>
      <c r="F3255">
        <v>5000</v>
      </c>
      <c r="G3255" s="13">
        <v>46021</v>
      </c>
      <c r="H3255" s="13">
        <v>46205</v>
      </c>
      <c r="I3255">
        <v>1000</v>
      </c>
      <c r="J3255">
        <v>55</v>
      </c>
      <c r="K3255">
        <v>1055</v>
      </c>
      <c r="N3255">
        <v>16.666666666666664</v>
      </c>
      <c r="O3255">
        <v>6.9763000000000002</v>
      </c>
      <c r="P3255">
        <v>21.1</v>
      </c>
      <c r="Q3255">
        <v>6.8</v>
      </c>
      <c r="R3255">
        <v>6.6</v>
      </c>
      <c r="S3255">
        <v>6.8</v>
      </c>
      <c r="T3255">
        <v>96.593249999999998</v>
      </c>
      <c r="W3255" t="s">
        <v>497</v>
      </c>
    </row>
    <row r="3256" spans="1:23" x14ac:dyDescent="0.25">
      <c r="A3256" t="s">
        <v>3692</v>
      </c>
      <c r="B3256" t="str">
        <f t="shared" si="51"/>
        <v>CG1300001134</v>
      </c>
      <c r="C3256" t="s">
        <v>229</v>
      </c>
      <c r="D3256" t="s">
        <v>77</v>
      </c>
      <c r="E3256" t="s">
        <v>287</v>
      </c>
      <c r="F3256">
        <v>15000</v>
      </c>
      <c r="G3256" s="13">
        <v>46021</v>
      </c>
      <c r="H3256" s="13">
        <v>46387</v>
      </c>
      <c r="J3256">
        <v>0</v>
      </c>
      <c r="N3256">
        <v>0</v>
      </c>
      <c r="T3256" t="s">
        <v>1418</v>
      </c>
      <c r="W3256" t="s">
        <v>497</v>
      </c>
    </row>
    <row r="3257" spans="1:23" x14ac:dyDescent="0.25">
      <c r="A3257" t="s">
        <v>3693</v>
      </c>
      <c r="B3257" t="str">
        <f t="shared" si="51"/>
        <v>CG1200001838</v>
      </c>
      <c r="C3257" t="s">
        <v>229</v>
      </c>
      <c r="D3257" t="s">
        <v>77</v>
      </c>
      <c r="E3257" t="s">
        <v>82</v>
      </c>
      <c r="F3257">
        <v>10000</v>
      </c>
      <c r="G3257" s="13">
        <v>46021</v>
      </c>
      <c r="H3257" s="13">
        <v>46205</v>
      </c>
      <c r="K3257">
        <v>10000</v>
      </c>
      <c r="W3257" t="s">
        <v>542</v>
      </c>
    </row>
    <row r="3258" spans="1:23" x14ac:dyDescent="0.25">
      <c r="A3258" t="s">
        <v>3694</v>
      </c>
      <c r="B3258" t="str">
        <f t="shared" si="51"/>
        <v>CG1300001126</v>
      </c>
      <c r="C3258" t="s">
        <v>229</v>
      </c>
      <c r="D3258" t="s">
        <v>77</v>
      </c>
      <c r="E3258" t="s">
        <v>287</v>
      </c>
      <c r="F3258">
        <v>5000</v>
      </c>
      <c r="G3258" s="13">
        <v>46021</v>
      </c>
      <c r="H3258" s="13">
        <v>46387</v>
      </c>
      <c r="W3258" t="s">
        <v>542</v>
      </c>
    </row>
    <row r="3259" spans="1:23" x14ac:dyDescent="0.25">
      <c r="A3259" t="s">
        <v>3695</v>
      </c>
      <c r="B3259" t="str">
        <f t="shared" si="51"/>
        <v>CG1300001118</v>
      </c>
      <c r="C3259" t="s">
        <v>229</v>
      </c>
      <c r="D3259" t="s">
        <v>77</v>
      </c>
      <c r="E3259" t="s">
        <v>287</v>
      </c>
      <c r="G3259" s="13">
        <v>46021</v>
      </c>
      <c r="H3259" s="13">
        <v>46387</v>
      </c>
      <c r="W3259" t="s">
        <v>542</v>
      </c>
    </row>
    <row r="3260" spans="1:23" x14ac:dyDescent="0.25">
      <c r="A3260" t="s">
        <v>3696</v>
      </c>
      <c r="B3260" t="str">
        <f t="shared" si="51"/>
        <v>GA1200002630</v>
      </c>
      <c r="C3260" t="s">
        <v>227</v>
      </c>
      <c r="D3260" t="s">
        <v>77</v>
      </c>
      <c r="E3260" t="s">
        <v>82</v>
      </c>
      <c r="F3260">
        <v>13000</v>
      </c>
      <c r="G3260" s="13">
        <v>46022</v>
      </c>
      <c r="H3260" s="13">
        <v>46199</v>
      </c>
      <c r="I3260">
        <v>3000</v>
      </c>
      <c r="J3260">
        <v>10000</v>
      </c>
      <c r="K3260">
        <v>13000</v>
      </c>
      <c r="N3260">
        <v>9.5238095238095237</v>
      </c>
      <c r="O3260">
        <v>6.7121000000000004</v>
      </c>
      <c r="P3260">
        <v>100</v>
      </c>
      <c r="Q3260">
        <v>6.5</v>
      </c>
      <c r="R3260">
        <v>6.5</v>
      </c>
      <c r="S3260">
        <v>6.5</v>
      </c>
      <c r="T3260">
        <v>96.840277999999998</v>
      </c>
      <c r="W3260" t="s">
        <v>497</v>
      </c>
    </row>
    <row r="3261" spans="1:23" x14ac:dyDescent="0.25">
      <c r="A3261" t="s">
        <v>3697</v>
      </c>
      <c r="B3261" t="str">
        <f t="shared" si="51"/>
        <v>CM1200002184</v>
      </c>
      <c r="C3261" t="s">
        <v>225</v>
      </c>
      <c r="D3261" t="s">
        <v>77</v>
      </c>
      <c r="E3261" t="s">
        <v>82</v>
      </c>
      <c r="G3261" s="13">
        <v>46027</v>
      </c>
      <c r="H3261" s="13"/>
      <c r="J3261">
        <v>0</v>
      </c>
      <c r="N3261">
        <v>0</v>
      </c>
      <c r="T3261" t="s">
        <v>1418</v>
      </c>
      <c r="W3261" t="s">
        <v>497</v>
      </c>
    </row>
    <row r="3262" spans="1:23" x14ac:dyDescent="0.25">
      <c r="A3262" t="s">
        <v>3698</v>
      </c>
      <c r="B3262" t="str">
        <f t="shared" si="51"/>
        <v>GA1200002648</v>
      </c>
      <c r="C3262" t="s">
        <v>227</v>
      </c>
      <c r="D3262" t="s">
        <v>77</v>
      </c>
      <c r="E3262" t="s">
        <v>82</v>
      </c>
      <c r="F3262">
        <v>7500</v>
      </c>
      <c r="G3262" s="13">
        <v>46029</v>
      </c>
      <c r="H3262" s="13">
        <v>46213</v>
      </c>
      <c r="I3262">
        <v>6177</v>
      </c>
      <c r="J3262">
        <v>1323</v>
      </c>
      <c r="K3262">
        <v>7500</v>
      </c>
      <c r="N3262">
        <v>38.095238095238095</v>
      </c>
      <c r="O3262">
        <v>6.7099000000000002</v>
      </c>
      <c r="P3262">
        <v>122.08</v>
      </c>
      <c r="Q3262">
        <v>6.5</v>
      </c>
      <c r="R3262">
        <v>6.4</v>
      </c>
      <c r="S3262">
        <v>7</v>
      </c>
      <c r="T3262">
        <v>96.719052000000005</v>
      </c>
      <c r="W3262" t="s">
        <v>497</v>
      </c>
    </row>
    <row r="3263" spans="1:23" x14ac:dyDescent="0.25">
      <c r="A3263" t="s">
        <v>3699</v>
      </c>
      <c r="B3263" t="str">
        <f t="shared" si="51"/>
        <v>CM1200002192</v>
      </c>
      <c r="C3263" t="s">
        <v>225</v>
      </c>
      <c r="D3263" t="s">
        <v>77</v>
      </c>
      <c r="E3263" t="s">
        <v>82</v>
      </c>
      <c r="F3263">
        <v>15000</v>
      </c>
      <c r="G3263" s="13">
        <v>46034</v>
      </c>
      <c r="H3263" s="13">
        <v>46218</v>
      </c>
      <c r="I3263">
        <v>1110</v>
      </c>
      <c r="J3263">
        <v>4000</v>
      </c>
      <c r="K3263">
        <v>5110</v>
      </c>
      <c r="N3263">
        <v>22.727272727272727</v>
      </c>
      <c r="O3263">
        <v>6.8258999999999999</v>
      </c>
      <c r="P3263">
        <v>34.133299999999998</v>
      </c>
      <c r="Q3263">
        <v>6.7</v>
      </c>
      <c r="R3263">
        <v>6.49</v>
      </c>
      <c r="S3263">
        <v>7.5</v>
      </c>
      <c r="T3263">
        <v>96.664224000000004</v>
      </c>
      <c r="W3263" t="s">
        <v>497</v>
      </c>
    </row>
    <row r="3264" spans="1:23" x14ac:dyDescent="0.25">
      <c r="A3264" t="s">
        <v>3700</v>
      </c>
      <c r="B3264" t="str">
        <f t="shared" si="51"/>
        <v>CF1200000476</v>
      </c>
      <c r="C3264" t="s">
        <v>2406</v>
      </c>
      <c r="D3264" t="s">
        <v>77</v>
      </c>
      <c r="E3264" t="s">
        <v>82</v>
      </c>
      <c r="F3264">
        <v>2500</v>
      </c>
      <c r="G3264" s="13">
        <v>46034</v>
      </c>
      <c r="H3264" s="13">
        <v>46197</v>
      </c>
      <c r="J3264">
        <v>1250</v>
      </c>
      <c r="K3264">
        <v>1250</v>
      </c>
      <c r="N3264">
        <v>11.111111111111111</v>
      </c>
      <c r="O3264">
        <v>6.9600999999999997</v>
      </c>
      <c r="P3264">
        <v>50</v>
      </c>
      <c r="Q3264">
        <v>6.75</v>
      </c>
      <c r="R3264">
        <v>6.75</v>
      </c>
      <c r="S3264">
        <v>6.75</v>
      </c>
      <c r="T3264">
        <v>96.981250000000003</v>
      </c>
      <c r="W3264" t="s">
        <v>681</v>
      </c>
    </row>
    <row r="3265" spans="1:23" x14ac:dyDescent="0.25">
      <c r="A3265" t="s">
        <v>3701</v>
      </c>
      <c r="B3265" t="str">
        <f t="shared" si="51"/>
        <v>CG1200001853</v>
      </c>
      <c r="C3265" t="s">
        <v>229</v>
      </c>
      <c r="D3265" t="s">
        <v>77</v>
      </c>
      <c r="E3265" t="s">
        <v>82</v>
      </c>
      <c r="F3265">
        <v>15000</v>
      </c>
      <c r="G3265" s="13">
        <v>46035</v>
      </c>
      <c r="H3265" s="13">
        <v>46219</v>
      </c>
      <c r="I3265">
        <v>2591</v>
      </c>
      <c r="J3265">
        <v>12409</v>
      </c>
      <c r="K3265">
        <v>15000</v>
      </c>
      <c r="N3265">
        <v>37.5</v>
      </c>
      <c r="O3265">
        <v>7.1790000000000003</v>
      </c>
      <c r="P3265">
        <v>116.72</v>
      </c>
      <c r="Q3265">
        <v>7</v>
      </c>
      <c r="R3265">
        <v>6.5</v>
      </c>
      <c r="S3265">
        <v>7</v>
      </c>
      <c r="T3265">
        <v>96.497737000000001</v>
      </c>
      <c r="W3265" t="s">
        <v>497</v>
      </c>
    </row>
    <row r="3266" spans="1:23" x14ac:dyDescent="0.25">
      <c r="A3266" t="s">
        <v>3702</v>
      </c>
      <c r="B3266" t="str">
        <f t="shared" si="51"/>
        <v>CG1200001853</v>
      </c>
      <c r="C3266" t="s">
        <v>229</v>
      </c>
      <c r="D3266" t="s">
        <v>77</v>
      </c>
      <c r="E3266" t="s">
        <v>82</v>
      </c>
      <c r="F3266">
        <v>7500</v>
      </c>
      <c r="G3266" s="13">
        <v>46035</v>
      </c>
      <c r="H3266" s="13">
        <v>46219</v>
      </c>
      <c r="I3266">
        <v>0</v>
      </c>
      <c r="J3266">
        <v>1884</v>
      </c>
      <c r="K3266">
        <v>1884</v>
      </c>
      <c r="N3266">
        <v>4.1666666666666661</v>
      </c>
      <c r="O3266">
        <v>7.1790000000000003</v>
      </c>
      <c r="P3266">
        <v>25.12</v>
      </c>
      <c r="Q3266">
        <v>6.9275500000000001</v>
      </c>
      <c r="R3266">
        <v>6.9275500000000001</v>
      </c>
      <c r="S3266">
        <v>6.9275500000000001</v>
      </c>
      <c r="W3266" t="s">
        <v>1547</v>
      </c>
    </row>
    <row r="3267" spans="1:23" x14ac:dyDescent="0.25">
      <c r="A3267" t="s">
        <v>3703</v>
      </c>
      <c r="B3267" t="str">
        <f t="shared" si="51"/>
        <v>CG1300001142</v>
      </c>
      <c r="C3267" t="s">
        <v>229</v>
      </c>
      <c r="D3267" t="s">
        <v>77</v>
      </c>
      <c r="E3267" t="s">
        <v>287</v>
      </c>
      <c r="F3267">
        <v>10000</v>
      </c>
      <c r="G3267" s="13">
        <v>46035</v>
      </c>
      <c r="H3267" s="13">
        <v>46401</v>
      </c>
      <c r="I3267">
        <v>5945</v>
      </c>
      <c r="J3267">
        <v>3253</v>
      </c>
      <c r="K3267">
        <v>9198</v>
      </c>
      <c r="N3267">
        <v>41.666666666666671</v>
      </c>
      <c r="O3267">
        <v>7.4724000000000004</v>
      </c>
      <c r="P3267">
        <v>141.97999999999999</v>
      </c>
      <c r="Q3267">
        <v>7</v>
      </c>
      <c r="R3267">
        <v>6.7</v>
      </c>
      <c r="S3267">
        <v>7.5</v>
      </c>
      <c r="T3267">
        <v>92.975350000000006</v>
      </c>
      <c r="W3267" t="s">
        <v>542</v>
      </c>
    </row>
    <row r="3268" spans="1:23" x14ac:dyDescent="0.25">
      <c r="A3268" t="s">
        <v>3704</v>
      </c>
      <c r="B3268" t="str">
        <f t="shared" si="51"/>
        <v>GQ1300001609</v>
      </c>
      <c r="C3268" t="s">
        <v>528</v>
      </c>
      <c r="D3268" t="s">
        <v>77</v>
      </c>
      <c r="E3268" t="s">
        <v>287</v>
      </c>
      <c r="F3268">
        <v>20000</v>
      </c>
      <c r="G3268" s="13">
        <v>46035</v>
      </c>
      <c r="H3268" s="13">
        <v>46401</v>
      </c>
      <c r="I3268">
        <v>3380</v>
      </c>
      <c r="J3268">
        <v>1198</v>
      </c>
      <c r="K3268">
        <v>4578</v>
      </c>
      <c r="N3268">
        <v>38.461538461538467</v>
      </c>
      <c r="O3268">
        <v>7.7114000000000003</v>
      </c>
      <c r="P3268">
        <v>22.89</v>
      </c>
      <c r="Q3268">
        <v>7.5</v>
      </c>
      <c r="R3268">
        <v>5.8</v>
      </c>
      <c r="S3268">
        <v>7.5</v>
      </c>
      <c r="T3268">
        <v>92.766910999999993</v>
      </c>
      <c r="W3268" t="s">
        <v>497</v>
      </c>
    </row>
    <row r="3269" spans="1:23" x14ac:dyDescent="0.25">
      <c r="A3269" t="s">
        <v>3705</v>
      </c>
      <c r="B3269" t="str">
        <f t="shared" si="51"/>
        <v>GA1100002086</v>
      </c>
      <c r="C3269" t="s">
        <v>227</v>
      </c>
      <c r="D3269" t="s">
        <v>77</v>
      </c>
      <c r="E3269" t="s">
        <v>78</v>
      </c>
      <c r="F3269">
        <v>8500</v>
      </c>
      <c r="G3269" s="13">
        <v>46036</v>
      </c>
      <c r="H3269" s="13">
        <v>46129</v>
      </c>
      <c r="I3269">
        <v>3210</v>
      </c>
      <c r="J3269">
        <v>401</v>
      </c>
      <c r="K3269">
        <v>3611</v>
      </c>
      <c r="N3269">
        <v>23.809523809523807</v>
      </c>
      <c r="O3269">
        <v>6.4850000000000003</v>
      </c>
      <c r="P3269">
        <v>42.847099999999998</v>
      </c>
      <c r="Q3269">
        <v>6.4</v>
      </c>
      <c r="R3269">
        <v>6.3</v>
      </c>
      <c r="S3269">
        <v>6.5</v>
      </c>
      <c r="T3269">
        <v>98.387163999999999</v>
      </c>
      <c r="W3269" t="s">
        <v>497</v>
      </c>
    </row>
    <row r="3270" spans="1:23" x14ac:dyDescent="0.25">
      <c r="A3270" t="s">
        <v>3706</v>
      </c>
      <c r="B3270" t="str">
        <f t="shared" si="51"/>
        <v>GA1100002094</v>
      </c>
      <c r="C3270" t="s">
        <v>227</v>
      </c>
      <c r="D3270" t="s">
        <v>77</v>
      </c>
      <c r="E3270" t="s">
        <v>78</v>
      </c>
      <c r="F3270">
        <v>50000</v>
      </c>
      <c r="G3270" s="13">
        <v>46036</v>
      </c>
      <c r="H3270" s="13">
        <v>46129</v>
      </c>
      <c r="I3270">
        <v>5000</v>
      </c>
      <c r="J3270">
        <v>5000</v>
      </c>
      <c r="K3270">
        <v>10000</v>
      </c>
      <c r="N3270">
        <v>14.285714285714285</v>
      </c>
      <c r="O3270">
        <v>6.5052000000000003</v>
      </c>
      <c r="P3270">
        <v>24</v>
      </c>
      <c r="Q3270">
        <v>6.4</v>
      </c>
      <c r="R3270">
        <v>6.4</v>
      </c>
      <c r="S3270">
        <v>6.75</v>
      </c>
      <c r="T3270">
        <v>98.382221999999999</v>
      </c>
      <c r="W3270" t="s">
        <v>497</v>
      </c>
    </row>
    <row r="3271" spans="1:23" x14ac:dyDescent="0.25">
      <c r="A3271" t="s">
        <v>3707</v>
      </c>
      <c r="B3271" t="str">
        <f t="shared" si="51"/>
        <v>GA1200002655</v>
      </c>
      <c r="C3271" t="s">
        <v>227</v>
      </c>
      <c r="D3271" t="s">
        <v>77</v>
      </c>
      <c r="E3271" t="s">
        <v>82</v>
      </c>
      <c r="F3271">
        <v>10000</v>
      </c>
      <c r="G3271" s="13">
        <v>46036</v>
      </c>
      <c r="H3271" s="13">
        <v>46220</v>
      </c>
      <c r="I3271">
        <v>1031</v>
      </c>
      <c r="J3271">
        <v>1973</v>
      </c>
      <c r="K3271">
        <v>3004</v>
      </c>
      <c r="N3271">
        <v>28.571428571428569</v>
      </c>
      <c r="O3271">
        <v>6.6946000000000003</v>
      </c>
      <c r="P3271">
        <v>30.04</v>
      </c>
      <c r="Q3271">
        <v>6.5</v>
      </c>
      <c r="R3271">
        <v>6.3</v>
      </c>
      <c r="S3271">
        <v>6.5</v>
      </c>
      <c r="T3271">
        <v>96.726316999999995</v>
      </c>
      <c r="W3271" t="s">
        <v>497</v>
      </c>
    </row>
    <row r="3272" spans="1:23" x14ac:dyDescent="0.25">
      <c r="A3272" t="s">
        <v>3708</v>
      </c>
      <c r="B3272" t="str">
        <f t="shared" si="51"/>
        <v>GA1300000971</v>
      </c>
      <c r="C3272" t="s">
        <v>227</v>
      </c>
      <c r="D3272" t="s">
        <v>77</v>
      </c>
      <c r="E3272" t="s">
        <v>287</v>
      </c>
      <c r="G3272" s="13">
        <v>46036</v>
      </c>
      <c r="H3272" s="13"/>
      <c r="J3272">
        <v>0</v>
      </c>
      <c r="N3272">
        <v>0</v>
      </c>
      <c r="T3272" t="s">
        <v>1418</v>
      </c>
      <c r="W3272" t="s">
        <v>497</v>
      </c>
    </row>
    <row r="3273" spans="1:23" x14ac:dyDescent="0.25">
      <c r="A3273" t="s">
        <v>3709</v>
      </c>
      <c r="B3273" t="str">
        <f t="shared" si="51"/>
        <v>CM1100001229</v>
      </c>
      <c r="C3273" t="s">
        <v>225</v>
      </c>
      <c r="D3273" t="s">
        <v>77</v>
      </c>
      <c r="E3273" t="s">
        <v>78</v>
      </c>
      <c r="F3273">
        <v>15000</v>
      </c>
      <c r="G3273" s="13">
        <v>46041</v>
      </c>
      <c r="H3273" s="13">
        <v>46134</v>
      </c>
      <c r="I3273">
        <v>15000</v>
      </c>
      <c r="J3273">
        <v>0</v>
      </c>
      <c r="K3273">
        <v>15000</v>
      </c>
      <c r="N3273">
        <v>22.727272727272727</v>
      </c>
      <c r="O3273">
        <v>6.5990000000000002</v>
      </c>
      <c r="P3273">
        <v>103.26</v>
      </c>
      <c r="Q3273">
        <v>6.5</v>
      </c>
      <c r="R3273">
        <v>6.2</v>
      </c>
      <c r="S3273">
        <v>7</v>
      </c>
      <c r="T3273">
        <v>98.359278000000003</v>
      </c>
      <c r="W3273" t="s">
        <v>497</v>
      </c>
    </row>
    <row r="3274" spans="1:23" x14ac:dyDescent="0.25">
      <c r="A3274" t="s">
        <v>3710</v>
      </c>
      <c r="B3274" t="str">
        <f t="shared" si="51"/>
        <v>CM1300001102</v>
      </c>
      <c r="C3274" t="s">
        <v>225</v>
      </c>
      <c r="D3274" t="s">
        <v>77</v>
      </c>
      <c r="E3274" t="s">
        <v>287</v>
      </c>
      <c r="F3274">
        <v>10000</v>
      </c>
      <c r="G3274" s="13">
        <v>46041</v>
      </c>
      <c r="H3274" s="13">
        <v>46407</v>
      </c>
      <c r="I3274">
        <v>3317</v>
      </c>
      <c r="J3274">
        <v>6683</v>
      </c>
      <c r="K3274">
        <v>10000</v>
      </c>
      <c r="N3274">
        <v>18.181818181818183</v>
      </c>
      <c r="O3274">
        <v>7.3042999999999996</v>
      </c>
      <c r="P3274">
        <v>133.27000000000001</v>
      </c>
      <c r="Q3274">
        <v>6.85</v>
      </c>
      <c r="R3274">
        <v>6.5</v>
      </c>
      <c r="S3274">
        <v>7.5</v>
      </c>
      <c r="T3274">
        <v>93.122497999999993</v>
      </c>
      <c r="W3274" t="s">
        <v>497</v>
      </c>
    </row>
    <row r="3275" spans="1:23" x14ac:dyDescent="0.25">
      <c r="A3275" t="s">
        <v>3711</v>
      </c>
      <c r="B3275" t="str">
        <f t="shared" si="51"/>
        <v>CG1200001861</v>
      </c>
      <c r="C3275" t="s">
        <v>229</v>
      </c>
      <c r="D3275" t="s">
        <v>77</v>
      </c>
      <c r="E3275" t="s">
        <v>82</v>
      </c>
      <c r="F3275">
        <v>20000</v>
      </c>
      <c r="G3275" s="13">
        <v>46042</v>
      </c>
      <c r="H3275" s="13">
        <v>46226</v>
      </c>
      <c r="I3275">
        <v>11773</v>
      </c>
      <c r="J3275">
        <v>8227</v>
      </c>
      <c r="K3275">
        <v>20000</v>
      </c>
      <c r="N3275">
        <v>25</v>
      </c>
      <c r="O3275">
        <v>7.1134000000000004</v>
      </c>
      <c r="P3275">
        <v>141.19499999999999</v>
      </c>
      <c r="Q3275">
        <v>7</v>
      </c>
      <c r="R3275">
        <v>6.5</v>
      </c>
      <c r="S3275">
        <v>7.25</v>
      </c>
      <c r="T3275">
        <v>96.528640999999993</v>
      </c>
      <c r="W3275" t="s">
        <v>497</v>
      </c>
    </row>
    <row r="3276" spans="1:23" x14ac:dyDescent="0.25">
      <c r="A3276" t="s">
        <v>3712</v>
      </c>
      <c r="B3276" t="str">
        <f t="shared" si="51"/>
        <v>CG1300001159</v>
      </c>
      <c r="C3276" t="s">
        <v>229</v>
      </c>
      <c r="D3276" t="s">
        <v>77</v>
      </c>
      <c r="E3276" t="s">
        <v>287</v>
      </c>
      <c r="F3276">
        <v>20000</v>
      </c>
      <c r="G3276" s="13">
        <v>46042</v>
      </c>
      <c r="H3276" s="13">
        <v>46408</v>
      </c>
      <c r="I3276">
        <v>505</v>
      </c>
      <c r="J3276">
        <v>5972</v>
      </c>
      <c r="K3276">
        <v>6477</v>
      </c>
      <c r="N3276">
        <v>33.333333333333329</v>
      </c>
      <c r="O3276">
        <v>7.2910000000000004</v>
      </c>
      <c r="P3276">
        <v>32.384999999999998</v>
      </c>
      <c r="Q3276">
        <v>7</v>
      </c>
      <c r="R3276">
        <v>6</v>
      </c>
      <c r="S3276">
        <v>7</v>
      </c>
      <c r="T3276">
        <v>93.134139000000005</v>
      </c>
      <c r="W3276" t="s">
        <v>497</v>
      </c>
    </row>
    <row r="3277" spans="1:23" x14ac:dyDescent="0.25">
      <c r="A3277" t="s">
        <v>3713</v>
      </c>
      <c r="B3277" t="str">
        <f t="shared" si="51"/>
        <v>GA1100002102</v>
      </c>
      <c r="C3277" t="s">
        <v>227</v>
      </c>
      <c r="D3277" t="s">
        <v>77</v>
      </c>
      <c r="E3277" t="s">
        <v>78</v>
      </c>
      <c r="F3277">
        <v>10000</v>
      </c>
      <c r="G3277" s="13">
        <v>46043</v>
      </c>
      <c r="H3277" s="13">
        <v>46136</v>
      </c>
      <c r="I3277">
        <v>50</v>
      </c>
      <c r="J3277">
        <v>5506</v>
      </c>
      <c r="K3277">
        <v>5556</v>
      </c>
      <c r="N3277">
        <v>28.571428571428569</v>
      </c>
      <c r="O3277">
        <v>6.4074999999999998</v>
      </c>
      <c r="P3277">
        <v>75.709999999999994</v>
      </c>
      <c r="Q3277">
        <v>6.5</v>
      </c>
      <c r="R3277">
        <v>6.25</v>
      </c>
      <c r="S3277">
        <v>7</v>
      </c>
      <c r="T3277">
        <v>98.406135000000006</v>
      </c>
      <c r="W3277" t="s">
        <v>497</v>
      </c>
    </row>
    <row r="3278" spans="1:23" x14ac:dyDescent="0.25">
      <c r="A3278" t="s">
        <v>3714</v>
      </c>
      <c r="B3278" t="str">
        <f t="shared" si="51"/>
        <v>GA1200002655</v>
      </c>
      <c r="C3278" t="s">
        <v>227</v>
      </c>
      <c r="D3278" t="s">
        <v>77</v>
      </c>
      <c r="E3278" t="s">
        <v>82</v>
      </c>
      <c r="F3278">
        <v>7000</v>
      </c>
      <c r="G3278" s="13">
        <v>46043</v>
      </c>
      <c r="H3278" s="13">
        <v>46220</v>
      </c>
      <c r="I3278">
        <v>3500</v>
      </c>
      <c r="J3278">
        <v>0</v>
      </c>
      <c r="K3278">
        <v>3500</v>
      </c>
      <c r="N3278">
        <v>4.7619047619047619</v>
      </c>
      <c r="O3278">
        <v>6.7121000000000004</v>
      </c>
      <c r="P3278">
        <v>50</v>
      </c>
      <c r="Q3278">
        <v>6.5</v>
      </c>
      <c r="R3278">
        <v>6.5</v>
      </c>
      <c r="S3278">
        <v>6.5</v>
      </c>
      <c r="T3278">
        <v>96.840277999999998</v>
      </c>
      <c r="W3278" t="s">
        <v>497</v>
      </c>
    </row>
    <row r="3279" spans="1:23" x14ac:dyDescent="0.25">
      <c r="A3279" t="s">
        <v>3715</v>
      </c>
      <c r="B3279" t="str">
        <f t="shared" si="51"/>
        <v>TD1300000783</v>
      </c>
      <c r="C3279" t="s">
        <v>237</v>
      </c>
      <c r="D3279" t="s">
        <v>77</v>
      </c>
      <c r="E3279" t="s">
        <v>287</v>
      </c>
      <c r="F3279">
        <v>11000</v>
      </c>
      <c r="G3279" s="13">
        <v>46043</v>
      </c>
      <c r="H3279" s="13">
        <v>46409</v>
      </c>
      <c r="I3279">
        <v>0</v>
      </c>
      <c r="J3279">
        <v>11000</v>
      </c>
      <c r="K3279">
        <v>11000</v>
      </c>
      <c r="N3279">
        <v>8.3333333333333321</v>
      </c>
      <c r="O3279">
        <v>6.9572000000000003</v>
      </c>
      <c r="P3279">
        <v>100</v>
      </c>
      <c r="Q3279">
        <v>6.5</v>
      </c>
      <c r="R3279">
        <v>6.5</v>
      </c>
      <c r="S3279">
        <v>6.5</v>
      </c>
      <c r="T3279">
        <v>93.427778000000004</v>
      </c>
      <c r="W3279" t="s">
        <v>497</v>
      </c>
    </row>
    <row r="3280" spans="1:23" x14ac:dyDescent="0.25">
      <c r="A3280" t="s">
        <v>3716</v>
      </c>
      <c r="B3280" t="str">
        <f t="shared" si="51"/>
        <v>CM1200002200</v>
      </c>
      <c r="C3280" t="s">
        <v>225</v>
      </c>
      <c r="D3280" t="s">
        <v>77</v>
      </c>
      <c r="E3280" t="s">
        <v>82</v>
      </c>
      <c r="G3280" s="13">
        <v>46048</v>
      </c>
      <c r="H3280" s="13"/>
      <c r="J3280">
        <v>0</v>
      </c>
      <c r="N3280">
        <v>0</v>
      </c>
      <c r="T3280" t="s">
        <v>1418</v>
      </c>
      <c r="W3280" t="s">
        <v>497</v>
      </c>
    </row>
    <row r="3281" spans="1:23" x14ac:dyDescent="0.25">
      <c r="A3281" t="s">
        <v>3717</v>
      </c>
      <c r="B3281" t="str">
        <f t="shared" si="51"/>
        <v>CG1200001879</v>
      </c>
      <c r="C3281" t="s">
        <v>229</v>
      </c>
      <c r="D3281" t="s">
        <v>77</v>
      </c>
      <c r="E3281" t="s">
        <v>82</v>
      </c>
      <c r="F3281">
        <v>15000</v>
      </c>
      <c r="G3281" s="13">
        <v>46049</v>
      </c>
      <c r="H3281" s="13">
        <v>46233</v>
      </c>
      <c r="I3281">
        <v>500</v>
      </c>
      <c r="J3281">
        <v>14500</v>
      </c>
      <c r="K3281">
        <v>15000</v>
      </c>
      <c r="N3281">
        <v>8.3333333333333321</v>
      </c>
      <c r="O3281">
        <v>7.2474999999999996</v>
      </c>
      <c r="P3281">
        <v>160</v>
      </c>
      <c r="Q3281">
        <v>7</v>
      </c>
      <c r="R3281">
        <v>6.74</v>
      </c>
      <c r="S3281">
        <v>7</v>
      </c>
      <c r="T3281">
        <v>96.465492999999995</v>
      </c>
      <c r="W3281" t="s">
        <v>497</v>
      </c>
    </row>
    <row r="3282" spans="1:23" x14ac:dyDescent="0.25">
      <c r="A3282" t="s">
        <v>3718</v>
      </c>
      <c r="B3282" t="str">
        <f t="shared" si="51"/>
        <v>CG1200001879</v>
      </c>
      <c r="C3282" t="s">
        <v>229</v>
      </c>
      <c r="D3282" t="s">
        <v>77</v>
      </c>
      <c r="E3282" t="s">
        <v>82</v>
      </c>
      <c r="F3282">
        <v>7500</v>
      </c>
      <c r="G3282" s="13">
        <v>46049</v>
      </c>
      <c r="H3282" s="13">
        <v>46233</v>
      </c>
      <c r="I3282">
        <v>0</v>
      </c>
      <c r="J3282">
        <v>7500</v>
      </c>
      <c r="K3282">
        <v>7500</v>
      </c>
      <c r="N3282">
        <v>4.1666666666666661</v>
      </c>
      <c r="O3282">
        <v>7.25</v>
      </c>
      <c r="P3282">
        <v>100</v>
      </c>
      <c r="Q3282">
        <v>7.25</v>
      </c>
      <c r="R3282">
        <v>7.25</v>
      </c>
      <c r="S3282">
        <v>7.25</v>
      </c>
      <c r="T3282">
        <v>96.465492999999995</v>
      </c>
      <c r="W3282" t="s">
        <v>497</v>
      </c>
    </row>
    <row r="3283" spans="1:23" x14ac:dyDescent="0.25">
      <c r="A3283" t="s">
        <v>3719</v>
      </c>
      <c r="B3283" t="str">
        <f t="shared" si="51"/>
        <v>CG1300001167</v>
      </c>
      <c r="C3283" t="s">
        <v>229</v>
      </c>
      <c r="D3283" t="s">
        <v>77</v>
      </c>
      <c r="E3283" t="s">
        <v>287</v>
      </c>
      <c r="F3283">
        <v>5000</v>
      </c>
      <c r="G3283" s="13">
        <v>46049</v>
      </c>
      <c r="H3283" s="13">
        <v>46415</v>
      </c>
      <c r="I3283">
        <v>5000</v>
      </c>
      <c r="J3283">
        <v>0</v>
      </c>
      <c r="K3283">
        <v>5000</v>
      </c>
      <c r="N3283">
        <v>4.1666666666666661</v>
      </c>
      <c r="O3283">
        <v>7.5331999999999999</v>
      </c>
      <c r="P3283">
        <v>100</v>
      </c>
      <c r="Q3283">
        <v>7</v>
      </c>
      <c r="R3283">
        <v>7</v>
      </c>
      <c r="S3283">
        <v>7</v>
      </c>
      <c r="T3283">
        <v>92.922222000000005</v>
      </c>
      <c r="W3283" t="s">
        <v>497</v>
      </c>
    </row>
    <row r="3284" spans="1:23" x14ac:dyDescent="0.25">
      <c r="A3284" t="s">
        <v>3720</v>
      </c>
      <c r="B3284" t="str">
        <f t="shared" si="51"/>
        <v>GQ1300001617</v>
      </c>
      <c r="C3284" t="s">
        <v>528</v>
      </c>
      <c r="D3284" t="s">
        <v>77</v>
      </c>
      <c r="E3284" t="s">
        <v>287</v>
      </c>
      <c r="F3284">
        <v>17000</v>
      </c>
      <c r="G3284" s="13">
        <v>46049</v>
      </c>
      <c r="H3284" s="13">
        <v>46407</v>
      </c>
      <c r="I3284">
        <v>9000</v>
      </c>
      <c r="J3284">
        <v>151</v>
      </c>
      <c r="K3284">
        <v>9151</v>
      </c>
      <c r="N3284">
        <v>30.76923076923077</v>
      </c>
      <c r="O3284">
        <v>8.4191000000000003</v>
      </c>
      <c r="P3284">
        <v>53.8294</v>
      </c>
      <c r="Q3284">
        <v>8</v>
      </c>
      <c r="R3284">
        <v>6.7</v>
      </c>
      <c r="S3284">
        <v>8</v>
      </c>
      <c r="T3284">
        <v>92.155198999999996</v>
      </c>
      <c r="W3284" t="s">
        <v>497</v>
      </c>
    </row>
    <row r="3285" spans="1:23" x14ac:dyDescent="0.25">
      <c r="A3285" t="s">
        <v>3721</v>
      </c>
      <c r="B3285" t="str">
        <f t="shared" si="51"/>
        <v>GA1300000989</v>
      </c>
      <c r="C3285" t="s">
        <v>227</v>
      </c>
      <c r="D3285" t="s">
        <v>77</v>
      </c>
      <c r="E3285" t="s">
        <v>287</v>
      </c>
      <c r="F3285">
        <v>10000</v>
      </c>
      <c r="G3285" s="13">
        <v>46050</v>
      </c>
      <c r="H3285" s="13">
        <v>46416</v>
      </c>
      <c r="I3285">
        <v>1702</v>
      </c>
      <c r="J3285">
        <v>920</v>
      </c>
      <c r="K3285">
        <v>2622</v>
      </c>
      <c r="N3285">
        <v>33.333333333333329</v>
      </c>
      <c r="O3285">
        <v>6.9496000000000002</v>
      </c>
      <c r="P3285">
        <v>47.08</v>
      </c>
      <c r="Q3285">
        <v>6.5</v>
      </c>
      <c r="R3285">
        <v>5.8</v>
      </c>
      <c r="S3285">
        <v>7.5</v>
      </c>
      <c r="T3285">
        <v>93.434526000000005</v>
      </c>
      <c r="W3285" t="s">
        <v>497</v>
      </c>
    </row>
    <row r="3286" spans="1:23" x14ac:dyDescent="0.25">
      <c r="A3286" t="s">
        <v>3722</v>
      </c>
      <c r="B3286" t="str">
        <f t="shared" si="51"/>
        <v>CM1300001110</v>
      </c>
      <c r="C3286" t="s">
        <v>225</v>
      </c>
      <c r="D3286" t="s">
        <v>77</v>
      </c>
      <c r="E3286" t="s">
        <v>287</v>
      </c>
      <c r="F3286">
        <v>10000</v>
      </c>
      <c r="G3286" s="13">
        <v>46055</v>
      </c>
      <c r="H3286" s="13">
        <v>46421</v>
      </c>
      <c r="I3286">
        <v>6000</v>
      </c>
      <c r="J3286">
        <v>0</v>
      </c>
      <c r="K3286">
        <v>6000</v>
      </c>
      <c r="N3286">
        <v>9.0909090909090917</v>
      </c>
      <c r="O3286">
        <v>7.2923999999999998</v>
      </c>
      <c r="P3286">
        <v>60</v>
      </c>
      <c r="Q3286">
        <v>6.85</v>
      </c>
      <c r="R3286">
        <v>6.75</v>
      </c>
      <c r="S3286">
        <v>6.85</v>
      </c>
      <c r="T3286">
        <v>93.132869999999997</v>
      </c>
      <c r="W3286" t="s">
        <v>497</v>
      </c>
    </row>
    <row r="3287" spans="1:23" x14ac:dyDescent="0.25">
      <c r="A3287" t="s">
        <v>3723</v>
      </c>
      <c r="B3287" t="str">
        <f t="shared" si="51"/>
        <v>GA1100002110</v>
      </c>
      <c r="C3287" t="s">
        <v>227</v>
      </c>
      <c r="D3287" t="s">
        <v>77</v>
      </c>
      <c r="E3287" t="s">
        <v>78</v>
      </c>
      <c r="F3287">
        <v>10000</v>
      </c>
      <c r="G3287" s="13">
        <v>46057</v>
      </c>
      <c r="H3287" s="13">
        <v>46150</v>
      </c>
      <c r="I3287">
        <v>13</v>
      </c>
      <c r="J3287">
        <v>4209</v>
      </c>
      <c r="K3287">
        <v>4222</v>
      </c>
      <c r="N3287">
        <v>19.047619047619047</v>
      </c>
      <c r="O3287">
        <v>6.5</v>
      </c>
      <c r="P3287">
        <v>42.22</v>
      </c>
      <c r="Q3287">
        <v>6.5</v>
      </c>
      <c r="R3287">
        <v>6.2</v>
      </c>
      <c r="S3287">
        <v>6.5</v>
      </c>
      <c r="T3287">
        <v>98.360022000000001</v>
      </c>
      <c r="W3287" t="s">
        <v>497</v>
      </c>
    </row>
    <row r="3288" spans="1:23" x14ac:dyDescent="0.25">
      <c r="A3288" t="s">
        <v>3724</v>
      </c>
      <c r="B3288" t="str">
        <f t="shared" si="51"/>
        <v>GA1300000997</v>
      </c>
      <c r="C3288" t="s">
        <v>227</v>
      </c>
      <c r="D3288" t="s">
        <v>77</v>
      </c>
      <c r="E3288" t="s">
        <v>287</v>
      </c>
      <c r="F3288">
        <v>15000</v>
      </c>
      <c r="G3288" s="13">
        <v>46057</v>
      </c>
      <c r="H3288" s="13">
        <v>46423</v>
      </c>
      <c r="I3288">
        <v>0</v>
      </c>
      <c r="J3288">
        <v>6614</v>
      </c>
      <c r="K3288">
        <v>6614</v>
      </c>
      <c r="N3288">
        <v>19.047619047619047</v>
      </c>
      <c r="O3288">
        <v>6.9572000000000003</v>
      </c>
      <c r="P3288">
        <v>44.16</v>
      </c>
      <c r="Q3288">
        <v>6.5</v>
      </c>
      <c r="R3288">
        <v>6.5</v>
      </c>
      <c r="S3288">
        <v>7.5</v>
      </c>
      <c r="T3288">
        <v>93.427778000000004</v>
      </c>
      <c r="W3288" t="s">
        <v>497</v>
      </c>
    </row>
    <row r="3289" spans="1:23" x14ac:dyDescent="0.25">
      <c r="A3289" t="s">
        <v>3725</v>
      </c>
      <c r="B3289" t="str">
        <f t="shared" si="51"/>
        <v>CM1200002218</v>
      </c>
      <c r="C3289" t="s">
        <v>225</v>
      </c>
      <c r="D3289" t="s">
        <v>77</v>
      </c>
      <c r="E3289" t="s">
        <v>82</v>
      </c>
      <c r="G3289" s="13">
        <v>46062</v>
      </c>
      <c r="H3289" s="13"/>
      <c r="J3289">
        <v>0</v>
      </c>
      <c r="N3289">
        <v>0</v>
      </c>
      <c r="T3289" t="s">
        <v>1418</v>
      </c>
      <c r="W3289" t="s">
        <v>497</v>
      </c>
    </row>
    <row r="3290" spans="1:23" x14ac:dyDescent="0.25">
      <c r="A3290" t="s">
        <v>3726</v>
      </c>
      <c r="B3290" t="str">
        <f t="shared" si="51"/>
        <v>CM1300001128</v>
      </c>
      <c r="C3290" t="s">
        <v>225</v>
      </c>
      <c r="D3290" t="s">
        <v>77</v>
      </c>
      <c r="E3290" t="s">
        <v>287</v>
      </c>
      <c r="G3290" s="13">
        <v>46062</v>
      </c>
      <c r="H3290" s="13"/>
      <c r="J3290">
        <v>0</v>
      </c>
      <c r="N3290">
        <v>0</v>
      </c>
      <c r="T3290" t="s">
        <v>1418</v>
      </c>
      <c r="W3290" t="s">
        <v>497</v>
      </c>
    </row>
    <row r="3291" spans="1:23" x14ac:dyDescent="0.25">
      <c r="A3291" t="s">
        <v>3727</v>
      </c>
      <c r="B3291" t="str">
        <f t="shared" ref="B3291:B3351" si="52">MID(A3291,1,12)</f>
        <v>CF1200000476</v>
      </c>
      <c r="C3291" t="s">
        <v>2406</v>
      </c>
      <c r="D3291" t="s">
        <v>77</v>
      </c>
      <c r="E3291" t="s">
        <v>82</v>
      </c>
      <c r="F3291">
        <v>1250</v>
      </c>
      <c r="G3291" s="13">
        <v>46062</v>
      </c>
      <c r="H3291" s="13">
        <v>46197</v>
      </c>
      <c r="I3291">
        <v>0</v>
      </c>
      <c r="J3291">
        <v>1250</v>
      </c>
      <c r="K3291">
        <v>1250</v>
      </c>
      <c r="N3291">
        <v>11.111111111111111</v>
      </c>
      <c r="O3291">
        <v>6.9226000000000001</v>
      </c>
      <c r="P3291">
        <v>100</v>
      </c>
      <c r="Q3291">
        <v>6.75</v>
      </c>
      <c r="R3291">
        <v>6.75</v>
      </c>
      <c r="S3291">
        <v>6.75</v>
      </c>
      <c r="T3291">
        <v>97.506249999999994</v>
      </c>
      <c r="W3291" t="s">
        <v>681</v>
      </c>
    </row>
    <row r="3292" spans="1:23" x14ac:dyDescent="0.25">
      <c r="A3292" t="s">
        <v>3728</v>
      </c>
      <c r="B3292" t="str">
        <f t="shared" si="52"/>
        <v>CG1200001887</v>
      </c>
      <c r="C3292" t="s">
        <v>229</v>
      </c>
      <c r="D3292" t="s">
        <v>77</v>
      </c>
      <c r="E3292" t="s">
        <v>82</v>
      </c>
      <c r="F3292">
        <v>35000</v>
      </c>
      <c r="G3292" s="13">
        <v>46063</v>
      </c>
      <c r="H3292" s="13">
        <v>46247</v>
      </c>
      <c r="I3292">
        <v>5580</v>
      </c>
      <c r="J3292">
        <v>9710</v>
      </c>
      <c r="K3292">
        <v>15290</v>
      </c>
      <c r="N3292">
        <v>45.833333333333329</v>
      </c>
      <c r="O3292">
        <v>7.2404000000000002</v>
      </c>
      <c r="P3292">
        <v>53.685699999999997</v>
      </c>
      <c r="Q3292">
        <v>7.25</v>
      </c>
      <c r="R3292">
        <v>6.4</v>
      </c>
      <c r="S3292">
        <v>8.15</v>
      </c>
      <c r="T3292">
        <v>96.468847999999994</v>
      </c>
      <c r="W3292" t="s">
        <v>497</v>
      </c>
    </row>
    <row r="3293" spans="1:23" x14ac:dyDescent="0.25">
      <c r="A3293" t="s">
        <v>3729</v>
      </c>
      <c r="B3293" t="str">
        <f t="shared" si="52"/>
        <v>CG1300001175</v>
      </c>
      <c r="C3293" t="s">
        <v>229</v>
      </c>
      <c r="D3293" t="s">
        <v>77</v>
      </c>
      <c r="E3293" t="s">
        <v>287</v>
      </c>
      <c r="F3293">
        <v>10000</v>
      </c>
      <c r="G3293" s="13">
        <v>46063</v>
      </c>
      <c r="H3293" s="13">
        <v>46429</v>
      </c>
      <c r="I3293">
        <v>200</v>
      </c>
      <c r="J3293">
        <v>297</v>
      </c>
      <c r="K3293">
        <v>497</v>
      </c>
      <c r="N3293">
        <v>25</v>
      </c>
      <c r="O3293">
        <v>7.4580000000000002</v>
      </c>
      <c r="P3293">
        <v>4.97</v>
      </c>
      <c r="Q3293">
        <v>7</v>
      </c>
      <c r="R3293">
        <v>6.7</v>
      </c>
      <c r="S3293">
        <v>7</v>
      </c>
      <c r="T3293">
        <v>92.987933999999996</v>
      </c>
      <c r="W3293" t="s">
        <v>497</v>
      </c>
    </row>
    <row r="3294" spans="1:23" x14ac:dyDescent="0.25">
      <c r="A3294" t="s">
        <v>3730</v>
      </c>
      <c r="B3294" t="str">
        <f t="shared" si="52"/>
        <v>TD1200002160</v>
      </c>
      <c r="C3294" t="s">
        <v>237</v>
      </c>
      <c r="D3294" t="s">
        <v>77</v>
      </c>
      <c r="E3294" t="s">
        <v>82</v>
      </c>
      <c r="F3294">
        <v>10000</v>
      </c>
      <c r="G3294" s="13">
        <v>46064</v>
      </c>
      <c r="H3294" s="13">
        <v>46248</v>
      </c>
      <c r="I3294">
        <v>7619</v>
      </c>
      <c r="J3294">
        <v>25</v>
      </c>
      <c r="K3294">
        <v>7644</v>
      </c>
      <c r="N3294">
        <v>25</v>
      </c>
      <c r="O3294">
        <v>6.7209000000000003</v>
      </c>
      <c r="P3294">
        <v>91.44</v>
      </c>
      <c r="Q3294">
        <v>6.5</v>
      </c>
      <c r="R3294">
        <v>6.5</v>
      </c>
      <c r="S3294">
        <v>6.8</v>
      </c>
      <c r="T3294">
        <v>96.713888999999995</v>
      </c>
      <c r="W3294" t="s">
        <v>497</v>
      </c>
    </row>
    <row r="3295" spans="1:23" x14ac:dyDescent="0.25">
      <c r="A3295" t="s">
        <v>3731</v>
      </c>
      <c r="B3295" t="str">
        <f t="shared" si="52"/>
        <v>GA1100002128</v>
      </c>
      <c r="C3295" t="s">
        <v>227</v>
      </c>
      <c r="D3295" t="s">
        <v>77</v>
      </c>
      <c r="E3295" t="s">
        <v>78</v>
      </c>
      <c r="F3295">
        <v>10000</v>
      </c>
      <c r="G3295" s="13">
        <v>46064</v>
      </c>
      <c r="H3295" s="13">
        <v>46157</v>
      </c>
      <c r="I3295">
        <v>7000</v>
      </c>
      <c r="J3295">
        <v>92</v>
      </c>
      <c r="K3295">
        <v>7092</v>
      </c>
      <c r="N3295">
        <v>23.809523809523807</v>
      </c>
      <c r="O3295">
        <v>6.4753999999999996</v>
      </c>
      <c r="P3295">
        <v>120.98</v>
      </c>
      <c r="Q3295">
        <v>6.4</v>
      </c>
      <c r="R3295">
        <v>6.3</v>
      </c>
      <c r="S3295">
        <v>7</v>
      </c>
      <c r="T3295">
        <v>98.389528999999996</v>
      </c>
      <c r="W3295" t="s">
        <v>497</v>
      </c>
    </row>
    <row r="3296" spans="1:23" x14ac:dyDescent="0.25">
      <c r="A3296" t="s">
        <v>3732</v>
      </c>
      <c r="B3296" t="str">
        <f t="shared" si="52"/>
        <v>CM1200002226</v>
      </c>
      <c r="C3296" t="s">
        <v>225</v>
      </c>
      <c r="D3296" t="s">
        <v>77</v>
      </c>
      <c r="E3296" t="s">
        <v>82</v>
      </c>
      <c r="F3296">
        <v>10000</v>
      </c>
      <c r="G3296" s="13">
        <v>46069</v>
      </c>
      <c r="H3296" s="13">
        <v>46253</v>
      </c>
      <c r="I3296">
        <v>1886</v>
      </c>
      <c r="J3296">
        <v>8114</v>
      </c>
      <c r="K3296">
        <v>10000</v>
      </c>
      <c r="N3296">
        <v>22.727272727272727</v>
      </c>
      <c r="O3296">
        <v>6.9452999999999996</v>
      </c>
      <c r="P3296">
        <v>117.96</v>
      </c>
      <c r="Q3296">
        <v>6.74</v>
      </c>
      <c r="R3296">
        <v>6.5</v>
      </c>
      <c r="S3296">
        <v>7</v>
      </c>
      <c r="T3296">
        <v>96.607855999999998</v>
      </c>
      <c r="W3296" t="s">
        <v>497</v>
      </c>
    </row>
    <row r="3297" spans="1:23" x14ac:dyDescent="0.25">
      <c r="A3297" t="s">
        <v>3733</v>
      </c>
      <c r="B3297" t="str">
        <f t="shared" si="52"/>
        <v>GQ1300001625</v>
      </c>
      <c r="C3297" t="s">
        <v>528</v>
      </c>
      <c r="D3297" t="s">
        <v>77</v>
      </c>
      <c r="E3297" t="s">
        <v>287</v>
      </c>
      <c r="F3297">
        <v>15000</v>
      </c>
      <c r="G3297" s="13">
        <v>46070</v>
      </c>
      <c r="H3297" s="13">
        <v>46436</v>
      </c>
      <c r="I3297">
        <v>13500</v>
      </c>
      <c r="J3297">
        <v>0</v>
      </c>
      <c r="K3297">
        <v>13500</v>
      </c>
      <c r="N3297">
        <v>15.384615384615385</v>
      </c>
      <c r="O3297">
        <v>8.4831000000000003</v>
      </c>
      <c r="P3297">
        <v>90</v>
      </c>
      <c r="Q3297">
        <v>8</v>
      </c>
      <c r="R3297">
        <v>7.65</v>
      </c>
      <c r="S3297">
        <v>8</v>
      </c>
      <c r="T3297">
        <v>92.100226000000006</v>
      </c>
      <c r="W3297" t="s">
        <v>497</v>
      </c>
    </row>
    <row r="3298" spans="1:23" x14ac:dyDescent="0.25">
      <c r="A3298" t="s">
        <v>3734</v>
      </c>
      <c r="B3298" t="str">
        <f t="shared" si="52"/>
        <v>GA1100002078</v>
      </c>
      <c r="C3298" t="s">
        <v>227</v>
      </c>
      <c r="D3298" t="s">
        <v>77</v>
      </c>
      <c r="E3298" t="s">
        <v>78</v>
      </c>
      <c r="F3298">
        <v>15676</v>
      </c>
      <c r="G3298" s="13">
        <v>46071</v>
      </c>
      <c r="H3298" s="13">
        <v>46094</v>
      </c>
      <c r="I3298">
        <v>15676</v>
      </c>
      <c r="J3298">
        <v>0</v>
      </c>
      <c r="K3298">
        <v>15676</v>
      </c>
      <c r="N3298">
        <v>4.7619047619047619</v>
      </c>
      <c r="O3298">
        <v>0</v>
      </c>
      <c r="P3298">
        <v>100</v>
      </c>
      <c r="Q3298">
        <v>0</v>
      </c>
      <c r="R3298">
        <v>0</v>
      </c>
      <c r="S3298">
        <v>0</v>
      </c>
      <c r="T3298">
        <v>100</v>
      </c>
      <c r="W3298" t="s">
        <v>497</v>
      </c>
    </row>
    <row r="3299" spans="1:23" x14ac:dyDescent="0.25">
      <c r="A3299" t="s">
        <v>3735</v>
      </c>
      <c r="B3299" t="str">
        <f t="shared" si="52"/>
        <v>GA1100002136</v>
      </c>
      <c r="C3299" t="s">
        <v>227</v>
      </c>
      <c r="D3299" t="s">
        <v>77</v>
      </c>
      <c r="E3299" t="s">
        <v>78</v>
      </c>
      <c r="F3299">
        <v>10000</v>
      </c>
      <c r="G3299" s="13">
        <v>46071</v>
      </c>
      <c r="H3299" s="13">
        <v>46164</v>
      </c>
      <c r="I3299">
        <v>9860</v>
      </c>
      <c r="J3299">
        <v>140</v>
      </c>
      <c r="K3299">
        <v>10000</v>
      </c>
      <c r="N3299">
        <v>23.809523809523807</v>
      </c>
      <c r="O3299">
        <v>6.4298999999999999</v>
      </c>
      <c r="P3299">
        <v>108.65</v>
      </c>
      <c r="Q3299">
        <v>6.5</v>
      </c>
      <c r="R3299">
        <v>6.15</v>
      </c>
      <c r="S3299">
        <v>6.5</v>
      </c>
      <c r="T3299">
        <v>98.374669999999995</v>
      </c>
      <c r="W3299" t="s">
        <v>497</v>
      </c>
    </row>
    <row r="3300" spans="1:23" x14ac:dyDescent="0.25">
      <c r="A3300" t="s">
        <v>3736</v>
      </c>
      <c r="B3300" t="str">
        <f t="shared" si="52"/>
        <v>CM1200002234</v>
      </c>
      <c r="C3300" t="s">
        <v>225</v>
      </c>
      <c r="D3300" t="s">
        <v>77</v>
      </c>
      <c r="E3300" t="s">
        <v>82</v>
      </c>
      <c r="F3300">
        <v>20000</v>
      </c>
      <c r="G3300" s="13">
        <v>46076</v>
      </c>
      <c r="H3300" s="13">
        <v>46260</v>
      </c>
      <c r="I3300">
        <v>7570</v>
      </c>
      <c r="J3300">
        <v>0</v>
      </c>
      <c r="K3300">
        <v>7570</v>
      </c>
      <c r="N3300">
        <v>18.181818181818183</v>
      </c>
      <c r="O3300">
        <v>6.7561999999999998</v>
      </c>
      <c r="P3300">
        <v>37.9</v>
      </c>
      <c r="Q3300">
        <v>6.55</v>
      </c>
      <c r="R3300">
        <v>6.5</v>
      </c>
      <c r="S3300">
        <v>7.5</v>
      </c>
      <c r="T3300">
        <v>96.697192999999999</v>
      </c>
      <c r="W3300" t="s">
        <v>497</v>
      </c>
    </row>
    <row r="3301" spans="1:23" x14ac:dyDescent="0.25">
      <c r="A3301" t="s">
        <v>3737</v>
      </c>
      <c r="B3301" t="str">
        <f t="shared" si="52"/>
        <v>CM1300001136</v>
      </c>
      <c r="C3301" t="s">
        <v>225</v>
      </c>
      <c r="D3301" t="s">
        <v>77</v>
      </c>
      <c r="E3301" t="s">
        <v>287</v>
      </c>
      <c r="F3301">
        <v>30000</v>
      </c>
      <c r="G3301" s="13">
        <v>46076</v>
      </c>
      <c r="H3301" s="13">
        <v>46442</v>
      </c>
      <c r="I3301">
        <v>24773</v>
      </c>
      <c r="J3301">
        <v>0</v>
      </c>
      <c r="K3301">
        <v>24773</v>
      </c>
      <c r="N3301">
        <v>22.727272727272727</v>
      </c>
      <c r="O3301">
        <v>7.3003</v>
      </c>
      <c r="P3301">
        <v>82.61</v>
      </c>
      <c r="Q3301">
        <v>6.8</v>
      </c>
      <c r="R3301">
        <v>6.75</v>
      </c>
      <c r="S3301">
        <v>7.5</v>
      </c>
      <c r="T3301">
        <v>93.126022000000006</v>
      </c>
      <c r="W3301" t="s">
        <v>497</v>
      </c>
    </row>
    <row r="3302" spans="1:23" x14ac:dyDescent="0.25">
      <c r="A3302" t="s">
        <v>3738</v>
      </c>
      <c r="B3302" t="str">
        <f t="shared" si="52"/>
        <v>CG1200001903</v>
      </c>
      <c r="C3302" t="s">
        <v>229</v>
      </c>
      <c r="D3302" t="s">
        <v>77</v>
      </c>
      <c r="E3302" t="s">
        <v>82</v>
      </c>
      <c r="F3302">
        <v>20000</v>
      </c>
      <c r="G3302" s="13">
        <v>46077</v>
      </c>
      <c r="H3302" s="13">
        <v>46261</v>
      </c>
      <c r="I3302">
        <v>13060</v>
      </c>
      <c r="J3302">
        <v>56</v>
      </c>
      <c r="K3302">
        <v>13116</v>
      </c>
      <c r="N3302">
        <v>25</v>
      </c>
      <c r="O3302">
        <v>7.1993999999999998</v>
      </c>
      <c r="P3302">
        <v>65.58</v>
      </c>
      <c r="Q3302">
        <v>7</v>
      </c>
      <c r="R3302">
        <v>6.5</v>
      </c>
      <c r="S3302">
        <v>7</v>
      </c>
      <c r="T3302">
        <v>96.488124999999997</v>
      </c>
      <c r="W3302" t="s">
        <v>497</v>
      </c>
    </row>
    <row r="3303" spans="1:23" x14ac:dyDescent="0.25">
      <c r="A3303" t="s">
        <v>3739</v>
      </c>
      <c r="B3303" t="str">
        <f t="shared" si="52"/>
        <v>CG1300001183</v>
      </c>
      <c r="C3303" t="s">
        <v>229</v>
      </c>
      <c r="D3303" t="s">
        <v>77</v>
      </c>
      <c r="E3303" t="s">
        <v>287</v>
      </c>
      <c r="F3303">
        <v>15000</v>
      </c>
      <c r="G3303" s="13">
        <v>46077</v>
      </c>
      <c r="H3303" s="13">
        <v>46443</v>
      </c>
      <c r="I3303">
        <v>105</v>
      </c>
      <c r="J3303">
        <v>10123</v>
      </c>
      <c r="K3303">
        <v>10228</v>
      </c>
      <c r="N3303">
        <v>29.166666666666668</v>
      </c>
      <c r="O3303">
        <v>7.5247000000000002</v>
      </c>
      <c r="P3303">
        <v>68.186700000000002</v>
      </c>
      <c r="Q3303">
        <v>7</v>
      </c>
      <c r="R3303">
        <v>6.4</v>
      </c>
      <c r="S3303">
        <v>7</v>
      </c>
      <c r="T3303">
        <v>92.929597000000001</v>
      </c>
      <c r="W3303" t="s">
        <v>497</v>
      </c>
    </row>
    <row r="3304" spans="1:23" x14ac:dyDescent="0.25">
      <c r="A3304" t="s">
        <v>3740</v>
      </c>
      <c r="B3304" t="str">
        <f t="shared" si="52"/>
        <v>GQ1200000180</v>
      </c>
      <c r="C3304" t="s">
        <v>528</v>
      </c>
      <c r="D3304" t="s">
        <v>77</v>
      </c>
      <c r="E3304" t="s">
        <v>82</v>
      </c>
      <c r="F3304">
        <v>17000</v>
      </c>
      <c r="G3304" s="13">
        <v>46077</v>
      </c>
      <c r="H3304" s="13">
        <v>46261</v>
      </c>
      <c r="I3304">
        <v>14000</v>
      </c>
      <c r="J3304">
        <v>0</v>
      </c>
      <c r="K3304">
        <v>14000</v>
      </c>
      <c r="N3304">
        <v>23.076923076923077</v>
      </c>
      <c r="O3304">
        <v>7.1877000000000004</v>
      </c>
      <c r="P3304">
        <v>82.411799999999999</v>
      </c>
      <c r="Q3304">
        <v>7</v>
      </c>
      <c r="R3304">
        <v>6.75</v>
      </c>
      <c r="S3304">
        <v>7.5</v>
      </c>
      <c r="T3304">
        <v>96.493611000000001</v>
      </c>
      <c r="W3304" t="s">
        <v>497</v>
      </c>
    </row>
    <row r="3305" spans="1:23" x14ac:dyDescent="0.25">
      <c r="A3305" t="s">
        <v>3741</v>
      </c>
      <c r="B3305" t="str">
        <f t="shared" si="52"/>
        <v>GA1200002663</v>
      </c>
      <c r="C3305" t="s">
        <v>227</v>
      </c>
      <c r="D3305" t="s">
        <v>77</v>
      </c>
      <c r="E3305" t="s">
        <v>82</v>
      </c>
      <c r="G3305" s="13">
        <v>46078</v>
      </c>
      <c r="H3305" s="13"/>
      <c r="J3305">
        <v>0</v>
      </c>
      <c r="N3305">
        <v>0</v>
      </c>
      <c r="T3305" t="s">
        <v>1418</v>
      </c>
      <c r="W3305" t="s">
        <v>497</v>
      </c>
    </row>
    <row r="3306" spans="1:23" x14ac:dyDescent="0.25">
      <c r="A3306" t="s">
        <v>3742</v>
      </c>
      <c r="B3306" t="str">
        <f t="shared" si="52"/>
        <v>GA1200002572</v>
      </c>
      <c r="C3306" t="s">
        <v>227</v>
      </c>
      <c r="D3306" t="s">
        <v>77</v>
      </c>
      <c r="E3306" t="s">
        <v>82</v>
      </c>
      <c r="G3306" s="13">
        <v>46078</v>
      </c>
      <c r="H3306" s="13"/>
      <c r="J3306">
        <v>0</v>
      </c>
      <c r="N3306">
        <v>0</v>
      </c>
      <c r="T3306" t="s">
        <v>1418</v>
      </c>
      <c r="W3306" t="s">
        <v>497</v>
      </c>
    </row>
    <row r="3307" spans="1:23" x14ac:dyDescent="0.25">
      <c r="A3307" t="s">
        <v>3743</v>
      </c>
      <c r="B3307" t="str">
        <f t="shared" si="52"/>
        <v>GA1100002144</v>
      </c>
      <c r="C3307" t="s">
        <v>227</v>
      </c>
      <c r="D3307" t="s">
        <v>77</v>
      </c>
      <c r="E3307" t="s">
        <v>78</v>
      </c>
      <c r="F3307">
        <v>20000</v>
      </c>
      <c r="G3307" s="13">
        <v>46078</v>
      </c>
      <c r="H3307" s="13"/>
      <c r="T3307" t="s">
        <v>750</v>
      </c>
      <c r="W3307" t="s">
        <v>497</v>
      </c>
    </row>
    <row r="3308" spans="1:23" x14ac:dyDescent="0.25">
      <c r="A3308" t="s">
        <v>3744</v>
      </c>
      <c r="B3308" t="str">
        <f t="shared" si="52"/>
        <v>CM1300001144</v>
      </c>
      <c r="C3308" t="s">
        <v>225</v>
      </c>
      <c r="D3308" t="s">
        <v>77</v>
      </c>
      <c r="E3308" t="s">
        <v>287</v>
      </c>
      <c r="F3308">
        <v>20000</v>
      </c>
      <c r="G3308" s="13">
        <v>46083</v>
      </c>
      <c r="H3308" s="13">
        <v>46449</v>
      </c>
      <c r="I3308">
        <v>5353</v>
      </c>
      <c r="J3308">
        <v>0</v>
      </c>
      <c r="K3308">
        <v>5353</v>
      </c>
      <c r="N3308">
        <v>9.0909090909090917</v>
      </c>
      <c r="O3308">
        <v>7.3057999999999996</v>
      </c>
      <c r="P3308">
        <v>26.765000000000001</v>
      </c>
      <c r="Q3308">
        <v>6.85</v>
      </c>
      <c r="R3308">
        <v>6.6</v>
      </c>
      <c r="S3308">
        <v>6.85</v>
      </c>
      <c r="T3308">
        <v>93.121167</v>
      </c>
      <c r="W3308" t="s">
        <v>497</v>
      </c>
    </row>
    <row r="3309" spans="1:23" x14ac:dyDescent="0.25">
      <c r="A3309" t="s">
        <v>3745</v>
      </c>
      <c r="B3309" t="str">
        <f t="shared" si="52"/>
        <v>CM1200002242</v>
      </c>
      <c r="C3309" t="s">
        <v>225</v>
      </c>
      <c r="D3309" t="s">
        <v>77</v>
      </c>
      <c r="E3309" t="s">
        <v>82</v>
      </c>
      <c r="F3309">
        <v>20000</v>
      </c>
      <c r="G3309" s="13">
        <v>46083</v>
      </c>
      <c r="H3309" s="13">
        <v>46267</v>
      </c>
      <c r="I3309">
        <v>16192</v>
      </c>
      <c r="J3309">
        <v>0</v>
      </c>
      <c r="K3309">
        <v>16192</v>
      </c>
      <c r="N3309">
        <v>22.727272727272727</v>
      </c>
      <c r="O3309">
        <v>6.8803000000000001</v>
      </c>
      <c r="P3309">
        <v>80.959999999999994</v>
      </c>
      <c r="Q3309">
        <v>6.75</v>
      </c>
      <c r="R3309">
        <v>6.5</v>
      </c>
      <c r="S3309">
        <v>6.75</v>
      </c>
      <c r="T3309">
        <v>96.638564000000002</v>
      </c>
      <c r="W3309" t="s">
        <v>497</v>
      </c>
    </row>
    <row r="3310" spans="1:23" x14ac:dyDescent="0.25">
      <c r="A3310" t="s">
        <v>3746</v>
      </c>
      <c r="B3310" t="str">
        <f t="shared" si="52"/>
        <v>CG1200001911</v>
      </c>
      <c r="C3310" t="s">
        <v>229</v>
      </c>
      <c r="D3310" t="s">
        <v>77</v>
      </c>
      <c r="E3310" t="s">
        <v>82</v>
      </c>
      <c r="F3310">
        <v>25000</v>
      </c>
      <c r="G3310" s="13">
        <v>46084</v>
      </c>
      <c r="H3310" s="13">
        <v>46268</v>
      </c>
      <c r="I3310">
        <v>516</v>
      </c>
      <c r="J3310">
        <v>101</v>
      </c>
      <c r="K3310">
        <v>617</v>
      </c>
      <c r="N3310">
        <v>13.043478260869565</v>
      </c>
      <c r="O3310">
        <v>7.0768000000000004</v>
      </c>
      <c r="P3310">
        <v>2.468</v>
      </c>
      <c r="Q3310">
        <v>7</v>
      </c>
      <c r="R3310">
        <v>6.75</v>
      </c>
      <c r="S3310">
        <v>7</v>
      </c>
      <c r="T3310">
        <v>96.545876000000007</v>
      </c>
      <c r="W3310" t="s">
        <v>497</v>
      </c>
    </row>
    <row r="3311" spans="1:23" x14ac:dyDescent="0.25">
      <c r="A3311" t="s">
        <v>3747</v>
      </c>
      <c r="B3311" t="str">
        <f t="shared" si="52"/>
        <v>CG1300001191</v>
      </c>
      <c r="C3311" t="s">
        <v>229</v>
      </c>
      <c r="D3311" t="s">
        <v>77</v>
      </c>
      <c r="E3311" t="s">
        <v>287</v>
      </c>
      <c r="F3311">
        <v>25000</v>
      </c>
      <c r="G3311" s="13">
        <v>46084</v>
      </c>
      <c r="H3311" s="13">
        <v>46450</v>
      </c>
      <c r="I3311">
        <v>20752</v>
      </c>
      <c r="J3311">
        <v>86</v>
      </c>
      <c r="K3311">
        <v>20838</v>
      </c>
      <c r="N3311">
        <v>13.043478260869565</v>
      </c>
      <c r="O3311">
        <v>83.352000000000004</v>
      </c>
      <c r="P3311">
        <v>83.352000000000004</v>
      </c>
      <c r="Q3311">
        <v>7</v>
      </c>
      <c r="R3311">
        <v>6.75</v>
      </c>
      <c r="S3311">
        <v>7</v>
      </c>
      <c r="T3311">
        <v>92.922465000000003</v>
      </c>
      <c r="W3311" t="s">
        <v>497</v>
      </c>
    </row>
    <row r="3312" spans="1:23" x14ac:dyDescent="0.25">
      <c r="A3312" t="s">
        <v>3748</v>
      </c>
      <c r="B3312" t="str">
        <f t="shared" si="52"/>
        <v>GA1200002671</v>
      </c>
      <c r="C3312" t="s">
        <v>227</v>
      </c>
      <c r="D3312" t="s">
        <v>77</v>
      </c>
      <c r="E3312" t="s">
        <v>82</v>
      </c>
      <c r="G3312" s="13">
        <v>46085</v>
      </c>
      <c r="H3312" s="13"/>
      <c r="J3312">
        <v>0</v>
      </c>
      <c r="N3312">
        <v>0</v>
      </c>
      <c r="T3312" t="s">
        <v>1418</v>
      </c>
      <c r="W3312" t="s">
        <v>497</v>
      </c>
    </row>
    <row r="3313" spans="1:23" x14ac:dyDescent="0.25">
      <c r="A3313" t="s">
        <v>3749</v>
      </c>
      <c r="B3313" t="str">
        <f t="shared" si="52"/>
        <v>GA1200002689</v>
      </c>
      <c r="C3313" t="s">
        <v>227</v>
      </c>
      <c r="D3313" t="s">
        <v>77</v>
      </c>
      <c r="E3313" t="s">
        <v>82</v>
      </c>
      <c r="G3313" s="13">
        <v>46085</v>
      </c>
      <c r="H3313" s="13"/>
      <c r="J3313">
        <v>0</v>
      </c>
      <c r="N3313">
        <v>0</v>
      </c>
      <c r="T3313" t="s">
        <v>1418</v>
      </c>
      <c r="W3313" t="s">
        <v>497</v>
      </c>
    </row>
    <row r="3314" spans="1:23" x14ac:dyDescent="0.25">
      <c r="A3314" t="s">
        <v>3750</v>
      </c>
      <c r="B3314" t="str">
        <f t="shared" si="52"/>
        <v>GA1200002572</v>
      </c>
      <c r="C3314" t="s">
        <v>227</v>
      </c>
      <c r="D3314" t="s">
        <v>77</v>
      </c>
      <c r="E3314" t="s">
        <v>82</v>
      </c>
      <c r="F3314">
        <v>40000</v>
      </c>
      <c r="G3314" s="13">
        <v>46085</v>
      </c>
      <c r="H3314" s="13">
        <v>46108</v>
      </c>
      <c r="I3314">
        <v>0</v>
      </c>
      <c r="J3314">
        <v>40000</v>
      </c>
      <c r="K3314">
        <v>40000</v>
      </c>
      <c r="N3314">
        <v>18.181818181818183</v>
      </c>
      <c r="O3314">
        <v>6.5247000000000002</v>
      </c>
      <c r="P3314">
        <v>119.98</v>
      </c>
      <c r="Q3314">
        <v>6.5</v>
      </c>
      <c r="R3314">
        <v>6.5</v>
      </c>
      <c r="S3314">
        <v>6.5</v>
      </c>
      <c r="T3314">
        <v>99.620833000000005</v>
      </c>
      <c r="W3314" t="s">
        <v>497</v>
      </c>
    </row>
    <row r="3315" spans="1:23" x14ac:dyDescent="0.25">
      <c r="A3315" t="s">
        <v>3751</v>
      </c>
      <c r="B3315" t="str">
        <f t="shared" si="52"/>
        <v>GA1200002572</v>
      </c>
      <c r="C3315" t="s">
        <v>227</v>
      </c>
      <c r="D3315" t="s">
        <v>77</v>
      </c>
      <c r="E3315" t="s">
        <v>82</v>
      </c>
      <c r="F3315">
        <v>20000</v>
      </c>
      <c r="G3315" s="13">
        <v>46085</v>
      </c>
      <c r="H3315" s="13">
        <v>46108</v>
      </c>
      <c r="I3315">
        <v>0</v>
      </c>
      <c r="J3315">
        <v>5494</v>
      </c>
      <c r="K3315">
        <v>5494</v>
      </c>
      <c r="N3315">
        <v>13.636363636363635</v>
      </c>
      <c r="O3315">
        <v>6.5247000000000002</v>
      </c>
      <c r="P3315">
        <v>27.47</v>
      </c>
      <c r="Q3315">
        <v>6.5247000000000002</v>
      </c>
      <c r="R3315">
        <v>6.5247000000000002</v>
      </c>
      <c r="S3315">
        <v>6.5247000000000002</v>
      </c>
      <c r="T3315">
        <v>99.620833000000005</v>
      </c>
      <c r="W3315" t="s">
        <v>1547</v>
      </c>
    </row>
    <row r="3316" spans="1:23" x14ac:dyDescent="0.25">
      <c r="A3316" t="s">
        <v>3752</v>
      </c>
      <c r="B3316" t="str">
        <f t="shared" si="52"/>
        <v>GA1200002564</v>
      </c>
      <c r="C3316" t="s">
        <v>227</v>
      </c>
      <c r="D3316" t="s">
        <v>77</v>
      </c>
      <c r="E3316" t="s">
        <v>82</v>
      </c>
      <c r="F3316">
        <v>25000</v>
      </c>
      <c r="G3316" s="13">
        <v>46085</v>
      </c>
      <c r="H3316" s="13">
        <v>46101</v>
      </c>
      <c r="J3316">
        <v>25000</v>
      </c>
      <c r="K3316">
        <v>25000</v>
      </c>
      <c r="N3316">
        <v>9.0909090909090917</v>
      </c>
      <c r="O3316">
        <v>6.5164999999999997</v>
      </c>
      <c r="P3316">
        <v>100</v>
      </c>
      <c r="Q3316">
        <v>6.5</v>
      </c>
      <c r="R3316">
        <v>6.5</v>
      </c>
      <c r="S3316">
        <v>6.5</v>
      </c>
      <c r="T3316">
        <v>99.747221999999994</v>
      </c>
      <c r="W3316" t="s">
        <v>497</v>
      </c>
    </row>
    <row r="3317" spans="1:23" x14ac:dyDescent="0.25">
      <c r="A3317" t="s">
        <v>3753</v>
      </c>
      <c r="B3317" t="str">
        <f t="shared" si="52"/>
        <v>CM1300001151</v>
      </c>
      <c r="C3317" t="s">
        <v>225</v>
      </c>
      <c r="D3317" t="s">
        <v>77</v>
      </c>
      <c r="E3317" t="s">
        <v>287</v>
      </c>
      <c r="G3317" s="13">
        <v>46090</v>
      </c>
      <c r="H3317" s="13"/>
      <c r="J3317">
        <v>0</v>
      </c>
      <c r="T3317" t="s">
        <v>1418</v>
      </c>
      <c r="W3317" t="s">
        <v>497</v>
      </c>
    </row>
    <row r="3318" spans="1:23" x14ac:dyDescent="0.25">
      <c r="A3318" t="s">
        <v>3754</v>
      </c>
      <c r="B3318" t="str">
        <f t="shared" si="52"/>
        <v>CG1200001929</v>
      </c>
      <c r="C3318" t="s">
        <v>229</v>
      </c>
      <c r="D3318" t="s">
        <v>77</v>
      </c>
      <c r="E3318" t="s">
        <v>82</v>
      </c>
      <c r="F3318">
        <v>15000</v>
      </c>
      <c r="G3318" s="13">
        <v>46091</v>
      </c>
      <c r="H3318" s="13">
        <v>46275</v>
      </c>
      <c r="I3318">
        <v>39</v>
      </c>
      <c r="J3318">
        <v>14961</v>
      </c>
      <c r="K3318">
        <v>15000</v>
      </c>
      <c r="N3318">
        <v>30.434782608695656</v>
      </c>
      <c r="O3318">
        <v>7.2470999999999997</v>
      </c>
      <c r="P3318">
        <v>136.2533</v>
      </c>
      <c r="Q3318">
        <v>7</v>
      </c>
      <c r="R3318">
        <v>6.3</v>
      </c>
      <c r="S3318">
        <v>7</v>
      </c>
      <c r="T3318">
        <v>96.465667999999994</v>
      </c>
      <c r="W3318" t="s">
        <v>497</v>
      </c>
    </row>
    <row r="3319" spans="1:23" x14ac:dyDescent="0.25">
      <c r="A3319" t="s">
        <v>3755</v>
      </c>
      <c r="B3319" t="str">
        <f t="shared" si="52"/>
        <v>CG1200001929</v>
      </c>
      <c r="C3319" t="s">
        <v>229</v>
      </c>
      <c r="D3319" t="s">
        <v>77</v>
      </c>
      <c r="E3319" t="s">
        <v>82</v>
      </c>
      <c r="F3319">
        <v>7500</v>
      </c>
      <c r="G3319" s="13">
        <v>46091</v>
      </c>
      <c r="H3319" s="13">
        <v>46275</v>
      </c>
      <c r="I3319">
        <v>0</v>
      </c>
      <c r="J3319">
        <v>2576</v>
      </c>
      <c r="K3319">
        <v>2576</v>
      </c>
      <c r="N3319">
        <v>4.3478260869565215</v>
      </c>
      <c r="O3319">
        <v>7.2470999999999997</v>
      </c>
      <c r="P3319">
        <v>34.346699999999998</v>
      </c>
      <c r="Q3319">
        <v>7.2470999999999997</v>
      </c>
      <c r="R3319">
        <v>7.2470999999999997</v>
      </c>
      <c r="S3319">
        <v>7.2470999999999997</v>
      </c>
      <c r="T3319">
        <v>96.465667999999994</v>
      </c>
      <c r="W3319" t="s">
        <v>1547</v>
      </c>
    </row>
    <row r="3320" spans="1:23" x14ac:dyDescent="0.25">
      <c r="A3320" t="s">
        <v>3756</v>
      </c>
      <c r="B3320" t="str">
        <f t="shared" si="52"/>
        <v>CG1300001209</v>
      </c>
      <c r="C3320" t="s">
        <v>229</v>
      </c>
      <c r="D3320" t="s">
        <v>77</v>
      </c>
      <c r="E3320" t="s">
        <v>287</v>
      </c>
      <c r="F3320">
        <v>15000</v>
      </c>
      <c r="G3320" s="13">
        <v>46091</v>
      </c>
      <c r="H3320" s="13">
        <v>46457</v>
      </c>
      <c r="I3320">
        <v>4077</v>
      </c>
      <c r="J3320">
        <v>10923</v>
      </c>
      <c r="K3320">
        <v>15000</v>
      </c>
      <c r="N3320">
        <v>30.434782608695656</v>
      </c>
      <c r="O3320">
        <v>7.4824999999999999</v>
      </c>
      <c r="P3320">
        <v>137.2533</v>
      </c>
      <c r="Q3320">
        <v>7</v>
      </c>
      <c r="R3320">
        <v>6.7</v>
      </c>
      <c r="S3320">
        <v>7</v>
      </c>
      <c r="T3320">
        <v>92.966475000000003</v>
      </c>
      <c r="W3320" t="s">
        <v>497</v>
      </c>
    </row>
    <row r="3321" spans="1:23" x14ac:dyDescent="0.25">
      <c r="A3321" t="s">
        <v>3757</v>
      </c>
      <c r="B3321" t="str">
        <f t="shared" si="52"/>
        <v>CG1300001209</v>
      </c>
      <c r="C3321" t="s">
        <v>229</v>
      </c>
      <c r="D3321" t="s">
        <v>77</v>
      </c>
      <c r="E3321" t="s">
        <v>287</v>
      </c>
      <c r="F3321">
        <v>7500</v>
      </c>
      <c r="G3321" s="13">
        <v>46091</v>
      </c>
      <c r="H3321" s="13">
        <v>46457</v>
      </c>
      <c r="I3321">
        <v>1553</v>
      </c>
      <c r="J3321">
        <v>4035</v>
      </c>
      <c r="K3321">
        <v>5588</v>
      </c>
      <c r="N3321">
        <v>13.043478260869565</v>
      </c>
      <c r="O3321">
        <v>7.4824999999999999</v>
      </c>
      <c r="P3321">
        <v>74.506699999999995</v>
      </c>
      <c r="Q3321">
        <v>7.4824999999999999</v>
      </c>
      <c r="R3321">
        <v>7.4824999999999999</v>
      </c>
      <c r="S3321">
        <v>7.4824999999999999</v>
      </c>
      <c r="T3321">
        <v>92.966475000000003</v>
      </c>
      <c r="W3321" t="s">
        <v>1547</v>
      </c>
    </row>
    <row r="3322" spans="1:23" x14ac:dyDescent="0.25">
      <c r="A3322" t="s">
        <v>3758</v>
      </c>
      <c r="B3322" t="str">
        <f t="shared" si="52"/>
        <v>GQ1300001633</v>
      </c>
      <c r="C3322" t="s">
        <v>528</v>
      </c>
      <c r="D3322" t="s">
        <v>77</v>
      </c>
      <c r="E3322" t="s">
        <v>287</v>
      </c>
      <c r="F3322">
        <v>15000</v>
      </c>
      <c r="G3322" s="13">
        <v>46091</v>
      </c>
      <c r="H3322" s="13">
        <v>46457</v>
      </c>
      <c r="I3322">
        <v>4500</v>
      </c>
      <c r="J3322">
        <v>3</v>
      </c>
      <c r="K3322">
        <v>4503</v>
      </c>
      <c r="N3322">
        <v>25</v>
      </c>
      <c r="O3322">
        <v>8.7036999999999995</v>
      </c>
      <c r="P3322">
        <v>30.02</v>
      </c>
      <c r="Q3322">
        <v>8</v>
      </c>
      <c r="R3322">
        <v>7.5</v>
      </c>
      <c r="S3322">
        <v>8</v>
      </c>
      <c r="T3322">
        <v>91.911447999999993</v>
      </c>
      <c r="W3322" t="s">
        <v>497</v>
      </c>
    </row>
    <row r="3323" spans="1:23" x14ac:dyDescent="0.25">
      <c r="A3323" t="s">
        <v>3759</v>
      </c>
      <c r="B3323" t="str">
        <f t="shared" si="52"/>
        <v>GA1100002151</v>
      </c>
      <c r="C3323" t="s">
        <v>227</v>
      </c>
      <c r="D3323" t="s">
        <v>77</v>
      </c>
      <c r="E3323" t="s">
        <v>78</v>
      </c>
      <c r="F3323">
        <v>12500</v>
      </c>
      <c r="G3323" s="13">
        <v>46092</v>
      </c>
      <c r="H3323" s="13">
        <v>46185</v>
      </c>
      <c r="I3323">
        <v>1550</v>
      </c>
      <c r="J3323">
        <v>5000</v>
      </c>
      <c r="K3323">
        <v>6550</v>
      </c>
      <c r="N3323">
        <v>13.636363636363635</v>
      </c>
      <c r="O3323">
        <v>6.5888999999999998</v>
      </c>
      <c r="P3323">
        <v>52.4</v>
      </c>
      <c r="Q3323">
        <v>6.5</v>
      </c>
      <c r="R3323">
        <v>6.45</v>
      </c>
      <c r="S3323">
        <v>6.5</v>
      </c>
      <c r="T3323">
        <v>98.361767999999998</v>
      </c>
      <c r="W3323" t="s">
        <v>497</v>
      </c>
    </row>
    <row r="3324" spans="1:23" x14ac:dyDescent="0.25">
      <c r="A3324" t="s">
        <v>3760</v>
      </c>
      <c r="B3324" t="str">
        <f t="shared" si="52"/>
        <v>TD1300000791</v>
      </c>
      <c r="C3324" t="s">
        <v>237</v>
      </c>
      <c r="D3324" t="s">
        <v>77</v>
      </c>
      <c r="E3324" t="s">
        <v>287</v>
      </c>
      <c r="G3324" s="13">
        <v>46092</v>
      </c>
      <c r="H3324" s="13"/>
      <c r="J3324">
        <v>0</v>
      </c>
      <c r="N3324">
        <v>0</v>
      </c>
      <c r="T3324" t="s">
        <v>1418</v>
      </c>
      <c r="W3324" t="s">
        <v>497</v>
      </c>
    </row>
    <row r="3325" spans="1:23" x14ac:dyDescent="0.25">
      <c r="A3325" t="s">
        <v>3761</v>
      </c>
      <c r="B3325" t="str">
        <f t="shared" si="52"/>
        <v>CM1100001237</v>
      </c>
      <c r="C3325" t="s">
        <v>225</v>
      </c>
      <c r="D3325" t="s">
        <v>77</v>
      </c>
      <c r="E3325" t="s">
        <v>78</v>
      </c>
      <c r="F3325">
        <v>15000</v>
      </c>
      <c r="G3325" s="13">
        <v>46097</v>
      </c>
      <c r="H3325" s="13">
        <v>46190</v>
      </c>
      <c r="I3325">
        <v>15000</v>
      </c>
      <c r="J3325">
        <v>0</v>
      </c>
      <c r="K3325">
        <v>15000</v>
      </c>
      <c r="N3325">
        <v>18.181818181818183</v>
      </c>
      <c r="O3325">
        <v>6.7285000000000004</v>
      </c>
      <c r="P3325">
        <v>143.84</v>
      </c>
      <c r="Q3325">
        <v>6.7</v>
      </c>
      <c r="R3325">
        <v>6</v>
      </c>
      <c r="S3325">
        <v>6.75</v>
      </c>
      <c r="T3325">
        <v>98.327637999999993</v>
      </c>
      <c r="W3325" t="s">
        <v>497</v>
      </c>
    </row>
    <row r="3326" spans="1:23" x14ac:dyDescent="0.25">
      <c r="A3326" t="s">
        <v>3762</v>
      </c>
      <c r="B3326" t="str">
        <f t="shared" si="52"/>
        <v>CM1300001177</v>
      </c>
      <c r="C3326" t="s">
        <v>225</v>
      </c>
      <c r="D3326" t="s">
        <v>77</v>
      </c>
      <c r="E3326" t="s">
        <v>287</v>
      </c>
      <c r="F3326">
        <v>15000</v>
      </c>
      <c r="G3326" s="13">
        <v>46097</v>
      </c>
      <c r="H3326" s="13">
        <v>46463</v>
      </c>
      <c r="I3326">
        <v>12017</v>
      </c>
      <c r="J3326">
        <v>0</v>
      </c>
      <c r="K3326">
        <v>12017</v>
      </c>
      <c r="N3326">
        <v>31.818181818181817</v>
      </c>
      <c r="O3326">
        <v>7.2911000000000001</v>
      </c>
      <c r="P3326">
        <v>113.98</v>
      </c>
      <c r="Q3326">
        <v>6.8</v>
      </c>
      <c r="R3326">
        <v>6.7</v>
      </c>
      <c r="S3326">
        <v>7</v>
      </c>
      <c r="T3326">
        <v>93.134086999999994</v>
      </c>
      <c r="W3326" t="s">
        <v>497</v>
      </c>
    </row>
    <row r="3327" spans="1:23" x14ac:dyDescent="0.25">
      <c r="A3327" t="s">
        <v>3763</v>
      </c>
      <c r="B3327" t="str">
        <f t="shared" si="52"/>
        <v>CG1200001937</v>
      </c>
      <c r="C3327" t="s">
        <v>229</v>
      </c>
      <c r="D3327" t="s">
        <v>77</v>
      </c>
      <c r="E3327" t="s">
        <v>82</v>
      </c>
      <c r="F3327">
        <v>15000</v>
      </c>
      <c r="G3327" s="13">
        <v>46098</v>
      </c>
      <c r="H3327" s="13">
        <v>46282</v>
      </c>
      <c r="I3327">
        <v>5000</v>
      </c>
      <c r="J3327">
        <v>3578</v>
      </c>
      <c r="K3327">
        <v>8578</v>
      </c>
      <c r="N3327">
        <v>30.434782608695656</v>
      </c>
      <c r="O3327">
        <v>7.226</v>
      </c>
      <c r="P3327">
        <v>57.186700000000002</v>
      </c>
      <c r="Q3327">
        <v>7</v>
      </c>
      <c r="R3327">
        <v>6.5</v>
      </c>
      <c r="S3327">
        <v>7</v>
      </c>
      <c r="T3327">
        <v>96.475611999999998</v>
      </c>
      <c r="W3327" t="s">
        <v>497</v>
      </c>
    </row>
    <row r="3328" spans="1:23" x14ac:dyDescent="0.25">
      <c r="A3328" t="s">
        <v>3764</v>
      </c>
      <c r="B3328" t="str">
        <f t="shared" si="52"/>
        <v>CG1300001217</v>
      </c>
      <c r="C3328" t="s">
        <v>229</v>
      </c>
      <c r="D3328" t="s">
        <v>77</v>
      </c>
      <c r="E3328" t="s">
        <v>287</v>
      </c>
      <c r="G3328" s="13">
        <v>46098</v>
      </c>
      <c r="H3328" s="13">
        <v>46284</v>
      </c>
      <c r="J3328">
        <v>0</v>
      </c>
      <c r="N3328">
        <v>0</v>
      </c>
      <c r="T3328" t="s">
        <v>1418</v>
      </c>
      <c r="W3328" t="s">
        <v>497</v>
      </c>
    </row>
    <row r="3329" spans="1:23" x14ac:dyDescent="0.25">
      <c r="A3329" t="s">
        <v>3765</v>
      </c>
      <c r="B3329" t="str">
        <f t="shared" si="52"/>
        <v>GA1100002086</v>
      </c>
      <c r="C3329" t="s">
        <v>227</v>
      </c>
      <c r="D3329" t="s">
        <v>77</v>
      </c>
      <c r="E3329" t="s">
        <v>78</v>
      </c>
      <c r="F3329">
        <v>25000</v>
      </c>
      <c r="G3329" s="13">
        <v>46099</v>
      </c>
      <c r="H3329" s="13">
        <v>46129</v>
      </c>
      <c r="I3329">
        <v>0</v>
      </c>
      <c r="J3329">
        <v>25000</v>
      </c>
      <c r="K3329">
        <v>25000</v>
      </c>
      <c r="N3329">
        <v>9.0909090909090917</v>
      </c>
      <c r="O3329">
        <v>6.5330000000000004</v>
      </c>
      <c r="P3329">
        <v>100</v>
      </c>
      <c r="Q3329">
        <v>6.5</v>
      </c>
      <c r="R3329">
        <v>6.5</v>
      </c>
      <c r="S3329">
        <v>6.5</v>
      </c>
      <c r="T3329">
        <v>99.494444000000001</v>
      </c>
      <c r="W3329" t="s">
        <v>497</v>
      </c>
    </row>
    <row r="3330" spans="1:23" x14ac:dyDescent="0.25">
      <c r="A3330" t="s">
        <v>3766</v>
      </c>
      <c r="B3330" t="str">
        <f t="shared" si="52"/>
        <v>GA1100002102</v>
      </c>
      <c r="C3330" t="s">
        <v>227</v>
      </c>
      <c r="D3330" t="s">
        <v>77</v>
      </c>
      <c r="E3330" t="s">
        <v>78</v>
      </c>
      <c r="F3330">
        <v>15733</v>
      </c>
      <c r="G3330" s="13">
        <v>46099</v>
      </c>
      <c r="H3330" s="13">
        <v>46136</v>
      </c>
      <c r="I3330">
        <v>15733</v>
      </c>
      <c r="J3330">
        <v>0</v>
      </c>
      <c r="K3330">
        <v>15733</v>
      </c>
      <c r="N3330">
        <v>4.5454545454545459</v>
      </c>
      <c r="O3330">
        <v>6.0351999999999997</v>
      </c>
      <c r="P3330">
        <v>100</v>
      </c>
      <c r="Q3330">
        <v>6.5</v>
      </c>
      <c r="R3330">
        <v>6</v>
      </c>
      <c r="S3330">
        <v>6</v>
      </c>
      <c r="T3330">
        <v>99.416667000000004</v>
      </c>
      <c r="W3330" t="s">
        <v>497</v>
      </c>
    </row>
    <row r="3331" spans="1:23" x14ac:dyDescent="0.25">
      <c r="A3331" t="s">
        <v>3767</v>
      </c>
      <c r="B3331" t="str">
        <f t="shared" si="52"/>
        <v>GA1200002697</v>
      </c>
      <c r="C3331" t="s">
        <v>227</v>
      </c>
      <c r="D3331" t="s">
        <v>77</v>
      </c>
      <c r="E3331" t="s">
        <v>82</v>
      </c>
      <c r="F3331">
        <v>12500</v>
      </c>
      <c r="G3331" s="13">
        <v>46099</v>
      </c>
      <c r="H3331" s="13">
        <v>46283</v>
      </c>
      <c r="I3331">
        <v>9037</v>
      </c>
      <c r="J3331">
        <v>3463</v>
      </c>
      <c r="K3331">
        <v>12500</v>
      </c>
      <c r="N3331">
        <v>27.27272727272727</v>
      </c>
      <c r="O3331">
        <v>6.7157</v>
      </c>
      <c r="P3331">
        <v>106.752</v>
      </c>
      <c r="Q3331">
        <v>6.5</v>
      </c>
      <c r="R3331">
        <v>6.4</v>
      </c>
      <c r="S3331">
        <v>7</v>
      </c>
      <c r="T3331">
        <v>96.716316000000006</v>
      </c>
      <c r="W3331" t="s">
        <v>497</v>
      </c>
    </row>
    <row r="3332" spans="1:23" x14ac:dyDescent="0.25">
      <c r="A3332" t="s">
        <v>3768</v>
      </c>
      <c r="B3332" t="str">
        <f t="shared" si="52"/>
        <v>CM1200002259</v>
      </c>
      <c r="C3332" t="s">
        <v>225</v>
      </c>
      <c r="D3332" t="s">
        <v>77</v>
      </c>
      <c r="E3332" t="s">
        <v>82</v>
      </c>
      <c r="F3332">
        <v>20000</v>
      </c>
      <c r="G3332" s="13">
        <v>46104</v>
      </c>
      <c r="H3332" s="13">
        <v>46288</v>
      </c>
      <c r="I3332">
        <v>1750</v>
      </c>
      <c r="J3332">
        <v>8179</v>
      </c>
      <c r="K3332">
        <v>9929</v>
      </c>
      <c r="N3332">
        <v>22.727272727272727</v>
      </c>
      <c r="O3332">
        <v>6.8381999999999996</v>
      </c>
      <c r="P3332">
        <v>103.42</v>
      </c>
      <c r="Q3332">
        <v>6.65</v>
      </c>
      <c r="R3332">
        <v>6.6</v>
      </c>
      <c r="S3332">
        <v>7.1</v>
      </c>
      <c r="T3332">
        <v>96.658422000000002</v>
      </c>
      <c r="W3332" t="s">
        <v>497</v>
      </c>
    </row>
    <row r="3333" spans="1:23" x14ac:dyDescent="0.25">
      <c r="A3333" t="s">
        <v>3769</v>
      </c>
      <c r="B3333" t="str">
        <f t="shared" si="52"/>
        <v>CM1300001185</v>
      </c>
      <c r="C3333" t="s">
        <v>225</v>
      </c>
      <c r="D3333" t="s">
        <v>77</v>
      </c>
      <c r="E3333" t="s">
        <v>287</v>
      </c>
      <c r="F3333">
        <v>20000</v>
      </c>
      <c r="G3333" s="13">
        <v>46104</v>
      </c>
      <c r="H3333" s="13">
        <v>46470</v>
      </c>
      <c r="I3333">
        <v>1062</v>
      </c>
      <c r="J3333">
        <v>500</v>
      </c>
      <c r="K3333">
        <v>1562</v>
      </c>
      <c r="N3333">
        <v>27.27272727272727</v>
      </c>
      <c r="O3333">
        <v>7.2812999999999999</v>
      </c>
      <c r="P3333">
        <v>32.86</v>
      </c>
      <c r="Q3333">
        <v>6.85</v>
      </c>
      <c r="R3333">
        <v>6.75</v>
      </c>
      <c r="S3333">
        <v>7.5</v>
      </c>
      <c r="T3333">
        <v>93.142634000000001</v>
      </c>
      <c r="W3333" t="s">
        <v>497</v>
      </c>
    </row>
    <row r="3334" spans="1:23" x14ac:dyDescent="0.25">
      <c r="A3334" t="s">
        <v>3770</v>
      </c>
      <c r="B3334" t="str">
        <f t="shared" si="52"/>
        <v>CG1200001945</v>
      </c>
      <c r="C3334" t="s">
        <v>229</v>
      </c>
      <c r="D3334" t="s">
        <v>77</v>
      </c>
      <c r="E3334" t="s">
        <v>82</v>
      </c>
      <c r="F3334">
        <v>20000</v>
      </c>
      <c r="G3334" s="13">
        <v>46105</v>
      </c>
      <c r="H3334" s="13">
        <v>46289</v>
      </c>
      <c r="I3334">
        <v>8140</v>
      </c>
      <c r="J3334">
        <v>7500</v>
      </c>
      <c r="K3334">
        <v>15640</v>
      </c>
      <c r="N3334">
        <v>34.782608695652172</v>
      </c>
      <c r="O3334">
        <v>7.2057000000000002</v>
      </c>
      <c r="P3334">
        <v>79.2</v>
      </c>
      <c r="Q3334">
        <v>7</v>
      </c>
      <c r="R3334">
        <v>6.3</v>
      </c>
      <c r="S3334">
        <v>7.05</v>
      </c>
      <c r="T3334">
        <v>96.485168999999999</v>
      </c>
      <c r="W3334" t="s">
        <v>497</v>
      </c>
    </row>
    <row r="3335" spans="1:23" x14ac:dyDescent="0.25">
      <c r="A3335" t="s">
        <v>3771</v>
      </c>
      <c r="B3335" t="str">
        <f t="shared" si="52"/>
        <v>CG1300001225</v>
      </c>
      <c r="C3335" t="s">
        <v>229</v>
      </c>
      <c r="D3335" t="s">
        <v>77</v>
      </c>
      <c r="E3335" t="s">
        <v>287</v>
      </c>
      <c r="F3335">
        <v>15000</v>
      </c>
      <c r="G3335" s="13">
        <v>46105</v>
      </c>
      <c r="H3335" s="13">
        <v>46471</v>
      </c>
      <c r="I3335">
        <v>12612</v>
      </c>
      <c r="J3335">
        <v>1115</v>
      </c>
      <c r="K3335">
        <v>13727</v>
      </c>
      <c r="N3335">
        <v>26.086956521739129</v>
      </c>
      <c r="O3335">
        <v>7.5096999999999996</v>
      </c>
      <c r="P3335">
        <v>91.513300000000001</v>
      </c>
      <c r="Q3335">
        <v>7</v>
      </c>
      <c r="R3335">
        <v>6.7</v>
      </c>
      <c r="S3335">
        <v>7</v>
      </c>
      <c r="T3335">
        <v>92.942706999999999</v>
      </c>
      <c r="W3335" t="s">
        <v>497</v>
      </c>
    </row>
    <row r="3336" spans="1:23" x14ac:dyDescent="0.25">
      <c r="A3336" t="s">
        <v>3772</v>
      </c>
      <c r="B3336" t="str">
        <f t="shared" si="52"/>
        <v>GQ1300001641</v>
      </c>
      <c r="C3336" t="s">
        <v>528</v>
      </c>
      <c r="D3336" t="s">
        <v>77</v>
      </c>
      <c r="E3336" t="s">
        <v>287</v>
      </c>
      <c r="F3336">
        <v>20000</v>
      </c>
      <c r="G3336" s="13">
        <v>46105</v>
      </c>
      <c r="H3336" s="13">
        <v>46471</v>
      </c>
      <c r="I3336">
        <v>5930</v>
      </c>
      <c r="J3336">
        <v>79</v>
      </c>
      <c r="K3336">
        <v>6009</v>
      </c>
      <c r="N3336">
        <v>33.333333333333329</v>
      </c>
      <c r="O3336">
        <v>8.0764999999999993</v>
      </c>
      <c r="P3336">
        <v>30.045000000000002</v>
      </c>
      <c r="Q3336">
        <v>8</v>
      </c>
      <c r="R3336">
        <v>6.5</v>
      </c>
      <c r="S3336">
        <v>8</v>
      </c>
      <c r="T3336">
        <v>92.240319999999997</v>
      </c>
      <c r="W3336" t="s">
        <v>497</v>
      </c>
    </row>
    <row r="3337" spans="1:23" x14ac:dyDescent="0.25">
      <c r="A3337" t="s">
        <v>3773</v>
      </c>
      <c r="B3337" t="str">
        <f t="shared" si="52"/>
        <v>GA1100002094</v>
      </c>
      <c r="C3337" t="s">
        <v>227</v>
      </c>
      <c r="D3337" t="s">
        <v>77</v>
      </c>
      <c r="E3337" t="s">
        <v>78</v>
      </c>
      <c r="F3337">
        <v>45000</v>
      </c>
      <c r="G3337" s="13">
        <v>46106</v>
      </c>
      <c r="H3337" s="13">
        <v>46129</v>
      </c>
      <c r="I3337">
        <v>0</v>
      </c>
      <c r="J3337">
        <v>39000</v>
      </c>
      <c r="K3337">
        <v>39000</v>
      </c>
      <c r="N3337">
        <v>13.636363636363635</v>
      </c>
      <c r="O3337">
        <v>6.5247000000000002</v>
      </c>
      <c r="P3337">
        <v>86.666700000000006</v>
      </c>
      <c r="Q3337">
        <v>6.5</v>
      </c>
      <c r="R3337">
        <v>6.5</v>
      </c>
      <c r="S3337">
        <v>6.5</v>
      </c>
      <c r="T3337">
        <v>99.620833000000005</v>
      </c>
      <c r="W3337" t="s">
        <v>497</v>
      </c>
    </row>
    <row r="3338" spans="1:23" x14ac:dyDescent="0.25">
      <c r="A3338" t="s">
        <v>3774</v>
      </c>
      <c r="B3338" t="str">
        <f t="shared" si="52"/>
        <v>GA1100002169</v>
      </c>
      <c r="C3338" t="s">
        <v>227</v>
      </c>
      <c r="D3338" t="s">
        <v>77</v>
      </c>
      <c r="E3338" t="s">
        <v>78</v>
      </c>
      <c r="F3338">
        <v>10000</v>
      </c>
      <c r="G3338" s="13">
        <v>46106</v>
      </c>
      <c r="H3338" s="13">
        <v>46199</v>
      </c>
      <c r="I3338">
        <v>500</v>
      </c>
      <c r="J3338">
        <v>9400</v>
      </c>
      <c r="K3338">
        <v>9900</v>
      </c>
      <c r="N3338">
        <v>9.0909090909090917</v>
      </c>
      <c r="O3338">
        <v>6.6086</v>
      </c>
      <c r="P3338">
        <v>990</v>
      </c>
      <c r="Q3338">
        <v>6.5</v>
      </c>
      <c r="R3338">
        <v>6.5</v>
      </c>
      <c r="S3338">
        <v>6.5</v>
      </c>
      <c r="T3338">
        <v>98.356943999999999</v>
      </c>
      <c r="W3338" t="s">
        <v>497</v>
      </c>
    </row>
    <row r="3339" spans="1:23" x14ac:dyDescent="0.25">
      <c r="A3339" t="s">
        <v>3775</v>
      </c>
      <c r="B3339" t="str">
        <f t="shared" si="52"/>
        <v>GA1200002705</v>
      </c>
      <c r="C3339" t="s">
        <v>227</v>
      </c>
      <c r="D3339" t="s">
        <v>77</v>
      </c>
      <c r="E3339" t="s">
        <v>82</v>
      </c>
      <c r="G3339" s="13">
        <v>45741</v>
      </c>
      <c r="H3339" s="13"/>
      <c r="J3339">
        <v>0</v>
      </c>
      <c r="N3339">
        <v>0</v>
      </c>
      <c r="T3339" t="s">
        <v>1418</v>
      </c>
      <c r="W3339" t="s">
        <v>497</v>
      </c>
    </row>
    <row r="3340" spans="1:23" x14ac:dyDescent="0.25">
      <c r="A3340" t="s">
        <v>3776</v>
      </c>
      <c r="B3340" t="str">
        <f t="shared" si="52"/>
        <v>CM1300001193</v>
      </c>
      <c r="C3340" t="s">
        <v>225</v>
      </c>
      <c r="D3340" t="s">
        <v>77</v>
      </c>
      <c r="E3340" t="s">
        <v>287</v>
      </c>
      <c r="F3340">
        <v>20000</v>
      </c>
      <c r="G3340" s="13">
        <v>46111</v>
      </c>
      <c r="H3340" s="13">
        <v>46477</v>
      </c>
      <c r="I3340">
        <v>4485</v>
      </c>
      <c r="J3340">
        <v>0</v>
      </c>
      <c r="K3340">
        <v>4485</v>
      </c>
      <c r="N3340">
        <v>13.636363636363635</v>
      </c>
      <c r="O3340">
        <v>7.2443999999999997</v>
      </c>
      <c r="P3340">
        <v>47.424999999999997</v>
      </c>
      <c r="Q3340">
        <v>6.75</v>
      </c>
      <c r="R3340">
        <v>6.75</v>
      </c>
      <c r="S3340">
        <v>7.25</v>
      </c>
      <c r="T3340">
        <v>93.174999999999997</v>
      </c>
      <c r="W3340" t="s">
        <v>497</v>
      </c>
    </row>
    <row r="3341" spans="1:23" x14ac:dyDescent="0.25">
      <c r="A3341" t="s">
        <v>3777</v>
      </c>
      <c r="B3341" t="str">
        <f t="shared" si="52"/>
        <v>CG1200001952</v>
      </c>
      <c r="C3341" t="s">
        <v>229</v>
      </c>
      <c r="D3341" t="s">
        <v>77</v>
      </c>
      <c r="E3341" t="s">
        <v>82</v>
      </c>
      <c r="G3341" s="13"/>
      <c r="H3341" s="13"/>
      <c r="J3341">
        <v>0</v>
      </c>
      <c r="N3341">
        <v>0</v>
      </c>
      <c r="T3341" t="s">
        <v>1418</v>
      </c>
      <c r="W3341" t="s">
        <v>497</v>
      </c>
    </row>
    <row r="3342" spans="1:23" x14ac:dyDescent="0.25">
      <c r="A3342" t="s">
        <v>3778</v>
      </c>
      <c r="B3342" t="str">
        <f t="shared" si="52"/>
        <v>CG1300001233</v>
      </c>
      <c r="C3342" t="s">
        <v>229</v>
      </c>
      <c r="D3342" t="s">
        <v>77</v>
      </c>
      <c r="E3342" t="s">
        <v>287</v>
      </c>
      <c r="F3342">
        <v>10000</v>
      </c>
      <c r="G3342" s="13">
        <v>46112</v>
      </c>
      <c r="H3342" s="13">
        <v>46478</v>
      </c>
      <c r="I3342">
        <v>0</v>
      </c>
      <c r="J3342">
        <v>3043</v>
      </c>
      <c r="K3342">
        <v>3043</v>
      </c>
      <c r="N3342">
        <v>13.043478260869565</v>
      </c>
      <c r="O3342">
        <v>7.5301999999999998</v>
      </c>
      <c r="P3342">
        <v>30.43</v>
      </c>
      <c r="Q3342">
        <v>7</v>
      </c>
      <c r="R3342">
        <v>6.75</v>
      </c>
      <c r="S3342">
        <v>7</v>
      </c>
      <c r="T3342">
        <v>92.924796999999998</v>
      </c>
      <c r="W3342" t="s">
        <v>497</v>
      </c>
    </row>
    <row r="3343" spans="1:23" x14ac:dyDescent="0.25">
      <c r="A3343" t="s">
        <v>3779</v>
      </c>
      <c r="B3343" t="str">
        <f t="shared" si="52"/>
        <v>GA1100002177</v>
      </c>
      <c r="C3343" t="s">
        <v>227</v>
      </c>
      <c r="D3343" t="s">
        <v>77</v>
      </c>
      <c r="E3343" t="s">
        <v>78</v>
      </c>
      <c r="F3343">
        <v>10000</v>
      </c>
      <c r="G3343" s="13">
        <v>46113</v>
      </c>
      <c r="H3343" s="13">
        <v>46206</v>
      </c>
      <c r="I3343">
        <v>0</v>
      </c>
      <c r="J3343">
        <v>10000</v>
      </c>
      <c r="K3343">
        <v>10000</v>
      </c>
      <c r="N3343">
        <v>4.5454545454545459</v>
      </c>
      <c r="O3343">
        <v>6.6086</v>
      </c>
      <c r="P3343">
        <v>100</v>
      </c>
      <c r="Q3343">
        <v>6.5</v>
      </c>
      <c r="R3343">
        <v>6.5</v>
      </c>
      <c r="S3343">
        <v>6.5</v>
      </c>
      <c r="T3343">
        <v>98.356943999999999</v>
      </c>
      <c r="W3343" t="s">
        <v>497</v>
      </c>
    </row>
    <row r="3344" spans="1:23" x14ac:dyDescent="0.25">
      <c r="A3344" t="s">
        <v>3780</v>
      </c>
      <c r="B3344" t="str">
        <f t="shared" si="52"/>
        <v>GA1200002713</v>
      </c>
      <c r="C3344" t="s">
        <v>227</v>
      </c>
      <c r="D3344" t="s">
        <v>77</v>
      </c>
      <c r="E3344" t="s">
        <v>82</v>
      </c>
      <c r="G3344" s="13">
        <v>46113</v>
      </c>
      <c r="H3344" s="13"/>
      <c r="J3344">
        <v>0</v>
      </c>
      <c r="N3344">
        <v>0</v>
      </c>
      <c r="W3344" t="s">
        <v>497</v>
      </c>
    </row>
    <row r="3345" spans="1:23" x14ac:dyDescent="0.25">
      <c r="A3345" t="s">
        <v>3781</v>
      </c>
      <c r="B3345" t="str">
        <f t="shared" si="52"/>
        <v>GA1300001037</v>
      </c>
      <c r="C3345" t="s">
        <v>227</v>
      </c>
      <c r="D3345" t="s">
        <v>77</v>
      </c>
      <c r="E3345" t="s">
        <v>287</v>
      </c>
      <c r="G3345" s="13"/>
      <c r="H3345" s="13"/>
      <c r="J3345">
        <v>0</v>
      </c>
      <c r="N3345">
        <v>0</v>
      </c>
      <c r="W3345" t="s">
        <v>497</v>
      </c>
    </row>
    <row r="3346" spans="1:23" x14ac:dyDescent="0.25">
      <c r="A3346" t="s">
        <v>3782</v>
      </c>
      <c r="B3346" t="str">
        <f t="shared" si="52"/>
        <v>TD1200002178</v>
      </c>
      <c r="C3346" t="s">
        <v>237</v>
      </c>
      <c r="D3346" t="s">
        <v>77</v>
      </c>
      <c r="E3346" t="s">
        <v>82</v>
      </c>
      <c r="F3346">
        <v>15000</v>
      </c>
      <c r="G3346" s="13">
        <v>46113</v>
      </c>
      <c r="H3346" s="13">
        <v>46297</v>
      </c>
      <c r="I3346">
        <v>2500</v>
      </c>
      <c r="J3346">
        <v>46</v>
      </c>
      <c r="K3346">
        <v>2546</v>
      </c>
      <c r="N3346">
        <v>23.076923076923077</v>
      </c>
      <c r="O3346">
        <v>6.7821999999999996</v>
      </c>
      <c r="P3346">
        <v>16.986699999999999</v>
      </c>
      <c r="Q3346">
        <v>6.6</v>
      </c>
      <c r="R3346">
        <v>6.25</v>
      </c>
      <c r="S3346">
        <v>6.9</v>
      </c>
      <c r="T3346">
        <v>96.684898000000004</v>
      </c>
      <c r="W3346" t="s">
        <v>497</v>
      </c>
    </row>
    <row r="3347" spans="1:23" x14ac:dyDescent="0.25">
      <c r="A3347" t="s">
        <v>3783</v>
      </c>
      <c r="B3347" t="str">
        <f t="shared" si="52"/>
        <v>CM1200002267</v>
      </c>
      <c r="C3347" t="s">
        <v>225</v>
      </c>
      <c r="D3347" t="s">
        <v>77</v>
      </c>
      <c r="E3347" t="s">
        <v>82</v>
      </c>
      <c r="F3347">
        <v>120000</v>
      </c>
      <c r="G3347" s="13">
        <v>46118</v>
      </c>
      <c r="H3347" s="13">
        <v>46302</v>
      </c>
      <c r="I3347">
        <v>99090</v>
      </c>
      <c r="J3347">
        <v>250</v>
      </c>
      <c r="K3347">
        <v>99340</v>
      </c>
      <c r="N3347">
        <v>18.181818181818183</v>
      </c>
      <c r="O3347">
        <v>6.8803000000000001</v>
      </c>
      <c r="P3347">
        <v>82.783299999999997</v>
      </c>
      <c r="Q3347">
        <v>6.65</v>
      </c>
      <c r="R3347">
        <v>6.25</v>
      </c>
      <c r="S3347">
        <v>6.65</v>
      </c>
      <c r="T3347">
        <v>96.638564000000002</v>
      </c>
      <c r="W3347" t="s">
        <v>497</v>
      </c>
    </row>
    <row r="3348" spans="1:23" x14ac:dyDescent="0.25">
      <c r="A3348" t="s">
        <v>3784</v>
      </c>
      <c r="B3348" t="str">
        <f t="shared" si="52"/>
        <v>CM1300001201</v>
      </c>
      <c r="C3348" t="s">
        <v>225</v>
      </c>
      <c r="D3348" t="s">
        <v>77</v>
      </c>
      <c r="E3348" t="s">
        <v>287</v>
      </c>
      <c r="F3348">
        <v>20000</v>
      </c>
      <c r="G3348" s="13">
        <v>46118</v>
      </c>
      <c r="H3348" s="13">
        <v>46484</v>
      </c>
      <c r="I3348">
        <v>5000</v>
      </c>
      <c r="J3348">
        <v>0</v>
      </c>
      <c r="K3348">
        <v>5000</v>
      </c>
      <c r="N3348">
        <v>4.5454545454545459</v>
      </c>
      <c r="O3348">
        <v>7.0145999999999997</v>
      </c>
      <c r="P3348">
        <v>25</v>
      </c>
      <c r="Q3348">
        <v>6.55</v>
      </c>
      <c r="R3348">
        <v>6.55</v>
      </c>
      <c r="S3348">
        <v>6.55</v>
      </c>
      <c r="T3348">
        <v>93.377222000000003</v>
      </c>
      <c r="W3348" t="s">
        <v>497</v>
      </c>
    </row>
    <row r="3349" spans="1:23" x14ac:dyDescent="0.25">
      <c r="A3349" t="s">
        <v>3785</v>
      </c>
      <c r="B3349" t="str">
        <f t="shared" si="52"/>
        <v>CG1200001960</v>
      </c>
      <c r="C3349" t="s">
        <v>229</v>
      </c>
      <c r="D3349" t="s">
        <v>77</v>
      </c>
      <c r="E3349" t="s">
        <v>82</v>
      </c>
      <c r="F3349">
        <v>20000</v>
      </c>
      <c r="G3349" s="13">
        <v>46119</v>
      </c>
      <c r="H3349" s="13">
        <v>46303</v>
      </c>
      <c r="I3349">
        <v>2200</v>
      </c>
      <c r="J3349">
        <v>5044</v>
      </c>
      <c r="K3349">
        <v>7244</v>
      </c>
      <c r="N3349">
        <v>21.739130434782609</v>
      </c>
      <c r="O3349">
        <v>7.0673000000000004</v>
      </c>
      <c r="P3349">
        <v>36.22</v>
      </c>
      <c r="Q3349">
        <v>7</v>
      </c>
      <c r="R3349">
        <v>6.1</v>
      </c>
      <c r="S3349">
        <v>7</v>
      </c>
      <c r="T3349">
        <v>96.550336999999999</v>
      </c>
      <c r="W3349" t="s">
        <v>497</v>
      </c>
    </row>
    <row r="3350" spans="1:23" x14ac:dyDescent="0.25">
      <c r="A3350" t="s">
        <v>3786</v>
      </c>
      <c r="B3350" t="str">
        <f t="shared" si="52"/>
        <v>CG1300001241</v>
      </c>
      <c r="C3350" t="s">
        <v>229</v>
      </c>
      <c r="D3350" t="s">
        <v>77</v>
      </c>
      <c r="E3350" t="s">
        <v>287</v>
      </c>
      <c r="F3350">
        <v>15000</v>
      </c>
      <c r="G3350" s="13">
        <v>46119</v>
      </c>
      <c r="H3350" s="13">
        <v>46485</v>
      </c>
      <c r="I3350">
        <v>3075</v>
      </c>
      <c r="J3350">
        <v>7388</v>
      </c>
      <c r="K3350">
        <v>10463</v>
      </c>
      <c r="N3350">
        <v>26.086956521739129</v>
      </c>
      <c r="O3350">
        <v>7.5183</v>
      </c>
      <c r="P3350">
        <v>69.753299999999996</v>
      </c>
      <c r="Q3350">
        <v>7</v>
      </c>
      <c r="R3350">
        <v>6.2</v>
      </c>
      <c r="S3350">
        <v>7</v>
      </c>
      <c r="T3350">
        <v>92.935220000000001</v>
      </c>
      <c r="W3350" t="s">
        <v>497</v>
      </c>
    </row>
    <row r="3351" spans="1:23" x14ac:dyDescent="0.25">
      <c r="A3351" t="s">
        <v>3787</v>
      </c>
      <c r="B3351" t="str">
        <f t="shared" si="52"/>
        <v>GA1300001045</v>
      </c>
      <c r="C3351" t="s">
        <v>227</v>
      </c>
      <c r="D3351" t="s">
        <v>77</v>
      </c>
      <c r="E3351" t="s">
        <v>287</v>
      </c>
      <c r="F3351">
        <v>17000</v>
      </c>
      <c r="G3351" s="13">
        <v>46120</v>
      </c>
      <c r="H3351" s="13">
        <v>46486</v>
      </c>
      <c r="I3351">
        <v>9239</v>
      </c>
      <c r="J3351">
        <v>7761</v>
      </c>
      <c r="K3351">
        <v>17000</v>
      </c>
      <c r="N3351">
        <v>9.0909090909090917</v>
      </c>
      <c r="O3351">
        <v>6.9572000000000003</v>
      </c>
      <c r="P3351">
        <v>103.0882</v>
      </c>
      <c r="Q3351">
        <v>6.5</v>
      </c>
      <c r="R3351">
        <v>6.5</v>
      </c>
      <c r="S3351">
        <v>6.5</v>
      </c>
      <c r="T3351">
        <v>93.427778000000004</v>
      </c>
      <c r="W3351" t="s">
        <v>497</v>
      </c>
    </row>
  </sheetData>
  <autoFilter ref="A3:X3351" xr:uid="{00000000-0001-0000-0100-000000000000}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14" customWidth="1"/>
    <col min="3" max="3" width="16" customWidth="1"/>
    <col min="4" max="5" width="12" customWidth="1"/>
    <col min="6" max="6" width="20" customWidth="1"/>
    <col min="7" max="7" width="18" customWidth="1"/>
    <col min="8" max="8" width="20" customWidth="1"/>
    <col min="9" max="9" width="22" customWidth="1"/>
    <col min="10" max="12" width="20" customWidth="1"/>
  </cols>
  <sheetData>
    <row r="1" spans="1:12" ht="35.1" customHeight="1" x14ac:dyDescent="0.25">
      <c r="A1" s="14" t="s">
        <v>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30" x14ac:dyDescent="0.2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91</v>
      </c>
      <c r="J3" s="4" t="s">
        <v>92</v>
      </c>
      <c r="K3" s="4" t="s">
        <v>93</v>
      </c>
      <c r="L3" s="4" t="s">
        <v>94</v>
      </c>
    </row>
    <row r="4" spans="1:12" ht="18" customHeight="1" x14ac:dyDescent="0.25">
      <c r="A4" s="5" t="s">
        <v>74</v>
      </c>
      <c r="B4" s="5" t="s">
        <v>75</v>
      </c>
      <c r="C4" s="5" t="s">
        <v>76</v>
      </c>
      <c r="D4" s="5" t="s">
        <v>77</v>
      </c>
      <c r="E4" s="5" t="s">
        <v>78</v>
      </c>
      <c r="F4" s="5">
        <v>10000</v>
      </c>
      <c r="G4" s="5" t="s">
        <v>79</v>
      </c>
      <c r="H4" s="5" t="s">
        <v>80</v>
      </c>
      <c r="I4" s="5" t="s">
        <v>95</v>
      </c>
      <c r="J4" s="5">
        <v>10000</v>
      </c>
      <c r="K4" s="5">
        <v>10000</v>
      </c>
      <c r="L4" s="5" t="s">
        <v>80</v>
      </c>
    </row>
    <row r="5" spans="1:12" ht="18" customHeight="1" x14ac:dyDescent="0.25">
      <c r="A5" s="5" t="s">
        <v>83</v>
      </c>
      <c r="B5" s="5" t="s">
        <v>84</v>
      </c>
      <c r="C5" s="5" t="s">
        <v>76</v>
      </c>
      <c r="D5" s="5" t="s">
        <v>85</v>
      </c>
      <c r="E5" s="5" t="s">
        <v>86</v>
      </c>
      <c r="F5" s="5">
        <v>50000</v>
      </c>
      <c r="G5" s="5" t="s">
        <v>87</v>
      </c>
      <c r="H5" s="5" t="s">
        <v>88</v>
      </c>
      <c r="I5" s="5" t="s">
        <v>96</v>
      </c>
      <c r="J5" s="5">
        <v>3500</v>
      </c>
      <c r="K5" s="5">
        <v>3500</v>
      </c>
      <c r="L5" s="5" t="s">
        <v>97</v>
      </c>
    </row>
    <row r="6" spans="1:12" ht="18" customHeight="1" x14ac:dyDescent="0.25">
      <c r="A6" s="5" t="s">
        <v>83</v>
      </c>
      <c r="B6" s="5" t="s">
        <v>84</v>
      </c>
      <c r="C6" s="5" t="s">
        <v>76</v>
      </c>
      <c r="D6" s="5" t="s">
        <v>85</v>
      </c>
      <c r="E6" s="5" t="s">
        <v>86</v>
      </c>
      <c r="F6" s="5">
        <v>50000</v>
      </c>
      <c r="G6" s="5" t="s">
        <v>87</v>
      </c>
      <c r="H6" s="5" t="s">
        <v>88</v>
      </c>
      <c r="I6" s="5" t="s">
        <v>95</v>
      </c>
      <c r="J6" s="5">
        <v>50000</v>
      </c>
      <c r="K6" s="5"/>
      <c r="L6" s="5" t="s">
        <v>88</v>
      </c>
    </row>
    <row r="7" spans="1:12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topLeftCell="K1" workbookViewId="0">
      <pane ySplit="3" topLeftCell="A4" activePane="bottomLeft" state="frozen"/>
      <selection pane="bottomLeft" activeCell="J5" sqref="J5"/>
    </sheetView>
  </sheetViews>
  <sheetFormatPr baseColWidth="10" defaultColWidth="9.140625" defaultRowHeight="15" x14ac:dyDescent="0.25"/>
  <cols>
    <col min="1" max="1" width="30" customWidth="1"/>
    <col min="2" max="2" width="12" customWidth="1"/>
    <col min="3" max="4" width="14" customWidth="1"/>
    <col min="5" max="5" width="16" customWidth="1"/>
    <col min="6" max="6" width="14" customWidth="1"/>
    <col min="7" max="7" width="12" customWidth="1"/>
    <col min="8" max="8" width="20" customWidth="1"/>
    <col min="9" max="11" width="28" customWidth="1"/>
    <col min="12" max="12" width="16" customWidth="1"/>
    <col min="13" max="14" width="24" customWidth="1"/>
    <col min="15" max="15" width="16" customWidth="1"/>
    <col min="16" max="16" width="22" customWidth="1"/>
  </cols>
  <sheetData>
    <row r="1" spans="1:16" ht="35.1" customHeight="1" x14ac:dyDescent="0.25">
      <c r="A1" s="14" t="s">
        <v>98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3" spans="1:16" ht="30" x14ac:dyDescent="0.25">
      <c r="A3" s="4" t="s">
        <v>99</v>
      </c>
      <c r="B3" s="4" t="s">
        <v>100</v>
      </c>
      <c r="C3" s="4" t="s">
        <v>53</v>
      </c>
      <c r="D3" s="4" t="s">
        <v>101</v>
      </c>
      <c r="E3" s="4" t="s">
        <v>102</v>
      </c>
      <c r="F3" s="4" t="s">
        <v>103</v>
      </c>
      <c r="G3" s="4" t="s">
        <v>73</v>
      </c>
      <c r="H3" s="4" t="s">
        <v>104</v>
      </c>
      <c r="I3" s="4" t="s">
        <v>105</v>
      </c>
      <c r="J3" s="4" t="s">
        <v>106</v>
      </c>
      <c r="K3" s="4" t="s">
        <v>107</v>
      </c>
      <c r="L3" s="4" t="s">
        <v>108</v>
      </c>
      <c r="M3" s="4" t="s">
        <v>109</v>
      </c>
      <c r="N3" s="4" t="s">
        <v>110</v>
      </c>
      <c r="O3" s="4" t="s">
        <v>111</v>
      </c>
      <c r="P3" s="4" t="s">
        <v>112</v>
      </c>
    </row>
    <row r="4" spans="1:16" ht="18" customHeight="1" x14ac:dyDescent="0.25">
      <c r="A4" s="5" t="s">
        <v>113</v>
      </c>
      <c r="B4" s="5" t="s">
        <v>114</v>
      </c>
      <c r="C4" s="5" t="s">
        <v>76</v>
      </c>
      <c r="D4" s="5" t="s">
        <v>115</v>
      </c>
      <c r="E4" s="5" t="s">
        <v>116</v>
      </c>
      <c r="F4" s="5" t="s">
        <v>117</v>
      </c>
      <c r="G4" s="5" t="s">
        <v>118</v>
      </c>
      <c r="H4" s="5">
        <v>50000</v>
      </c>
      <c r="I4" s="5" t="s">
        <v>119</v>
      </c>
      <c r="J4" s="5" t="s">
        <v>120</v>
      </c>
      <c r="K4" s="5" t="s">
        <v>121</v>
      </c>
      <c r="L4" s="5" t="s">
        <v>122</v>
      </c>
      <c r="M4" s="5" t="s">
        <v>123</v>
      </c>
      <c r="N4" s="5" t="s">
        <v>124</v>
      </c>
      <c r="O4" s="5"/>
      <c r="P4" s="5"/>
    </row>
    <row r="5" spans="1:16" ht="18" customHeight="1" x14ac:dyDescent="0.25">
      <c r="A5" s="5" t="s">
        <v>125</v>
      </c>
      <c r="B5" s="5" t="s">
        <v>126</v>
      </c>
      <c r="C5" s="5" t="s">
        <v>76</v>
      </c>
      <c r="D5" s="5" t="s">
        <v>115</v>
      </c>
      <c r="E5" s="5" t="s">
        <v>127</v>
      </c>
      <c r="F5" s="5" t="s">
        <v>128</v>
      </c>
      <c r="G5" s="5" t="s">
        <v>118</v>
      </c>
      <c r="H5" s="5">
        <v>30000</v>
      </c>
      <c r="I5" s="5" t="s">
        <v>129</v>
      </c>
      <c r="J5" s="5" t="s">
        <v>130</v>
      </c>
      <c r="K5" s="5" t="s">
        <v>131</v>
      </c>
      <c r="L5" s="5" t="s">
        <v>132</v>
      </c>
      <c r="M5" s="5" t="s">
        <v>133</v>
      </c>
      <c r="N5" s="5" t="s">
        <v>134</v>
      </c>
      <c r="O5" s="5"/>
      <c r="P5" s="5"/>
    </row>
    <row r="6" spans="1:16" ht="18" customHeight="1" x14ac:dyDescent="0.25">
      <c r="A6" s="5" t="s">
        <v>135</v>
      </c>
      <c r="B6" s="5" t="s">
        <v>136</v>
      </c>
      <c r="C6" s="5" t="s">
        <v>81</v>
      </c>
      <c r="D6" s="5" t="s">
        <v>137</v>
      </c>
      <c r="E6" s="5" t="s">
        <v>138</v>
      </c>
      <c r="F6" s="5" t="s">
        <v>139</v>
      </c>
      <c r="G6" s="5" t="s">
        <v>118</v>
      </c>
      <c r="H6" s="5">
        <v>45000</v>
      </c>
      <c r="I6" s="5" t="s">
        <v>140</v>
      </c>
      <c r="J6" s="5" t="s">
        <v>141</v>
      </c>
      <c r="K6" s="5" t="s">
        <v>142</v>
      </c>
      <c r="L6" s="5" t="s">
        <v>143</v>
      </c>
      <c r="M6" s="5" t="s">
        <v>144</v>
      </c>
      <c r="N6" s="5" t="s">
        <v>145</v>
      </c>
      <c r="O6" s="5"/>
      <c r="P6" s="5"/>
    </row>
    <row r="7" spans="1:16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18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8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8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workbookViewId="0">
      <pane ySplit="3" topLeftCell="A4" activePane="bottomLeft" state="frozen"/>
      <selection pane="bottomLeft" sqref="A1:L1"/>
    </sheetView>
  </sheetViews>
  <sheetFormatPr baseColWidth="10" defaultColWidth="9.140625" defaultRowHeight="15" x14ac:dyDescent="0.25"/>
  <cols>
    <col min="1" max="1" width="30" customWidth="1"/>
    <col min="2" max="2" width="12" customWidth="1"/>
    <col min="3" max="4" width="14" customWidth="1"/>
    <col min="5" max="5" width="20" customWidth="1"/>
    <col min="6" max="6" width="14" customWidth="1"/>
    <col min="7" max="7" width="12" customWidth="1"/>
    <col min="8" max="8" width="16" customWidth="1"/>
    <col min="9" max="9" width="24" customWidth="1"/>
    <col min="10" max="10" width="28" customWidth="1"/>
    <col min="11" max="11" width="16" customWidth="1"/>
    <col min="12" max="12" width="24" customWidth="1"/>
  </cols>
  <sheetData>
    <row r="1" spans="1:12" ht="35.1" customHeight="1" x14ac:dyDescent="0.25">
      <c r="A1" s="14" t="s">
        <v>146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30" x14ac:dyDescent="0.25">
      <c r="A3" s="4" t="s">
        <v>147</v>
      </c>
      <c r="B3" s="4" t="s">
        <v>148</v>
      </c>
      <c r="C3" s="4" t="s">
        <v>53</v>
      </c>
      <c r="D3" s="4" t="s">
        <v>149</v>
      </c>
      <c r="E3" s="4" t="s">
        <v>150</v>
      </c>
      <c r="F3" s="4" t="s">
        <v>151</v>
      </c>
      <c r="G3" s="4" t="s">
        <v>73</v>
      </c>
      <c r="H3" s="4" t="s">
        <v>152</v>
      </c>
      <c r="I3" s="4" t="s">
        <v>153</v>
      </c>
      <c r="J3" s="4" t="s">
        <v>154</v>
      </c>
      <c r="K3" s="4" t="s">
        <v>108</v>
      </c>
      <c r="L3" s="4" t="s">
        <v>109</v>
      </c>
    </row>
    <row r="4" spans="1:12" ht="18" customHeight="1" x14ac:dyDescent="0.25">
      <c r="A4" s="5" t="s">
        <v>155</v>
      </c>
      <c r="B4" s="5" t="s">
        <v>156</v>
      </c>
      <c r="C4" s="5" t="s">
        <v>76</v>
      </c>
      <c r="D4" s="5" t="s">
        <v>157</v>
      </c>
      <c r="E4" s="5" t="s">
        <v>158</v>
      </c>
      <c r="F4" s="5" t="s">
        <v>159</v>
      </c>
      <c r="G4" s="5" t="s">
        <v>118</v>
      </c>
      <c r="H4" s="5">
        <v>25000</v>
      </c>
      <c r="I4" s="5" t="s">
        <v>160</v>
      </c>
      <c r="J4" s="5" t="s">
        <v>161</v>
      </c>
      <c r="K4" s="5" t="s">
        <v>162</v>
      </c>
      <c r="L4" s="5" t="s">
        <v>163</v>
      </c>
    </row>
    <row r="5" spans="1:12" ht="18" customHeight="1" x14ac:dyDescent="0.25">
      <c r="A5" s="5" t="s">
        <v>164</v>
      </c>
      <c r="B5" s="5" t="s">
        <v>165</v>
      </c>
      <c r="C5" s="5" t="s">
        <v>76</v>
      </c>
      <c r="D5" s="5" t="s">
        <v>115</v>
      </c>
      <c r="E5" s="5" t="s">
        <v>166</v>
      </c>
      <c r="F5" s="5" t="s">
        <v>167</v>
      </c>
      <c r="G5" s="5" t="s">
        <v>118</v>
      </c>
      <c r="H5" s="5">
        <v>18000</v>
      </c>
      <c r="I5" s="5" t="s">
        <v>168</v>
      </c>
      <c r="J5" s="5" t="s">
        <v>169</v>
      </c>
      <c r="K5" s="5" t="s">
        <v>170</v>
      </c>
      <c r="L5" s="5" t="s">
        <v>171</v>
      </c>
    </row>
    <row r="6" spans="1:12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pane ySplit="3" topLeftCell="A4" activePane="bottomLeft" state="frozen"/>
      <selection pane="bottomLeft" activeCell="F13" sqref="F13"/>
    </sheetView>
  </sheetViews>
  <sheetFormatPr baseColWidth="10" defaultColWidth="9.140625" defaultRowHeight="15" x14ac:dyDescent="0.25"/>
  <cols>
    <col min="1" max="1" width="35" customWidth="1"/>
    <col min="2" max="2" width="12" customWidth="1"/>
    <col min="3" max="4" width="14" customWidth="1"/>
    <col min="5" max="5" width="16" customWidth="1"/>
    <col min="6" max="6" width="14" customWidth="1"/>
    <col min="7" max="7" width="12" customWidth="1"/>
    <col min="8" max="8" width="28" customWidth="1"/>
    <col min="9" max="9" width="16" customWidth="1"/>
    <col min="10" max="10" width="28" customWidth="1"/>
  </cols>
  <sheetData>
    <row r="1" spans="1:10" ht="35.1" customHeight="1" x14ac:dyDescent="0.25">
      <c r="A1" s="14" t="s">
        <v>172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30" x14ac:dyDescent="0.25">
      <c r="A3" s="4" t="s">
        <v>147</v>
      </c>
      <c r="B3" s="4" t="s">
        <v>173</v>
      </c>
      <c r="C3" s="4" t="s">
        <v>53</v>
      </c>
      <c r="D3" s="4" t="s">
        <v>149</v>
      </c>
      <c r="E3" s="4" t="s">
        <v>103</v>
      </c>
      <c r="F3" s="4" t="s">
        <v>151</v>
      </c>
      <c r="G3" s="4" t="s">
        <v>73</v>
      </c>
      <c r="H3" s="4" t="s">
        <v>154</v>
      </c>
      <c r="I3" s="4" t="s">
        <v>108</v>
      </c>
      <c r="J3" s="4" t="s">
        <v>109</v>
      </c>
    </row>
    <row r="4" spans="1:10" ht="18" customHeight="1" x14ac:dyDescent="0.25">
      <c r="A4" s="5" t="s">
        <v>174</v>
      </c>
      <c r="B4" s="5" t="s">
        <v>175</v>
      </c>
      <c r="C4" s="5" t="s">
        <v>76</v>
      </c>
      <c r="D4" s="5" t="s">
        <v>157</v>
      </c>
      <c r="E4" s="5" t="s">
        <v>176</v>
      </c>
      <c r="F4" s="5" t="s">
        <v>177</v>
      </c>
      <c r="G4" s="5" t="s">
        <v>118</v>
      </c>
      <c r="H4" s="5" t="s">
        <v>178</v>
      </c>
      <c r="I4" s="5" t="s">
        <v>179</v>
      </c>
      <c r="J4" s="5" t="s">
        <v>180</v>
      </c>
    </row>
    <row r="5" spans="1:10" ht="18" customHeight="1" x14ac:dyDescent="0.25">
      <c r="A5" s="5" t="s">
        <v>181</v>
      </c>
      <c r="B5" s="5" t="s">
        <v>182</v>
      </c>
      <c r="C5" s="5" t="s">
        <v>81</v>
      </c>
      <c r="D5" s="5" t="s">
        <v>137</v>
      </c>
      <c r="E5" s="5" t="s">
        <v>183</v>
      </c>
      <c r="F5" s="5" t="s">
        <v>184</v>
      </c>
      <c r="G5" s="5" t="s">
        <v>118</v>
      </c>
      <c r="H5" s="5" t="s">
        <v>185</v>
      </c>
      <c r="I5" s="5" t="s">
        <v>186</v>
      </c>
      <c r="J5" s="5" t="s">
        <v>187</v>
      </c>
    </row>
    <row r="6" spans="1:10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tabSelected="1" workbookViewId="0">
      <pane ySplit="3" topLeftCell="A4" activePane="bottomLeft" state="frozen"/>
      <selection pane="bottomLeft" activeCell="E10" sqref="E10"/>
    </sheetView>
  </sheetViews>
  <sheetFormatPr baseColWidth="10" defaultColWidth="9.140625" defaultRowHeight="15" x14ac:dyDescent="0.25"/>
  <cols>
    <col min="1" max="1" width="32" customWidth="1"/>
    <col min="2" max="2" width="28" customWidth="1"/>
    <col min="3" max="4" width="14" customWidth="1"/>
    <col min="5" max="5" width="24" customWidth="1"/>
    <col min="6" max="6" width="28" customWidth="1"/>
    <col min="7" max="7" width="16" customWidth="1"/>
    <col min="8" max="8" width="12" customWidth="1"/>
    <col min="9" max="9" width="18" customWidth="1"/>
    <col min="10" max="10" width="24" customWidth="1"/>
    <col min="11" max="12" width="14" customWidth="1"/>
  </cols>
  <sheetData>
    <row r="1" spans="1:13" ht="35.1" customHeight="1" x14ac:dyDescent="0.25">
      <c r="A1" s="14" t="s">
        <v>188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ht="30" x14ac:dyDescent="0.25">
      <c r="A3" s="4" t="s">
        <v>147</v>
      </c>
      <c r="B3" s="4" t="s">
        <v>189</v>
      </c>
      <c r="C3" s="4" t="s">
        <v>53</v>
      </c>
      <c r="D3" s="4" t="s">
        <v>149</v>
      </c>
      <c r="E3" s="4" t="s">
        <v>190</v>
      </c>
      <c r="F3" s="4" t="s">
        <v>154</v>
      </c>
      <c r="G3" s="4" t="s">
        <v>108</v>
      </c>
      <c r="H3" s="4" t="s">
        <v>73</v>
      </c>
      <c r="I3" s="4" t="s">
        <v>191</v>
      </c>
      <c r="J3" s="4" t="s">
        <v>192</v>
      </c>
      <c r="K3" s="4" t="s">
        <v>193</v>
      </c>
      <c r="L3" s="4" t="s">
        <v>194</v>
      </c>
    </row>
    <row r="4" spans="1:13" ht="18" customHeight="1" x14ac:dyDescent="0.25">
      <c r="A4" s="5" t="s">
        <v>484</v>
      </c>
      <c r="B4" s="5" t="s">
        <v>485</v>
      </c>
      <c r="C4" s="5" t="s">
        <v>225</v>
      </c>
      <c r="D4" s="5" t="s">
        <v>115</v>
      </c>
      <c r="E4" s="5" t="s">
        <v>486</v>
      </c>
      <c r="F4" s="12" t="s">
        <v>487</v>
      </c>
      <c r="G4" s="5">
        <v>698563214</v>
      </c>
      <c r="H4" s="5" t="s">
        <v>118</v>
      </c>
      <c r="I4" s="5"/>
      <c r="J4" s="5"/>
      <c r="K4" s="5"/>
      <c r="L4" s="5"/>
    </row>
    <row r="5" spans="1:13" ht="18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3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3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3" ht="18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3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1">
    <mergeCell ref="A1:M1"/>
  </mergeCells>
  <hyperlinks>
    <hyperlink ref="F4" r:id="rId1" xr:uid="{F1FF8BC7-8B16-4BE6-AB58-25354E799EC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pane ySplit="3" topLeftCell="A4" activePane="bottomLeft" state="frozen"/>
      <selection pane="bottomLeft" sqref="A1:L1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4" width="24" customWidth="1"/>
    <col min="5" max="5" width="14" customWidth="1"/>
    <col min="6" max="7" width="16" customWidth="1"/>
    <col min="8" max="8" width="20" customWidth="1"/>
    <col min="9" max="10" width="16" customWidth="1"/>
    <col min="11" max="11" width="18" customWidth="1"/>
    <col min="12" max="12" width="8" customWidth="1"/>
  </cols>
  <sheetData>
    <row r="1" spans="1:12" ht="35.1" customHeight="1" x14ac:dyDescent="0.25">
      <c r="A1" s="14" t="s">
        <v>195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30" x14ac:dyDescent="0.25">
      <c r="A3" s="4" t="s">
        <v>196</v>
      </c>
      <c r="B3" s="4" t="s">
        <v>154</v>
      </c>
      <c r="C3" s="4" t="s">
        <v>197</v>
      </c>
      <c r="D3" s="4" t="s">
        <v>189</v>
      </c>
      <c r="E3" s="4" t="s">
        <v>53</v>
      </c>
      <c r="F3" s="4" t="s">
        <v>103</v>
      </c>
      <c r="G3" s="4" t="s">
        <v>198</v>
      </c>
      <c r="H3" s="4" t="s">
        <v>199</v>
      </c>
      <c r="I3" s="4" t="s">
        <v>200</v>
      </c>
      <c r="J3" s="4" t="s">
        <v>193</v>
      </c>
      <c r="K3" s="4" t="s">
        <v>201</v>
      </c>
      <c r="L3" s="4" t="s">
        <v>118</v>
      </c>
    </row>
    <row r="4" spans="1:12" ht="18" customHeight="1" x14ac:dyDescent="0.25">
      <c r="A4" s="5" t="s">
        <v>202</v>
      </c>
      <c r="B4" s="5" t="s">
        <v>203</v>
      </c>
      <c r="C4" s="5" t="s">
        <v>204</v>
      </c>
      <c r="D4" s="5"/>
      <c r="E4" s="5"/>
      <c r="F4" s="5"/>
      <c r="G4" s="5" t="s">
        <v>205</v>
      </c>
      <c r="H4" s="5" t="s">
        <v>206</v>
      </c>
      <c r="I4" s="5"/>
      <c r="J4" s="5"/>
      <c r="K4" s="5"/>
      <c r="L4" s="5" t="s">
        <v>207</v>
      </c>
    </row>
    <row r="5" spans="1:12" ht="18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8" customWidth="1"/>
    <col min="4" max="5" width="16" customWidth="1"/>
    <col min="6" max="6" width="14" customWidth="1"/>
    <col min="7" max="9" width="20" customWidth="1"/>
    <col min="10" max="10" width="18" customWidth="1"/>
    <col min="11" max="11" width="22" customWidth="1"/>
    <col min="12" max="12" width="14" customWidth="1"/>
    <col min="13" max="13" width="22" customWidth="1"/>
    <col min="14" max="14" width="28" customWidth="1"/>
    <col min="15" max="16" width="24" customWidth="1"/>
  </cols>
  <sheetData>
    <row r="1" spans="1:16" ht="35.1" customHeight="1" x14ac:dyDescent="0.25">
      <c r="A1" s="14" t="s">
        <v>208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8.1" customHeight="1" x14ac:dyDescent="0.25"/>
    <row r="3" spans="1:16" x14ac:dyDescent="0.25">
      <c r="A3" s="17" t="s">
        <v>209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30" x14ac:dyDescent="0.25">
      <c r="A4" s="4" t="s">
        <v>53</v>
      </c>
      <c r="B4" s="4" t="s">
        <v>210</v>
      </c>
      <c r="C4" s="4" t="s">
        <v>211</v>
      </c>
      <c r="D4" s="4" t="s">
        <v>212</v>
      </c>
      <c r="E4" s="4" t="s">
        <v>213</v>
      </c>
      <c r="F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  <c r="K4" s="4" t="s">
        <v>219</v>
      </c>
      <c r="L4" s="4" t="s">
        <v>220</v>
      </c>
      <c r="M4" s="4" t="s">
        <v>221</v>
      </c>
      <c r="N4" s="4" t="s">
        <v>222</v>
      </c>
      <c r="O4" s="4" t="s">
        <v>223</v>
      </c>
      <c r="P4" s="4" t="s">
        <v>224</v>
      </c>
    </row>
    <row r="5" spans="1:16" ht="18" customHeight="1" x14ac:dyDescent="0.25">
      <c r="A5" s="6" t="s">
        <v>225</v>
      </c>
      <c r="B5" s="6" t="s">
        <v>76</v>
      </c>
      <c r="C5" s="6">
        <v>2024</v>
      </c>
      <c r="D5" s="6">
        <v>28500</v>
      </c>
      <c r="E5" s="6">
        <v>3.8</v>
      </c>
      <c r="F5" s="6">
        <v>2.4</v>
      </c>
      <c r="G5" s="6">
        <v>-1.8</v>
      </c>
      <c r="H5" s="6">
        <v>4200</v>
      </c>
      <c r="I5" s="6">
        <v>5500</v>
      </c>
      <c r="J5" s="6">
        <v>-3.2</v>
      </c>
      <c r="K5" s="6">
        <v>9800</v>
      </c>
      <c r="L5" s="6">
        <v>34.4</v>
      </c>
      <c r="M5" s="6">
        <v>820</v>
      </c>
      <c r="N5" s="6" t="s">
        <v>226</v>
      </c>
      <c r="O5" s="6">
        <v>4500</v>
      </c>
      <c r="P5" s="6">
        <v>5800</v>
      </c>
    </row>
    <row r="6" spans="1:16" ht="18" customHeight="1" x14ac:dyDescent="0.25">
      <c r="A6" s="7" t="s">
        <v>227</v>
      </c>
      <c r="B6" s="7" t="s">
        <v>81</v>
      </c>
      <c r="C6" s="7">
        <v>2024</v>
      </c>
      <c r="D6" s="7">
        <v>13200</v>
      </c>
      <c r="E6" s="7">
        <v>2.9</v>
      </c>
      <c r="F6" s="7">
        <v>3.1</v>
      </c>
      <c r="G6" s="7">
        <v>-2.1</v>
      </c>
      <c r="H6" s="7">
        <v>2100</v>
      </c>
      <c r="I6" s="7">
        <v>3200</v>
      </c>
      <c r="J6" s="7">
        <v>-4.0999999999999996</v>
      </c>
      <c r="K6" s="7">
        <v>5100</v>
      </c>
      <c r="L6" s="7">
        <v>38.6</v>
      </c>
      <c r="M6" s="7">
        <v>420</v>
      </c>
      <c r="N6" s="7" t="s">
        <v>228</v>
      </c>
      <c r="O6" s="7">
        <v>2200</v>
      </c>
      <c r="P6" s="7">
        <v>3400</v>
      </c>
    </row>
    <row r="7" spans="1:16" ht="18" customHeight="1" x14ac:dyDescent="0.25">
      <c r="A7" s="6" t="s">
        <v>229</v>
      </c>
      <c r="B7" s="6" t="s">
        <v>230</v>
      </c>
      <c r="C7" s="6">
        <v>2024</v>
      </c>
      <c r="D7" s="6">
        <v>6800</v>
      </c>
      <c r="E7" s="6">
        <v>4.2</v>
      </c>
      <c r="F7" s="6">
        <v>2.8</v>
      </c>
      <c r="G7" s="6">
        <v>-0.9</v>
      </c>
      <c r="H7" s="6">
        <v>980</v>
      </c>
      <c r="I7" s="6">
        <v>1450</v>
      </c>
      <c r="J7" s="6">
        <v>-2.8</v>
      </c>
      <c r="K7" s="6">
        <v>3200</v>
      </c>
      <c r="L7" s="6">
        <v>47.1</v>
      </c>
      <c r="M7" s="6">
        <v>310</v>
      </c>
      <c r="N7" s="6" t="s">
        <v>231</v>
      </c>
      <c r="O7" s="6">
        <v>1050</v>
      </c>
      <c r="P7" s="6">
        <v>1500</v>
      </c>
    </row>
    <row r="8" spans="1:16" ht="18" customHeight="1" x14ac:dyDescent="0.25">
      <c r="A8" s="7" t="s">
        <v>232</v>
      </c>
      <c r="B8" s="7" t="s">
        <v>232</v>
      </c>
      <c r="C8" s="7">
        <v>2024</v>
      </c>
      <c r="D8" s="7">
        <v>1250</v>
      </c>
      <c r="E8" s="7">
        <v>1.9</v>
      </c>
      <c r="F8" s="7">
        <v>5.6</v>
      </c>
      <c r="G8" s="7">
        <v>-4.2</v>
      </c>
      <c r="H8" s="7">
        <v>180</v>
      </c>
      <c r="I8" s="7">
        <v>380</v>
      </c>
      <c r="J8" s="7">
        <v>-8.1</v>
      </c>
      <c r="K8" s="7">
        <v>850</v>
      </c>
      <c r="L8" s="7">
        <v>68</v>
      </c>
      <c r="M8" s="7">
        <v>75</v>
      </c>
      <c r="N8" s="7" t="s">
        <v>233</v>
      </c>
      <c r="O8" s="7">
        <v>190</v>
      </c>
      <c r="P8" s="7">
        <v>390</v>
      </c>
    </row>
    <row r="9" spans="1:16" ht="18" customHeight="1" x14ac:dyDescent="0.25">
      <c r="A9" s="6" t="s">
        <v>234</v>
      </c>
      <c r="B9" s="6" t="s">
        <v>235</v>
      </c>
      <c r="C9" s="6">
        <v>2024</v>
      </c>
      <c r="D9" s="6">
        <v>5800</v>
      </c>
      <c r="E9" s="6">
        <v>-1.2</v>
      </c>
      <c r="F9" s="6">
        <v>2.9</v>
      </c>
      <c r="G9" s="6">
        <v>-3.5</v>
      </c>
      <c r="H9" s="6">
        <v>890</v>
      </c>
      <c r="I9" s="6">
        <v>1480</v>
      </c>
      <c r="J9" s="6">
        <v>-5.2</v>
      </c>
      <c r="K9" s="6">
        <v>2200</v>
      </c>
      <c r="L9" s="6">
        <v>37.9</v>
      </c>
      <c r="M9" s="6">
        <v>200</v>
      </c>
      <c r="N9" s="6" t="s">
        <v>236</v>
      </c>
      <c r="O9" s="6">
        <v>920</v>
      </c>
      <c r="P9" s="6">
        <v>1520</v>
      </c>
    </row>
    <row r="10" spans="1:16" ht="18" customHeight="1" x14ac:dyDescent="0.25">
      <c r="A10" s="7" t="s">
        <v>237</v>
      </c>
      <c r="B10" s="7" t="s">
        <v>238</v>
      </c>
      <c r="C10" s="7">
        <v>2024</v>
      </c>
      <c r="D10" s="7">
        <v>4900</v>
      </c>
      <c r="E10" s="7">
        <v>3.1</v>
      </c>
      <c r="F10" s="7">
        <v>3.8</v>
      </c>
      <c r="G10" s="7">
        <v>-2.8</v>
      </c>
      <c r="H10" s="7">
        <v>650</v>
      </c>
      <c r="I10" s="7">
        <v>1100</v>
      </c>
      <c r="J10" s="7">
        <v>-6.1</v>
      </c>
      <c r="K10" s="7">
        <v>2800</v>
      </c>
      <c r="L10" s="7">
        <v>57.1</v>
      </c>
      <c r="M10" s="7">
        <v>180</v>
      </c>
      <c r="N10" s="7" t="s">
        <v>239</v>
      </c>
      <c r="O10" s="7">
        <v>680</v>
      </c>
      <c r="P10" s="7">
        <v>1150</v>
      </c>
    </row>
    <row r="11" spans="1:16" x14ac:dyDescent="0.25">
      <c r="A11" s="8" t="s">
        <v>240</v>
      </c>
      <c r="D11">
        <f>SUM(D5:D10)</f>
        <v>60450</v>
      </c>
      <c r="H11">
        <f>SUM(H5:H10)</f>
        <v>9000</v>
      </c>
      <c r="K11">
        <f>SUM(K5:K10)</f>
        <v>23950</v>
      </c>
    </row>
  </sheetData>
  <mergeCells count="2">
    <mergeCell ref="A1:P1"/>
    <mergeCell ref="A3:P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14" customWidth="1"/>
    <col min="4" max="4" width="16" customWidth="1"/>
    <col min="5" max="5" width="12" customWidth="1"/>
    <col min="6" max="6" width="18" customWidth="1"/>
    <col min="7" max="7" width="24" customWidth="1"/>
    <col min="8" max="9" width="16" customWidth="1"/>
    <col min="10" max="10" width="14" customWidth="1"/>
    <col min="11" max="11" width="24" customWidth="1"/>
  </cols>
  <sheetData>
    <row r="1" spans="1:12" ht="35.1" customHeight="1" x14ac:dyDescent="0.25">
      <c r="A1" s="14" t="s">
        <v>241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30" x14ac:dyDescent="0.25">
      <c r="A3" s="4" t="s">
        <v>53</v>
      </c>
      <c r="B3" s="4" t="s">
        <v>210</v>
      </c>
      <c r="C3" s="4" t="s">
        <v>242</v>
      </c>
      <c r="D3" s="4" t="s">
        <v>243</v>
      </c>
      <c r="E3" s="4" t="s">
        <v>55</v>
      </c>
      <c r="F3" s="4" t="s">
        <v>244</v>
      </c>
      <c r="G3" s="4" t="s">
        <v>245</v>
      </c>
      <c r="H3" s="4" t="s">
        <v>246</v>
      </c>
      <c r="I3" s="4" t="s">
        <v>247</v>
      </c>
      <c r="J3" s="4" t="s">
        <v>248</v>
      </c>
      <c r="K3" s="4" t="s">
        <v>249</v>
      </c>
    </row>
    <row r="4" spans="1:12" ht="18" customHeight="1" x14ac:dyDescent="0.25">
      <c r="A4" s="5" t="s">
        <v>225</v>
      </c>
      <c r="B4" s="5" t="s">
        <v>76</v>
      </c>
      <c r="C4" s="5" t="s">
        <v>250</v>
      </c>
      <c r="D4" s="5" t="s">
        <v>77</v>
      </c>
      <c r="E4" s="5" t="s">
        <v>78</v>
      </c>
      <c r="F4" s="5">
        <v>320000</v>
      </c>
      <c r="G4" s="5">
        <f>SUMIF($B$4:$B$100,B4,$F$4:$F$100)</f>
        <v>1250000</v>
      </c>
      <c r="H4" s="5"/>
      <c r="I4" s="5"/>
      <c r="J4" s="5">
        <v>12</v>
      </c>
      <c r="K4" s="5" t="s">
        <v>251</v>
      </c>
    </row>
    <row r="5" spans="1:12" ht="18" customHeight="1" x14ac:dyDescent="0.25">
      <c r="A5" s="5" t="s">
        <v>225</v>
      </c>
      <c r="B5" s="5" t="s">
        <v>76</v>
      </c>
      <c r="C5" s="5" t="s">
        <v>250</v>
      </c>
      <c r="D5" s="5" t="s">
        <v>77</v>
      </c>
      <c r="E5" s="5" t="s">
        <v>82</v>
      </c>
      <c r="F5" s="5">
        <v>180000</v>
      </c>
      <c r="G5" s="5"/>
      <c r="H5" s="5"/>
      <c r="I5" s="5"/>
      <c r="J5" s="5">
        <v>8</v>
      </c>
      <c r="K5" s="5" t="s">
        <v>251</v>
      </c>
    </row>
    <row r="6" spans="1:12" ht="18" customHeight="1" x14ac:dyDescent="0.25">
      <c r="A6" s="5" t="s">
        <v>225</v>
      </c>
      <c r="B6" s="5" t="s">
        <v>76</v>
      </c>
      <c r="C6" s="5" t="s">
        <v>250</v>
      </c>
      <c r="D6" s="5" t="s">
        <v>85</v>
      </c>
      <c r="E6" s="5" t="s">
        <v>86</v>
      </c>
      <c r="F6" s="5">
        <v>750000</v>
      </c>
      <c r="G6" s="5"/>
      <c r="H6" s="5"/>
      <c r="I6" s="5"/>
      <c r="J6" s="5">
        <v>15</v>
      </c>
      <c r="K6" s="5" t="s">
        <v>251</v>
      </c>
    </row>
    <row r="7" spans="1:12" ht="18" customHeight="1" x14ac:dyDescent="0.25">
      <c r="A7" s="5" t="s">
        <v>227</v>
      </c>
      <c r="B7" s="5" t="s">
        <v>81</v>
      </c>
      <c r="C7" s="5" t="s">
        <v>250</v>
      </c>
      <c r="D7" s="5" t="s">
        <v>77</v>
      </c>
      <c r="E7" s="5" t="s">
        <v>78</v>
      </c>
      <c r="F7" s="5">
        <v>180000</v>
      </c>
      <c r="G7" s="5"/>
      <c r="H7" s="5"/>
      <c r="I7" s="5"/>
      <c r="J7" s="5">
        <v>9</v>
      </c>
      <c r="K7" s="5" t="s">
        <v>251</v>
      </c>
    </row>
    <row r="8" spans="1:12" ht="18" customHeight="1" x14ac:dyDescent="0.25">
      <c r="A8" s="5" t="s">
        <v>227</v>
      </c>
      <c r="B8" s="5" t="s">
        <v>81</v>
      </c>
      <c r="C8" s="5" t="s">
        <v>250</v>
      </c>
      <c r="D8" s="5" t="s">
        <v>85</v>
      </c>
      <c r="E8" s="5" t="s">
        <v>252</v>
      </c>
      <c r="F8" s="5">
        <v>350000</v>
      </c>
      <c r="G8" s="5"/>
      <c r="H8" s="5"/>
      <c r="I8" s="5"/>
      <c r="J8" s="5">
        <v>7</v>
      </c>
      <c r="K8" s="5" t="s">
        <v>251</v>
      </c>
    </row>
    <row r="9" spans="1:12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2" ht="18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2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4" width="12" customWidth="1"/>
    <col min="5" max="5" width="16" customWidth="1"/>
    <col min="6" max="6" width="12" customWidth="1"/>
    <col min="7" max="7" width="22" customWidth="1"/>
    <col min="8" max="8" width="14" customWidth="1"/>
    <col min="9" max="9" width="18" customWidth="1"/>
    <col min="10" max="10" width="24" customWidth="1"/>
    <col min="11" max="11" width="14" customWidth="1"/>
  </cols>
  <sheetData>
    <row r="1" spans="1:12" ht="35.1" customHeight="1" x14ac:dyDescent="0.25">
      <c r="A1" s="14" t="s">
        <v>253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30" x14ac:dyDescent="0.25">
      <c r="A3" s="4" t="s">
        <v>53</v>
      </c>
      <c r="B3" s="4" t="s">
        <v>210</v>
      </c>
      <c r="C3" s="4" t="s">
        <v>54</v>
      </c>
      <c r="D3" s="4" t="s">
        <v>55</v>
      </c>
      <c r="E3" s="4" t="s">
        <v>254</v>
      </c>
      <c r="F3" s="4" t="s">
        <v>255</v>
      </c>
      <c r="G3" s="4" t="s">
        <v>256</v>
      </c>
      <c r="H3" s="4" t="s">
        <v>73</v>
      </c>
      <c r="I3" s="4" t="s">
        <v>257</v>
      </c>
      <c r="J3" s="4" t="s">
        <v>258</v>
      </c>
      <c r="K3" s="4" t="s">
        <v>259</v>
      </c>
    </row>
    <row r="4" spans="1:12" ht="18" customHeight="1" x14ac:dyDescent="0.25">
      <c r="A4" s="5" t="s">
        <v>225</v>
      </c>
      <c r="B4" s="5" t="s">
        <v>76</v>
      </c>
      <c r="C4" s="5" t="s">
        <v>77</v>
      </c>
      <c r="D4" s="5" t="s">
        <v>78</v>
      </c>
      <c r="E4" s="5" t="s">
        <v>260</v>
      </c>
      <c r="F4" s="5" t="s">
        <v>261</v>
      </c>
      <c r="G4" s="5">
        <v>10000</v>
      </c>
      <c r="H4" s="5" t="s">
        <v>262</v>
      </c>
      <c r="I4" s="5" t="s">
        <v>263</v>
      </c>
      <c r="J4" s="5"/>
      <c r="K4" s="5"/>
    </row>
    <row r="5" spans="1:12" ht="18" customHeight="1" x14ac:dyDescent="0.25">
      <c r="A5" s="5" t="s">
        <v>227</v>
      </c>
      <c r="B5" s="5" t="s">
        <v>81</v>
      </c>
      <c r="C5" s="5" t="s">
        <v>85</v>
      </c>
      <c r="D5" s="5" t="s">
        <v>86</v>
      </c>
      <c r="E5" s="5" t="s">
        <v>264</v>
      </c>
      <c r="F5" s="5" t="s">
        <v>261</v>
      </c>
      <c r="G5" s="5">
        <v>30000</v>
      </c>
      <c r="H5" s="5" t="s">
        <v>265</v>
      </c>
      <c r="I5" s="5" t="s">
        <v>266</v>
      </c>
      <c r="J5" s="5"/>
      <c r="K5" s="5"/>
    </row>
    <row r="6" spans="1:12" ht="18" customHeight="1" x14ac:dyDescent="0.25">
      <c r="A6" s="5" t="s">
        <v>229</v>
      </c>
      <c r="B6" s="5" t="s">
        <v>230</v>
      </c>
      <c r="C6" s="5" t="s">
        <v>77</v>
      </c>
      <c r="D6" s="5" t="s">
        <v>82</v>
      </c>
      <c r="E6" s="5" t="s">
        <v>267</v>
      </c>
      <c r="F6" s="5" t="s">
        <v>261</v>
      </c>
      <c r="G6" s="5">
        <v>5000</v>
      </c>
      <c r="H6" s="5" t="s">
        <v>265</v>
      </c>
      <c r="I6" s="5" t="s">
        <v>268</v>
      </c>
      <c r="J6" s="5"/>
      <c r="K6" s="5"/>
    </row>
    <row r="7" spans="1:12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2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2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2" ht="18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2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2" width="14" customWidth="1"/>
    <col min="3" max="3" width="16" customWidth="1"/>
    <col min="4" max="4" width="20" customWidth="1"/>
    <col min="5" max="5" width="18" customWidth="1"/>
    <col min="6" max="7" width="14" customWidth="1"/>
    <col min="8" max="10" width="12" customWidth="1"/>
    <col min="11" max="11" width="20" customWidth="1"/>
    <col min="12" max="12" width="16" customWidth="1"/>
  </cols>
  <sheetData>
    <row r="1" spans="1:12" ht="35.1" customHeight="1" x14ac:dyDescent="0.25">
      <c r="A1" s="14" t="s">
        <v>269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7" t="s">
        <v>270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0" x14ac:dyDescent="0.25">
      <c r="A3" s="4" t="s">
        <v>271</v>
      </c>
      <c r="B3" s="4" t="s">
        <v>272</v>
      </c>
      <c r="C3" s="4" t="s">
        <v>273</v>
      </c>
      <c r="D3" s="4" t="s">
        <v>274</v>
      </c>
      <c r="E3" s="4" t="s">
        <v>275</v>
      </c>
      <c r="F3" s="4" t="s">
        <v>276</v>
      </c>
      <c r="G3" s="4" t="s">
        <v>277</v>
      </c>
      <c r="H3" s="4" t="s">
        <v>278</v>
      </c>
      <c r="I3" s="4" t="s">
        <v>279</v>
      </c>
      <c r="J3" s="4" t="s">
        <v>280</v>
      </c>
      <c r="K3" s="4" t="s">
        <v>281</v>
      </c>
      <c r="L3" s="4" t="s">
        <v>282</v>
      </c>
    </row>
    <row r="4" spans="1:12" ht="18" customHeight="1" x14ac:dyDescent="0.25">
      <c r="A4" s="7" t="s">
        <v>283</v>
      </c>
      <c r="B4" s="7" t="s">
        <v>78</v>
      </c>
      <c r="C4" s="7">
        <v>0.25</v>
      </c>
      <c r="D4" s="7">
        <v>3.35</v>
      </c>
      <c r="E4" s="7">
        <v>3.35</v>
      </c>
      <c r="F4" s="7">
        <v>3.4</v>
      </c>
      <c r="G4" s="7">
        <v>3.45</v>
      </c>
      <c r="H4" s="7">
        <v>4.0999999999999996</v>
      </c>
      <c r="I4" s="7">
        <v>3.5</v>
      </c>
      <c r="J4" s="7">
        <v>3.9</v>
      </c>
      <c r="K4" s="7" t="s">
        <v>284</v>
      </c>
      <c r="L4" s="7" t="s">
        <v>285</v>
      </c>
    </row>
    <row r="5" spans="1:12" ht="18" customHeight="1" x14ac:dyDescent="0.25">
      <c r="A5" s="6" t="s">
        <v>283</v>
      </c>
      <c r="B5" s="6" t="s">
        <v>82</v>
      </c>
      <c r="C5" s="6">
        <v>0.5</v>
      </c>
      <c r="D5" s="6">
        <v>4.1500000000000004</v>
      </c>
      <c r="E5" s="6">
        <v>4.0999999999999996</v>
      </c>
      <c r="F5" s="6">
        <v>4.2</v>
      </c>
      <c r="G5" s="6">
        <v>4.3</v>
      </c>
      <c r="H5" s="6"/>
      <c r="I5" s="6"/>
      <c r="J5" s="6">
        <v>4.5</v>
      </c>
      <c r="K5" s="6" t="s">
        <v>286</v>
      </c>
      <c r="L5" s="6" t="s">
        <v>285</v>
      </c>
    </row>
    <row r="6" spans="1:12" ht="18" customHeight="1" x14ac:dyDescent="0.25">
      <c r="A6" s="7" t="s">
        <v>283</v>
      </c>
      <c r="B6" s="7" t="s">
        <v>287</v>
      </c>
      <c r="C6" s="7">
        <v>1</v>
      </c>
      <c r="D6" s="7">
        <v>5</v>
      </c>
      <c r="E6" s="7">
        <v>4.95</v>
      </c>
      <c r="F6" s="7">
        <v>5.0999999999999996</v>
      </c>
      <c r="G6" s="7">
        <v>5.2</v>
      </c>
      <c r="H6" s="7"/>
      <c r="I6" s="7"/>
      <c r="J6" s="7"/>
      <c r="K6" s="7" t="s">
        <v>288</v>
      </c>
      <c r="L6" s="7" t="s">
        <v>285</v>
      </c>
    </row>
    <row r="7" spans="1:12" ht="18" customHeight="1" x14ac:dyDescent="0.25">
      <c r="A7" s="6" t="s">
        <v>283</v>
      </c>
      <c r="B7" s="6" t="s">
        <v>289</v>
      </c>
      <c r="C7" s="6">
        <v>2</v>
      </c>
      <c r="D7" s="6">
        <v>5.8</v>
      </c>
      <c r="E7" s="6">
        <v>5.75</v>
      </c>
      <c r="F7" s="6">
        <v>5.9</v>
      </c>
      <c r="G7" s="6"/>
      <c r="H7" s="6"/>
      <c r="I7" s="6"/>
      <c r="J7" s="6"/>
      <c r="K7" s="6" t="s">
        <v>290</v>
      </c>
      <c r="L7" s="6" t="s">
        <v>285</v>
      </c>
    </row>
    <row r="8" spans="1:12" ht="18" customHeight="1" x14ac:dyDescent="0.25">
      <c r="A8" s="7" t="s">
        <v>283</v>
      </c>
      <c r="B8" s="7" t="s">
        <v>291</v>
      </c>
      <c r="C8" s="7">
        <v>3</v>
      </c>
      <c r="D8" s="7">
        <v>6.3</v>
      </c>
      <c r="E8" s="7">
        <v>6.25</v>
      </c>
      <c r="F8" s="7">
        <v>6.4</v>
      </c>
      <c r="G8" s="7"/>
      <c r="H8" s="7"/>
      <c r="I8" s="7"/>
      <c r="J8" s="7"/>
      <c r="K8" s="7" t="s">
        <v>292</v>
      </c>
      <c r="L8" s="7" t="s">
        <v>285</v>
      </c>
    </row>
    <row r="9" spans="1:12" ht="18" customHeight="1" x14ac:dyDescent="0.25">
      <c r="A9" s="6" t="s">
        <v>283</v>
      </c>
      <c r="B9" s="6" t="s">
        <v>86</v>
      </c>
      <c r="C9" s="6">
        <v>5</v>
      </c>
      <c r="D9" s="6">
        <v>7.1</v>
      </c>
      <c r="E9" s="6">
        <v>7.05</v>
      </c>
      <c r="F9" s="6">
        <v>7.2</v>
      </c>
      <c r="G9" s="6"/>
      <c r="H9" s="6"/>
      <c r="I9" s="6"/>
      <c r="J9" s="6"/>
      <c r="K9" s="6" t="s">
        <v>284</v>
      </c>
      <c r="L9" s="6" t="s">
        <v>285</v>
      </c>
    </row>
    <row r="10" spans="1:12" ht="18" customHeight="1" x14ac:dyDescent="0.25">
      <c r="A10" s="7" t="s">
        <v>283</v>
      </c>
      <c r="B10" s="7" t="s">
        <v>252</v>
      </c>
      <c r="C10" s="7">
        <v>7</v>
      </c>
      <c r="D10" s="7">
        <v>7.6</v>
      </c>
      <c r="E10" s="7">
        <v>7.55</v>
      </c>
      <c r="F10" s="7">
        <v>7.7</v>
      </c>
      <c r="G10" s="7"/>
      <c r="H10" s="7"/>
      <c r="I10" s="7"/>
      <c r="J10" s="7"/>
      <c r="K10" s="7" t="s">
        <v>293</v>
      </c>
      <c r="L10" s="7" t="s">
        <v>285</v>
      </c>
    </row>
    <row r="11" spans="1:12" ht="18" customHeight="1" x14ac:dyDescent="0.25">
      <c r="A11" s="6" t="s">
        <v>283</v>
      </c>
      <c r="B11" s="6" t="s">
        <v>294</v>
      </c>
      <c r="C11" s="6">
        <v>10</v>
      </c>
      <c r="D11" s="6">
        <v>8.1999999999999993</v>
      </c>
      <c r="E11" s="6">
        <v>8.15</v>
      </c>
      <c r="F11" s="6">
        <v>8.3000000000000007</v>
      </c>
      <c r="G11" s="6"/>
      <c r="H11" s="6"/>
      <c r="I11" s="6"/>
      <c r="J11" s="6"/>
      <c r="K11" s="6" t="s">
        <v>295</v>
      </c>
      <c r="L11" s="6" t="s">
        <v>285</v>
      </c>
    </row>
    <row r="12" spans="1:12" ht="18" customHeight="1" x14ac:dyDescent="0.25">
      <c r="A12" s="7" t="s">
        <v>283</v>
      </c>
      <c r="B12" s="7" t="s">
        <v>296</v>
      </c>
      <c r="C12" s="7">
        <v>15</v>
      </c>
      <c r="D12" s="7">
        <v>8.9</v>
      </c>
      <c r="E12" s="7">
        <v>8.85</v>
      </c>
      <c r="F12" s="7">
        <v>9</v>
      </c>
      <c r="G12" s="7"/>
      <c r="H12" s="7"/>
      <c r="I12" s="7"/>
      <c r="J12" s="7"/>
      <c r="K12" s="7" t="s">
        <v>284</v>
      </c>
      <c r="L12" s="7" t="s">
        <v>285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14" customWidth="1"/>
    <col min="3" max="4" width="12" customWidth="1"/>
    <col min="5" max="6" width="14" customWidth="1"/>
    <col min="7" max="7" width="22" customWidth="1"/>
    <col min="8" max="8" width="28" customWidth="1"/>
    <col min="9" max="9" width="22" customWidth="1"/>
    <col min="10" max="10" width="16" customWidth="1"/>
    <col min="11" max="11" width="18" customWidth="1"/>
    <col min="12" max="12" width="12" customWidth="1"/>
    <col min="13" max="13" width="20" customWidth="1"/>
    <col min="14" max="14" width="28" customWidth="1"/>
  </cols>
  <sheetData>
    <row r="1" spans="1:14" ht="35.1" customHeight="1" x14ac:dyDescent="0.25">
      <c r="A1" s="14" t="s">
        <v>297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4" x14ac:dyDescent="0.25">
      <c r="A2" s="17" t="s">
        <v>298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4" ht="30" x14ac:dyDescent="0.25">
      <c r="A3" s="4" t="s">
        <v>299</v>
      </c>
      <c r="B3" s="4" t="s">
        <v>53</v>
      </c>
      <c r="C3" s="4" t="s">
        <v>54</v>
      </c>
      <c r="D3" s="4" t="s">
        <v>55</v>
      </c>
      <c r="E3" s="4" t="s">
        <v>300</v>
      </c>
      <c r="F3" s="4" t="s">
        <v>71</v>
      </c>
      <c r="G3" s="4" t="s">
        <v>301</v>
      </c>
      <c r="H3" s="4" t="s">
        <v>302</v>
      </c>
      <c r="I3" s="4" t="s">
        <v>303</v>
      </c>
      <c r="J3" s="4" t="s">
        <v>304</v>
      </c>
      <c r="K3" s="4" t="s">
        <v>305</v>
      </c>
      <c r="L3" s="4" t="s">
        <v>306</v>
      </c>
      <c r="M3" s="4" t="s">
        <v>307</v>
      </c>
      <c r="N3" s="4" t="s">
        <v>308</v>
      </c>
    </row>
    <row r="4" spans="1:14" ht="18" customHeight="1" x14ac:dyDescent="0.25">
      <c r="A4" s="5" t="s">
        <v>83</v>
      </c>
      <c r="B4" s="5" t="s">
        <v>76</v>
      </c>
      <c r="C4" s="5" t="s">
        <v>85</v>
      </c>
      <c r="D4" s="5" t="s">
        <v>86</v>
      </c>
      <c r="E4" s="5" t="s">
        <v>283</v>
      </c>
      <c r="F4" s="5" t="s">
        <v>89</v>
      </c>
      <c r="G4" s="5" t="s">
        <v>309</v>
      </c>
      <c r="H4" s="5" t="s">
        <v>310</v>
      </c>
      <c r="I4" s="5" t="s">
        <v>311</v>
      </c>
      <c r="J4" s="5" t="s">
        <v>312</v>
      </c>
      <c r="K4" s="5" t="s">
        <v>313</v>
      </c>
      <c r="L4" s="5" t="s">
        <v>314</v>
      </c>
      <c r="M4" s="5" t="s">
        <v>315</v>
      </c>
      <c r="N4" s="5">
        <v>4</v>
      </c>
    </row>
    <row r="5" spans="1:14" ht="18" customHeight="1" x14ac:dyDescent="0.25">
      <c r="A5" s="5" t="s">
        <v>316</v>
      </c>
      <c r="B5" s="5" t="s">
        <v>81</v>
      </c>
      <c r="C5" s="5" t="s">
        <v>85</v>
      </c>
      <c r="D5" s="5" t="s">
        <v>252</v>
      </c>
      <c r="E5" s="5" t="s">
        <v>283</v>
      </c>
      <c r="F5" s="5" t="s">
        <v>317</v>
      </c>
      <c r="G5" s="5" t="s">
        <v>318</v>
      </c>
      <c r="H5" s="5" t="s">
        <v>319</v>
      </c>
      <c r="I5" s="5" t="s">
        <v>320</v>
      </c>
      <c r="J5" s="5" t="s">
        <v>321</v>
      </c>
      <c r="K5" s="5" t="s">
        <v>322</v>
      </c>
      <c r="L5" s="5" t="s">
        <v>323</v>
      </c>
      <c r="M5" s="5" t="s">
        <v>324</v>
      </c>
      <c r="N5" s="5">
        <v>3</v>
      </c>
    </row>
    <row r="6" spans="1:14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</sheetData>
  <mergeCells count="2">
    <mergeCell ref="A2:M2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1"/>
  <sheetViews>
    <sheetView workbookViewId="0">
      <pane ySplit="3" topLeftCell="A4" activePane="bottomLeft" state="frozen"/>
      <selection pane="bottomLeft" sqref="A1:J1"/>
    </sheetView>
  </sheetViews>
  <sheetFormatPr baseColWidth="10" defaultColWidth="9.140625" defaultRowHeight="15" x14ac:dyDescent="0.25"/>
  <cols>
    <col min="1" max="2" width="14" customWidth="1"/>
    <col min="3" max="3" width="32" customWidth="1"/>
    <col min="4" max="4" width="18" customWidth="1"/>
    <col min="5" max="5" width="12" customWidth="1"/>
    <col min="6" max="7" width="20" customWidth="1"/>
  </cols>
  <sheetData>
    <row r="1" spans="1:10" ht="35.1" customHeight="1" x14ac:dyDescent="0.25">
      <c r="A1" s="14" t="s">
        <v>325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ht="30" x14ac:dyDescent="0.25">
      <c r="A3" s="4" t="s">
        <v>326</v>
      </c>
      <c r="B3" s="4" t="s">
        <v>53</v>
      </c>
      <c r="C3" s="4" t="s">
        <v>327</v>
      </c>
      <c r="D3" s="4" t="s">
        <v>244</v>
      </c>
      <c r="E3" s="4" t="s">
        <v>328</v>
      </c>
      <c r="F3" s="4" t="s">
        <v>329</v>
      </c>
      <c r="G3" s="4" t="s">
        <v>282</v>
      </c>
    </row>
    <row r="4" spans="1:10" ht="18" customHeight="1" x14ac:dyDescent="0.25">
      <c r="A4" s="5" t="s">
        <v>250</v>
      </c>
      <c r="B4" s="5" t="s">
        <v>330</v>
      </c>
      <c r="C4" s="5" t="s">
        <v>10</v>
      </c>
      <c r="D4" s="5" t="s">
        <v>331</v>
      </c>
      <c r="E4" s="5" t="s">
        <v>332</v>
      </c>
      <c r="F4" s="5"/>
      <c r="G4" s="5" t="s">
        <v>333</v>
      </c>
    </row>
    <row r="5" spans="1:10" ht="18" customHeight="1" x14ac:dyDescent="0.25">
      <c r="A5" s="5" t="s">
        <v>250</v>
      </c>
      <c r="B5" s="5" t="s">
        <v>330</v>
      </c>
      <c r="C5" s="5" t="s">
        <v>334</v>
      </c>
      <c r="D5" s="5" t="s">
        <v>335</v>
      </c>
      <c r="E5" s="5" t="s">
        <v>336</v>
      </c>
      <c r="F5" s="5"/>
      <c r="G5" s="5" t="s">
        <v>333</v>
      </c>
    </row>
    <row r="6" spans="1:10" ht="18" customHeight="1" x14ac:dyDescent="0.25">
      <c r="A6" s="5" t="s">
        <v>250</v>
      </c>
      <c r="B6" s="5" t="s">
        <v>330</v>
      </c>
      <c r="C6" s="5" t="s">
        <v>337</v>
      </c>
      <c r="D6" s="5" t="s">
        <v>338</v>
      </c>
      <c r="E6" s="5" t="s">
        <v>339</v>
      </c>
      <c r="F6" s="5"/>
      <c r="G6" s="5" t="s">
        <v>333</v>
      </c>
    </row>
    <row r="7" spans="1:10" ht="18" customHeight="1" x14ac:dyDescent="0.25">
      <c r="A7" s="5" t="s">
        <v>250</v>
      </c>
      <c r="B7" s="5" t="s">
        <v>330</v>
      </c>
      <c r="C7" s="5" t="s">
        <v>340</v>
      </c>
      <c r="D7" s="5" t="s">
        <v>341</v>
      </c>
      <c r="E7" s="5" t="s">
        <v>342</v>
      </c>
      <c r="F7" s="5"/>
      <c r="G7" s="5" t="s">
        <v>333</v>
      </c>
    </row>
    <row r="8" spans="1:10" ht="18" customHeight="1" x14ac:dyDescent="0.25">
      <c r="A8" s="5" t="s">
        <v>250</v>
      </c>
      <c r="B8" s="5" t="s">
        <v>330</v>
      </c>
      <c r="C8" s="5" t="s">
        <v>343</v>
      </c>
      <c r="D8" s="5" t="s">
        <v>344</v>
      </c>
      <c r="E8" s="5" t="s">
        <v>345</v>
      </c>
      <c r="F8" s="5"/>
      <c r="G8" s="5" t="s">
        <v>333</v>
      </c>
    </row>
    <row r="9" spans="1:10" ht="18" customHeight="1" x14ac:dyDescent="0.25">
      <c r="A9" s="5" t="s">
        <v>346</v>
      </c>
      <c r="B9" s="5"/>
      <c r="C9" s="5"/>
      <c r="D9" s="5">
        <f>SUM(D4:D8)</f>
        <v>0</v>
      </c>
      <c r="E9" s="5">
        <f>100%</f>
        <v>1</v>
      </c>
      <c r="F9" s="5"/>
      <c r="G9" s="5"/>
    </row>
    <row r="10" spans="1:10" ht="18" customHeight="1" x14ac:dyDescent="0.25">
      <c r="A10" s="5"/>
      <c r="B10" s="5"/>
      <c r="C10" s="5"/>
      <c r="D10" s="5"/>
      <c r="E10" s="5"/>
      <c r="F10" s="5"/>
      <c r="G10" s="5"/>
    </row>
    <row r="11" spans="1:10" ht="18" customHeight="1" x14ac:dyDescent="0.25">
      <c r="A11" s="5"/>
      <c r="B11" s="5"/>
      <c r="C11" s="5"/>
      <c r="D11" s="5"/>
      <c r="E11" s="5"/>
      <c r="F11" s="5"/>
      <c r="G11" s="5"/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1"/>
  <sheetViews>
    <sheetView workbookViewId="0">
      <pane ySplit="3" topLeftCell="A4" activePane="bottomLeft" state="frozen"/>
      <selection pane="bottomLeft" activeCell="B9" sqref="B9"/>
    </sheetView>
  </sheetViews>
  <sheetFormatPr baseColWidth="10" defaultColWidth="9.140625" defaultRowHeight="15" x14ac:dyDescent="0.25"/>
  <cols>
    <col min="1" max="1" width="54.42578125" customWidth="1"/>
    <col min="2" max="4" width="20" customWidth="1"/>
    <col min="5" max="5" width="16" customWidth="1"/>
    <col min="6" max="7" width="20" customWidth="1"/>
    <col min="8" max="8" width="36" customWidth="1"/>
    <col min="9" max="10" width="10" customWidth="1"/>
    <col min="11" max="11" width="8" customWidth="1"/>
    <col min="12" max="12" width="24" customWidth="1"/>
  </cols>
  <sheetData>
    <row r="1" spans="1:12" ht="35.1" customHeight="1" x14ac:dyDescent="0.25">
      <c r="A1" s="14" t="s">
        <v>347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7" t="s">
        <v>348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0" x14ac:dyDescent="0.25">
      <c r="A3" s="4" t="s">
        <v>349</v>
      </c>
      <c r="B3" s="4" t="s">
        <v>350</v>
      </c>
      <c r="C3" s="4" t="s">
        <v>351</v>
      </c>
      <c r="D3" s="4" t="s">
        <v>352</v>
      </c>
      <c r="E3" s="4" t="s">
        <v>353</v>
      </c>
      <c r="F3" s="4" t="s">
        <v>354</v>
      </c>
      <c r="G3" s="4" t="s">
        <v>355</v>
      </c>
      <c r="H3" s="4" t="s">
        <v>356</v>
      </c>
      <c r="I3" s="4" t="s">
        <v>357</v>
      </c>
      <c r="J3" s="4" t="s">
        <v>358</v>
      </c>
      <c r="K3" s="4" t="s">
        <v>118</v>
      </c>
      <c r="L3" s="4" t="s">
        <v>258</v>
      </c>
    </row>
    <row r="4" spans="1:12" ht="18" customHeight="1" x14ac:dyDescent="0.25">
      <c r="A4" s="5" t="s">
        <v>479</v>
      </c>
      <c r="B4" s="5" t="s">
        <v>359</v>
      </c>
      <c r="C4" s="5" t="s">
        <v>360</v>
      </c>
      <c r="D4" s="5" t="s">
        <v>480</v>
      </c>
      <c r="E4" s="5" t="s">
        <v>361</v>
      </c>
      <c r="F4" s="5" t="s">
        <v>362</v>
      </c>
      <c r="G4" s="5" t="s">
        <v>363</v>
      </c>
      <c r="H4" s="12" t="s">
        <v>481</v>
      </c>
      <c r="I4" s="5" t="s">
        <v>364</v>
      </c>
      <c r="J4" s="5" t="s">
        <v>365</v>
      </c>
      <c r="K4" s="5" t="s">
        <v>207</v>
      </c>
      <c r="L4" s="5"/>
    </row>
    <row r="5" spans="1:12" ht="18" customHeight="1" x14ac:dyDescent="0.25">
      <c r="A5" s="5" t="s">
        <v>366</v>
      </c>
      <c r="B5" s="5" t="s">
        <v>359</v>
      </c>
      <c r="C5" s="5" t="s">
        <v>367</v>
      </c>
      <c r="D5" s="5" t="s">
        <v>368</v>
      </c>
      <c r="E5" s="5" t="s">
        <v>369</v>
      </c>
      <c r="F5" s="5" t="s">
        <v>370</v>
      </c>
      <c r="G5" s="5" t="s">
        <v>363</v>
      </c>
      <c r="H5" s="5" t="s">
        <v>371</v>
      </c>
      <c r="I5" s="5" t="s">
        <v>372</v>
      </c>
      <c r="J5" s="5" t="s">
        <v>365</v>
      </c>
      <c r="K5" s="5" t="s">
        <v>207</v>
      </c>
      <c r="L5" s="5"/>
    </row>
    <row r="6" spans="1:12" ht="18" customHeight="1" x14ac:dyDescent="0.25">
      <c r="A6" s="5" t="s">
        <v>482</v>
      </c>
      <c r="B6" s="5" t="s">
        <v>373</v>
      </c>
      <c r="C6" s="5" t="s">
        <v>374</v>
      </c>
      <c r="D6" s="5" t="s">
        <v>375</v>
      </c>
      <c r="E6" s="5" t="s">
        <v>376</v>
      </c>
      <c r="F6" s="5" t="s">
        <v>370</v>
      </c>
      <c r="G6" s="5" t="s">
        <v>363</v>
      </c>
      <c r="H6" s="12" t="s">
        <v>483</v>
      </c>
      <c r="I6" s="5" t="s">
        <v>377</v>
      </c>
      <c r="J6" s="5" t="s">
        <v>365</v>
      </c>
      <c r="K6" s="5" t="s">
        <v>207</v>
      </c>
      <c r="L6" s="5"/>
    </row>
    <row r="7" spans="1:12" ht="18" customHeight="1" x14ac:dyDescent="0.25">
      <c r="A7" s="5" t="s">
        <v>378</v>
      </c>
      <c r="B7" s="5" t="s">
        <v>373</v>
      </c>
      <c r="C7" s="5" t="s">
        <v>379</v>
      </c>
      <c r="D7" s="5" t="s">
        <v>380</v>
      </c>
      <c r="E7" s="5" t="s">
        <v>381</v>
      </c>
      <c r="F7" s="5" t="s">
        <v>370</v>
      </c>
      <c r="G7" s="5" t="s">
        <v>363</v>
      </c>
      <c r="H7" s="5" t="s">
        <v>382</v>
      </c>
      <c r="I7" s="5" t="s">
        <v>383</v>
      </c>
      <c r="J7" s="5" t="s">
        <v>365</v>
      </c>
      <c r="K7" s="5" t="s">
        <v>207</v>
      </c>
      <c r="L7" s="5"/>
    </row>
    <row r="8" spans="1:12" ht="18" customHeight="1" x14ac:dyDescent="0.25">
      <c r="A8" s="5" t="s">
        <v>384</v>
      </c>
      <c r="B8" s="5" t="s">
        <v>40</v>
      </c>
      <c r="C8" s="5" t="s">
        <v>385</v>
      </c>
      <c r="D8" s="5" t="s">
        <v>386</v>
      </c>
      <c r="E8" s="5" t="s">
        <v>79</v>
      </c>
      <c r="F8" s="5" t="s">
        <v>370</v>
      </c>
      <c r="G8" s="5" t="s">
        <v>387</v>
      </c>
      <c r="H8" s="5" t="s">
        <v>388</v>
      </c>
      <c r="I8" s="5" t="s">
        <v>389</v>
      </c>
      <c r="J8" s="5" t="s">
        <v>365</v>
      </c>
      <c r="K8" s="5" t="s">
        <v>207</v>
      </c>
      <c r="L8" s="5"/>
    </row>
    <row r="9" spans="1:12" ht="18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8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8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</sheetData>
  <mergeCells count="2">
    <mergeCell ref="A2:L2"/>
    <mergeCell ref="A1:L1"/>
  </mergeCells>
  <hyperlinks>
    <hyperlink ref="H4" r:id="rId1" xr:uid="{43CB57B6-7661-4975-97EE-EAA74502BDE1}"/>
    <hyperlink ref="H6" r:id="rId2" xr:uid="{13E3A68E-5AD5-49EE-B8FA-C2EC0DB9E244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8"/>
  <sheetViews>
    <sheetView workbookViewId="0">
      <pane ySplit="3" topLeftCell="A4" activePane="bottomLeft" state="frozen"/>
      <selection pane="bottomLeft" sqref="A1:K1"/>
    </sheetView>
  </sheetViews>
  <sheetFormatPr baseColWidth="10" defaultColWidth="9.140625" defaultRowHeight="15" x14ac:dyDescent="0.25"/>
  <cols>
    <col min="1" max="1" width="18" customWidth="1"/>
    <col min="2" max="2" width="28" customWidth="1"/>
    <col min="3" max="3" width="20" customWidth="1"/>
    <col min="4" max="4" width="16" customWidth="1"/>
    <col min="5" max="5" width="12" customWidth="1"/>
    <col min="6" max="6" width="24" customWidth="1"/>
    <col min="7" max="7" width="12" customWidth="1"/>
    <col min="8" max="11" width="14" customWidth="1"/>
  </cols>
  <sheetData>
    <row r="1" spans="1:11" ht="35.1" customHeight="1" x14ac:dyDescent="0.25">
      <c r="A1" s="14" t="s">
        <v>390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30" x14ac:dyDescent="0.25">
      <c r="A3" s="4" t="s">
        <v>196</v>
      </c>
      <c r="B3" s="4" t="s">
        <v>391</v>
      </c>
      <c r="C3" s="4" t="s">
        <v>392</v>
      </c>
      <c r="D3" s="4" t="s">
        <v>393</v>
      </c>
      <c r="E3" s="4" t="s">
        <v>394</v>
      </c>
      <c r="F3" s="4" t="s">
        <v>395</v>
      </c>
      <c r="G3" s="4" t="s">
        <v>396</v>
      </c>
      <c r="H3" s="4" t="s">
        <v>397</v>
      </c>
      <c r="I3" s="4" t="s">
        <v>398</v>
      </c>
      <c r="J3" s="4" t="s">
        <v>399</v>
      </c>
      <c r="K3" s="4" t="s">
        <v>400</v>
      </c>
    </row>
    <row r="4" spans="1:11" ht="18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8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8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8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workbookViewId="0">
      <selection sqref="A1:E1"/>
    </sheetView>
  </sheetViews>
  <sheetFormatPr baseColWidth="10" defaultColWidth="9.140625" defaultRowHeight="15" x14ac:dyDescent="0.25"/>
  <cols>
    <col min="1" max="1" width="30" customWidth="1"/>
    <col min="2" max="2" width="40" customWidth="1"/>
    <col min="3" max="3" width="50" customWidth="1"/>
  </cols>
  <sheetData>
    <row r="1" spans="1:5" ht="35.1" customHeight="1" x14ac:dyDescent="0.25">
      <c r="A1" s="14" t="s">
        <v>401</v>
      </c>
      <c r="B1" s="15"/>
      <c r="C1" s="15"/>
      <c r="D1" s="15"/>
      <c r="E1" s="15"/>
    </row>
    <row r="2" spans="1:5" x14ac:dyDescent="0.25">
      <c r="A2" s="4" t="s">
        <v>402</v>
      </c>
      <c r="B2" s="4" t="s">
        <v>403</v>
      </c>
      <c r="C2" s="4" t="s">
        <v>404</v>
      </c>
    </row>
    <row r="3" spans="1:5" ht="20.100000000000001" customHeight="1" x14ac:dyDescent="0.25">
      <c r="A3" s="3" t="s">
        <v>405</v>
      </c>
      <c r="B3" s="3" t="s">
        <v>406</v>
      </c>
      <c r="C3" s="3" t="s">
        <v>407</v>
      </c>
    </row>
    <row r="4" spans="1:5" ht="20.100000000000001" customHeight="1" x14ac:dyDescent="0.25">
      <c r="A4" s="2" t="s">
        <v>408</v>
      </c>
      <c r="B4" s="2" t="s">
        <v>409</v>
      </c>
      <c r="C4" s="2" t="s">
        <v>410</v>
      </c>
    </row>
    <row r="5" spans="1:5" ht="20.100000000000001" customHeight="1" x14ac:dyDescent="0.25">
      <c r="A5" s="3" t="s">
        <v>411</v>
      </c>
      <c r="B5" s="3" t="s">
        <v>412</v>
      </c>
      <c r="C5" s="3" t="s">
        <v>413</v>
      </c>
    </row>
    <row r="6" spans="1:5" ht="20.100000000000001" customHeight="1" x14ac:dyDescent="0.25">
      <c r="A6" s="2" t="s">
        <v>414</v>
      </c>
      <c r="B6" s="2" t="s">
        <v>415</v>
      </c>
      <c r="C6" s="2" t="s">
        <v>416</v>
      </c>
    </row>
    <row r="7" spans="1:5" ht="20.100000000000001" customHeight="1" x14ac:dyDescent="0.25">
      <c r="A7" s="3" t="s">
        <v>417</v>
      </c>
      <c r="B7" s="3" t="s">
        <v>418</v>
      </c>
      <c r="C7" s="3" t="s">
        <v>419</v>
      </c>
    </row>
    <row r="8" spans="1:5" ht="20.100000000000001" customHeight="1" x14ac:dyDescent="0.25">
      <c r="A8" s="2" t="s">
        <v>420</v>
      </c>
      <c r="B8" s="2">
        <v>8</v>
      </c>
      <c r="C8" s="2" t="s">
        <v>421</v>
      </c>
    </row>
    <row r="9" spans="1:5" ht="20.100000000000001" customHeight="1" x14ac:dyDescent="0.25">
      <c r="A9" s="3" t="s">
        <v>422</v>
      </c>
      <c r="B9" s="3">
        <v>5</v>
      </c>
      <c r="C9" s="3" t="s">
        <v>423</v>
      </c>
    </row>
    <row r="10" spans="1:5" ht="20.100000000000001" customHeight="1" x14ac:dyDescent="0.25">
      <c r="A10" s="2" t="s">
        <v>424</v>
      </c>
      <c r="B10" s="2" t="s">
        <v>425</v>
      </c>
      <c r="C10" s="2" t="s">
        <v>426</v>
      </c>
    </row>
    <row r="11" spans="1:5" ht="20.100000000000001" customHeight="1" x14ac:dyDescent="0.25">
      <c r="A11" s="3" t="s">
        <v>427</v>
      </c>
      <c r="B11" s="3" t="s">
        <v>330</v>
      </c>
      <c r="C11" s="3" t="s">
        <v>428</v>
      </c>
    </row>
    <row r="12" spans="1:5" ht="20.100000000000001" customHeight="1" x14ac:dyDescent="0.25">
      <c r="A12" s="2" t="s">
        <v>429</v>
      </c>
      <c r="B12" s="2" t="s">
        <v>430</v>
      </c>
      <c r="C12" s="2" t="s">
        <v>431</v>
      </c>
    </row>
    <row r="13" spans="1:5" ht="20.100000000000001" customHeight="1" x14ac:dyDescent="0.25">
      <c r="A13" s="3" t="s">
        <v>432</v>
      </c>
      <c r="B13" s="3" t="s">
        <v>433</v>
      </c>
      <c r="C13" s="3" t="s">
        <v>434</v>
      </c>
    </row>
    <row r="14" spans="1:5" ht="20.100000000000001" customHeight="1" x14ac:dyDescent="0.25">
      <c r="A14" s="2" t="s">
        <v>435</v>
      </c>
      <c r="B14" s="2" t="s">
        <v>436</v>
      </c>
      <c r="C14" s="2" t="s">
        <v>437</v>
      </c>
    </row>
    <row r="15" spans="1:5" ht="20.100000000000001" customHeight="1" x14ac:dyDescent="0.25">
      <c r="A15" s="3" t="s">
        <v>438</v>
      </c>
      <c r="B15" s="3" t="s">
        <v>439</v>
      </c>
      <c r="C15" s="3" t="s">
        <v>440</v>
      </c>
    </row>
    <row r="16" spans="1:5" ht="20.100000000000001" customHeight="1" x14ac:dyDescent="0.25">
      <c r="A16" s="2" t="s">
        <v>441</v>
      </c>
      <c r="B16" s="2" t="s">
        <v>442</v>
      </c>
      <c r="C16" s="2" t="s">
        <v>443</v>
      </c>
    </row>
    <row r="17" spans="1:3" ht="20.100000000000001" customHeight="1" x14ac:dyDescent="0.25">
      <c r="A17" s="3" t="s">
        <v>444</v>
      </c>
      <c r="B17" s="3" t="s">
        <v>445</v>
      </c>
      <c r="C17" s="3" t="s">
        <v>446</v>
      </c>
    </row>
    <row r="18" spans="1:3" ht="20.100000000000001" customHeight="1" x14ac:dyDescent="0.25">
      <c r="A18" s="2" t="s">
        <v>447</v>
      </c>
      <c r="B18" s="2" t="s">
        <v>448</v>
      </c>
      <c r="C18" s="2" t="s">
        <v>449</v>
      </c>
    </row>
    <row r="19" spans="1:3" ht="20.100000000000001" customHeight="1" x14ac:dyDescent="0.25">
      <c r="A19" s="3" t="s">
        <v>450</v>
      </c>
      <c r="B19" s="3" t="s">
        <v>451</v>
      </c>
      <c r="C19" s="3" t="s">
        <v>452</v>
      </c>
    </row>
    <row r="20" spans="1:3" ht="20.100000000000001" customHeight="1" x14ac:dyDescent="0.25">
      <c r="A20" s="2" t="s">
        <v>453</v>
      </c>
      <c r="B20" s="2" t="s">
        <v>454</v>
      </c>
      <c r="C20" s="2" t="s">
        <v>455</v>
      </c>
    </row>
    <row r="21" spans="1:3" ht="20.100000000000001" customHeight="1" x14ac:dyDescent="0.25">
      <c r="A21" s="3" t="s">
        <v>456</v>
      </c>
      <c r="B21" s="3" t="s">
        <v>457</v>
      </c>
      <c r="C21" s="3" t="s">
        <v>458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1"/>
  <sheetViews>
    <sheetView workbookViewId="0">
      <selection sqref="A1:J1"/>
    </sheetView>
  </sheetViews>
  <sheetFormatPr baseColWidth="10" defaultColWidth="9.140625" defaultRowHeight="15" x14ac:dyDescent="0.25"/>
  <cols>
    <col min="1" max="1" width="28" customWidth="1"/>
    <col min="2" max="2" width="50" customWidth="1"/>
    <col min="3" max="3" width="18" customWidth="1"/>
    <col min="4" max="4" width="14" customWidth="1"/>
    <col min="5" max="5" width="20" customWidth="1"/>
  </cols>
  <sheetData>
    <row r="1" spans="1:10" ht="35.1" customHeight="1" x14ac:dyDescent="0.25">
      <c r="A1" s="14" t="s">
        <v>459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7" t="s">
        <v>460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x14ac:dyDescent="0.25">
      <c r="A3" s="4" t="s">
        <v>461</v>
      </c>
      <c r="B3" s="4" t="s">
        <v>462</v>
      </c>
      <c r="C3" s="4" t="s">
        <v>463</v>
      </c>
      <c r="D3" s="4" t="s">
        <v>464</v>
      </c>
      <c r="E3" s="4" t="s">
        <v>465</v>
      </c>
    </row>
    <row r="4" spans="1:10" x14ac:dyDescent="0.25">
      <c r="A4" s="9" t="s">
        <v>466</v>
      </c>
      <c r="B4" s="9">
        <f>SUMIF(ENCOURS_MENSUEL!C:C,MAX(ENCOURS_MENSUEL!C:C),ENCOURS_MENSUEL!F:F)</f>
        <v>0</v>
      </c>
      <c r="C4" s="10"/>
      <c r="D4" s="9" t="s">
        <v>467</v>
      </c>
      <c r="E4" s="9" t="s">
        <v>468</v>
      </c>
    </row>
    <row r="5" spans="1:10" x14ac:dyDescent="0.25">
      <c r="A5" s="11" t="s">
        <v>469</v>
      </c>
      <c r="B5" s="11">
        <f>COUNTIF(SVT!G:G,"Actif")</f>
        <v>3</v>
      </c>
      <c r="C5" s="10"/>
      <c r="D5" s="11" t="s">
        <v>470</v>
      </c>
      <c r="E5" s="11" t="s">
        <v>468</v>
      </c>
    </row>
    <row r="6" spans="1:10" x14ac:dyDescent="0.25">
      <c r="A6" s="9" t="s">
        <v>471</v>
      </c>
      <c r="B6" s="9">
        <f ca="1">COUNTIFS(EMISSIONS!G:G,"&gt;="&amp;DATE(YEAR(TODAY())-1,MONTH(TODAY()),DAY(TODAY())))</f>
        <v>561</v>
      </c>
      <c r="C6" s="10"/>
      <c r="D6" s="9" t="s">
        <v>470</v>
      </c>
      <c r="E6" s="9" t="s">
        <v>468</v>
      </c>
    </row>
    <row r="7" spans="1:10" x14ac:dyDescent="0.25">
      <c r="A7" s="11" t="s">
        <v>472</v>
      </c>
      <c r="B7" s="11">
        <f ca="1">SUMIFS(EMISSIONS!F:F,EMISSIONS!G:G,"&gt;="&amp;DATE(YEAR(TODAY())-1,MONTH(TODAY()),DAY(TODAY())))</f>
        <v>8370430.8599999994</v>
      </c>
      <c r="C7" s="10"/>
      <c r="D7" s="11" t="s">
        <v>467</v>
      </c>
      <c r="E7" s="11" t="s">
        <v>468</v>
      </c>
    </row>
    <row r="8" spans="1:10" x14ac:dyDescent="0.25">
      <c r="A8" s="9" t="s">
        <v>473</v>
      </c>
      <c r="B8" s="9" t="e">
        <f>AVERAGEIF(EMISSIONS!W:W,"Résultat publié",EMISSIONS!V:V)</f>
        <v>#DIV/0!</v>
      </c>
      <c r="C8" s="10"/>
      <c r="D8" s="9" t="s">
        <v>474</v>
      </c>
      <c r="E8" s="9" t="s">
        <v>468</v>
      </c>
    </row>
    <row r="9" spans="1:10" x14ac:dyDescent="0.25">
      <c r="A9" s="11" t="s">
        <v>475</v>
      </c>
      <c r="B9" s="11" t="e">
        <f>INDEX(COURBE_TAUX!D:D,MATCH(MAX(COURBE_TAUX!A:A),COURBE_TAUX!A:A,0))</f>
        <v>#N/A</v>
      </c>
      <c r="C9" s="10"/>
      <c r="D9" s="11" t="s">
        <v>476</v>
      </c>
      <c r="E9" s="11" t="s">
        <v>468</v>
      </c>
    </row>
    <row r="10" spans="1:10" x14ac:dyDescent="0.25">
      <c r="A10" s="9" t="s">
        <v>477</v>
      </c>
      <c r="B10" s="9">
        <f>COUNTA(EMISSIONS!A:A)-1</f>
        <v>3350</v>
      </c>
      <c r="C10" s="10"/>
      <c r="D10" s="9" t="s">
        <v>470</v>
      </c>
      <c r="E10" s="9" t="s">
        <v>468</v>
      </c>
    </row>
    <row r="11" spans="1:10" x14ac:dyDescent="0.25">
      <c r="A11" s="11" t="s">
        <v>478</v>
      </c>
      <c r="B11" s="11">
        <f>COUNTIF(PAYS_MACRO!C:C,MAX(PAYS_MACRO!C:C))</f>
        <v>6</v>
      </c>
      <c r="C11" s="10"/>
      <c r="D11" s="11">
        <v>6</v>
      </c>
      <c r="E11" s="11" t="s">
        <v>468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README</vt:lpstr>
      <vt:lpstr>EMISSIONS</vt:lpstr>
      <vt:lpstr>REMBOURSEMENTS</vt:lpstr>
      <vt:lpstr>SVT</vt:lpstr>
      <vt:lpstr>SGP</vt:lpstr>
      <vt:lpstr>SDB</vt:lpstr>
      <vt:lpstr>INVESTISSEURS_INST</vt:lpstr>
      <vt:lpstr>UTILISATEURS</vt:lpstr>
      <vt:lpstr>PAYS_MACRO</vt:lpstr>
      <vt:lpstr>ENCOURS_MENSUEL</vt:lpstr>
      <vt:lpstr>CALENDRIER_EMISSIONS</vt:lpstr>
      <vt:lpstr>COURBE_TAUX</vt:lpstr>
      <vt:lpstr>CALCULS_MARCHE</vt:lpstr>
      <vt:lpstr>DETENTEURS</vt:lpstr>
      <vt:lpstr>DOCUMENTS_META</vt:lpstr>
      <vt:lpstr>ALERTES_ABONNEMENTS</vt:lpstr>
      <vt:lpstr>PARAMETRES</vt:lpstr>
      <vt:lpstr>KPIs_ACCUEIL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Landry KENGNE</cp:lastModifiedBy>
  <dcterms:created xsi:type="dcterms:W3CDTF">2026-05-21T23:41:06Z</dcterms:created>
  <dcterms:modified xsi:type="dcterms:W3CDTF">2026-06-01T14:50:12Z</dcterms:modified>
</cp:coreProperties>
</file>